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qar.hussain\OneDrive - IBL Group Pakistan\Desktop\"/>
    </mc:Choice>
  </mc:AlternateContent>
  <bookViews>
    <workbookView xWindow="0" yWindow="0" windowWidth="19200" windowHeight="8130"/>
  </bookViews>
  <sheets>
    <sheet name="COMPILED SHEET" sheetId="10" r:id="rId1"/>
    <sheet name="IBLHC Sales" sheetId="3" r:id="rId2"/>
    <sheet name="TSCL Sales" sheetId="4" r:id="rId3"/>
    <sheet name="CC Details" sheetId="5" r:id="rId4"/>
    <sheet name="HC Details" sheetId="6" r:id="rId5"/>
    <sheet name="MC Details" sheetId="7" r:id="rId6"/>
    <sheet name="TSCL Payment Details" sheetId="8" r:id="rId7"/>
    <sheet name="IBLHC Payment Details" sheetId="9" r:id="rId8"/>
    <sheet name="TSCL PO Details" sheetId="2" r:id="rId9"/>
    <sheet name="IBLHC PO Details" sheetId="1" r:id="rId10"/>
  </sheets>
  <externalReferences>
    <externalReference r:id="rId11"/>
    <externalReference r:id="rId12"/>
  </externalReferences>
  <definedNames>
    <definedName name="_xlnm._FilterDatabase" localSheetId="9" hidden="1">'IBLHC PO Details'!$A$1:$BX$108</definedName>
    <definedName name="_xlnm._FilterDatabase" localSheetId="1" hidden="1">'IBLHC Sales'!$A$1:$R$523</definedName>
    <definedName name="_xlnm._FilterDatabase" localSheetId="8" hidden="1">'TSCL PO Details'!$A$1:$BY$107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6" l="1"/>
  <c r="J38" i="6"/>
  <c r="J37" i="6"/>
  <c r="J36" i="6"/>
  <c r="J35" i="6"/>
  <c r="J34" i="6"/>
  <c r="J33" i="6"/>
  <c r="Z29" i="6"/>
  <c r="Y29" i="6"/>
  <c r="J29" i="6"/>
  <c r="Z28" i="6"/>
  <c r="Y28" i="6"/>
  <c r="J28" i="6"/>
  <c r="Z27" i="6"/>
  <c r="Y27" i="6"/>
  <c r="J27" i="6"/>
  <c r="Y26" i="6"/>
  <c r="Z26" i="6" s="1"/>
  <c r="Z25" i="6"/>
  <c r="Y25" i="6"/>
  <c r="J25" i="6"/>
  <c r="Y24" i="6"/>
  <c r="Z24" i="6" s="1"/>
  <c r="J24" i="6"/>
  <c r="Y23" i="6"/>
  <c r="Z23" i="6" s="1"/>
  <c r="Y22" i="6"/>
  <c r="Z22" i="6" s="1"/>
  <c r="J22" i="6"/>
  <c r="Y21" i="6"/>
  <c r="Z21" i="6" s="1"/>
  <c r="J21" i="6"/>
  <c r="Z20" i="6"/>
  <c r="Y20" i="6"/>
  <c r="J20" i="6"/>
  <c r="Y19" i="6"/>
  <c r="J19" i="6" s="1"/>
  <c r="Y18" i="6"/>
  <c r="J18" i="6" s="1"/>
  <c r="Y17" i="6"/>
  <c r="Z17" i="6" s="1"/>
  <c r="J17" i="6"/>
  <c r="Z16" i="6"/>
  <c r="Y16" i="6"/>
  <c r="J16" i="6"/>
  <c r="Z15" i="6"/>
  <c r="Y15" i="6"/>
  <c r="J15" i="6" s="1"/>
  <c r="Y14" i="6"/>
  <c r="Z14" i="6" s="1"/>
  <c r="J14" i="6"/>
  <c r="Y13" i="6"/>
  <c r="Z13" i="6" s="1"/>
  <c r="J13" i="6"/>
  <c r="Z12" i="6"/>
  <c r="Y12" i="6"/>
  <c r="Y11" i="6"/>
  <c r="Z11" i="6" s="1"/>
  <c r="J11" i="6"/>
  <c r="Y10" i="6"/>
  <c r="Z10" i="6" s="1"/>
  <c r="J10" i="6"/>
  <c r="Z9" i="6"/>
  <c r="Y9" i="6"/>
  <c r="J9" i="6"/>
  <c r="Y8" i="6"/>
  <c r="J8" i="6" s="1"/>
  <c r="Y7" i="6"/>
  <c r="J7" i="6" s="1"/>
  <c r="Y6" i="6"/>
  <c r="Z6" i="6" s="1"/>
  <c r="J6" i="6"/>
  <c r="Z5" i="6"/>
  <c r="Y5" i="6"/>
  <c r="J5" i="6"/>
  <c r="Z4" i="6"/>
  <c r="Y4" i="6"/>
  <c r="J4" i="6" s="1"/>
  <c r="Y3" i="6"/>
  <c r="Z3" i="6" s="1"/>
  <c r="J3" i="6"/>
  <c r="Y2" i="6"/>
  <c r="Z2" i="6" s="1"/>
  <c r="J2" i="6"/>
  <c r="J43" i="6" l="1"/>
  <c r="Z7" i="6"/>
  <c r="Z8" i="6"/>
  <c r="Z19" i="6"/>
  <c r="Z18" i="6"/>
  <c r="J23" i="6"/>
  <c r="J26" i="6"/>
  <c r="AG119" i="10" l="1"/>
  <c r="AG118" i="10"/>
  <c r="AG117" i="10"/>
  <c r="AG116" i="10"/>
  <c r="AG115" i="10"/>
  <c r="AG114" i="10"/>
  <c r="AG113" i="10"/>
  <c r="AG112" i="10"/>
  <c r="AG111" i="10"/>
  <c r="AG97" i="10"/>
  <c r="AG96" i="10"/>
  <c r="AG95" i="10"/>
  <c r="AG94" i="10"/>
  <c r="AG93" i="10"/>
  <c r="AG92" i="10"/>
  <c r="AG91" i="10"/>
  <c r="AG90" i="10"/>
  <c r="AG89" i="10"/>
  <c r="AG88" i="10"/>
  <c r="AG87" i="10"/>
  <c r="AG86" i="10"/>
  <c r="AG85" i="10"/>
  <c r="AG84" i="10"/>
  <c r="AG83" i="10"/>
  <c r="AG82" i="10"/>
  <c r="AG81" i="10"/>
  <c r="AG79" i="10"/>
  <c r="AG78" i="10"/>
  <c r="AG77" i="10"/>
  <c r="AG76" i="10"/>
  <c r="AG75" i="10"/>
  <c r="AG74" i="10"/>
  <c r="AG73" i="10"/>
  <c r="AG72" i="10"/>
  <c r="AG71" i="10"/>
  <c r="AG70" i="10"/>
  <c r="AG69" i="10"/>
  <c r="AG68" i="10"/>
  <c r="AG67" i="10"/>
  <c r="AG66" i="10"/>
  <c r="AG65" i="10"/>
  <c r="AG64" i="10"/>
  <c r="AG63" i="10"/>
  <c r="AG62" i="10"/>
  <c r="AG61" i="10"/>
  <c r="AG60" i="10"/>
  <c r="AG59" i="10"/>
  <c r="AG58" i="10"/>
  <c r="AG57" i="10"/>
  <c r="AG56" i="10"/>
  <c r="AG55" i="10"/>
  <c r="AG54" i="10"/>
  <c r="AG53" i="10"/>
  <c r="AG52" i="10"/>
  <c r="AG51" i="10"/>
  <c r="AG50" i="10"/>
  <c r="AG49" i="10"/>
  <c r="AG48" i="10"/>
  <c r="AG47" i="10"/>
  <c r="AG46" i="10"/>
  <c r="AG45" i="10"/>
  <c r="AG44" i="10"/>
  <c r="AG43" i="10"/>
  <c r="AG42" i="10"/>
  <c r="AG41" i="10"/>
  <c r="AG40" i="10"/>
  <c r="AG39" i="10"/>
  <c r="AG38" i="10"/>
  <c r="AG37" i="10"/>
  <c r="AG36" i="10"/>
  <c r="AG35" i="10"/>
  <c r="AG34" i="10"/>
  <c r="AG33" i="10"/>
  <c r="AG31" i="10"/>
  <c r="AG30" i="10"/>
  <c r="AG28" i="10"/>
  <c r="AG27" i="10"/>
  <c r="AG23" i="10"/>
  <c r="AG22" i="10"/>
  <c r="AG21" i="10"/>
  <c r="AG20" i="10"/>
  <c r="AG19" i="10"/>
  <c r="AG18" i="10"/>
  <c r="AG17" i="10"/>
  <c r="AG16" i="10"/>
  <c r="AG13" i="10"/>
  <c r="AG12" i="10"/>
  <c r="AG8" i="10"/>
  <c r="AG7" i="10"/>
  <c r="AA45" i="10"/>
  <c r="AA43" i="10"/>
  <c r="AA42" i="10"/>
  <c r="AA38" i="10"/>
  <c r="H101" i="2" l="1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<sst xmlns="http://schemas.openxmlformats.org/spreadsheetml/2006/main" count="28626" uniqueCount="2463">
  <si>
    <t>Posting Date</t>
  </si>
  <si>
    <t>Entry Date</t>
  </si>
  <si>
    <t>Time of Entry</t>
  </si>
  <si>
    <t>Profit Center</t>
  </si>
  <si>
    <t>Document Date</t>
  </si>
  <si>
    <t>Purchase order</t>
  </si>
  <si>
    <t>Supplier</t>
  </si>
  <si>
    <t>Movement type</t>
  </si>
  <si>
    <t>Material Document</t>
  </si>
  <si>
    <t>Material</t>
  </si>
  <si>
    <t>BL</t>
  </si>
  <si>
    <t>Material Description</t>
  </si>
  <si>
    <t>Quantity</t>
  </si>
  <si>
    <t>Unit of Entry</t>
  </si>
  <si>
    <t>Batch</t>
  </si>
  <si>
    <t>Document Header Text</t>
  </si>
  <si>
    <t>Qty in unit of entry</t>
  </si>
  <si>
    <t>Reference</t>
  </si>
  <si>
    <t>User Name</t>
  </si>
  <si>
    <t>Storage location</t>
  </si>
  <si>
    <t>Amt.in Loc.Cur.</t>
  </si>
  <si>
    <t>Consumption</t>
  </si>
  <si>
    <t>Cost Center</t>
  </si>
  <si>
    <t>Currency</t>
  </si>
  <si>
    <t>Plant</t>
  </si>
  <si>
    <t>Name 1</t>
  </si>
  <si>
    <t>Movement Type Text</t>
  </si>
  <si>
    <t>Special Stock</t>
  </si>
  <si>
    <t>Material Doc.Item</t>
  </si>
  <si>
    <t>Asset</t>
  </si>
  <si>
    <t>Sub-number</t>
  </si>
  <si>
    <t>Counter</t>
  </si>
  <si>
    <t>Order</t>
  </si>
  <si>
    <t>Routing number for operations</t>
  </si>
  <si>
    <t>Qty in OPUn</t>
  </si>
  <si>
    <t>Order Price Unit</t>
  </si>
  <si>
    <t>Order Unit</t>
  </si>
  <si>
    <t>Qty in order unit</t>
  </si>
  <si>
    <t>Company Code</t>
  </si>
  <si>
    <t>Valuation Type</t>
  </si>
  <si>
    <t>Smart Number</t>
  </si>
  <si>
    <t>Item</t>
  </si>
  <si>
    <t>Warehouse Document</t>
  </si>
  <si>
    <t>Warehouse Number</t>
  </si>
  <si>
    <t>Ext. Amount in Local Currency</t>
  </si>
  <si>
    <t>Sales Value</t>
  </si>
  <si>
    <t>Reason for Movement</t>
  </si>
  <si>
    <t>Sales Order</t>
  </si>
  <si>
    <t>Sales order schedule</t>
  </si>
  <si>
    <t>Sales order item</t>
  </si>
  <si>
    <t>Customer</t>
  </si>
  <si>
    <t>Movement indicator</t>
  </si>
  <si>
    <t>Receipt Indicator</t>
  </si>
  <si>
    <t>Sales order</t>
  </si>
  <si>
    <t>Base Unit of Measure</t>
  </si>
  <si>
    <t>Material Doc. Year</t>
  </si>
  <si>
    <t>Network</t>
  </si>
  <si>
    <t>Activity</t>
  </si>
  <si>
    <t>WBS element</t>
  </si>
  <si>
    <t>Reservation</t>
  </si>
  <si>
    <t>Item number of reservation</t>
  </si>
  <si>
    <t>G/L Account</t>
  </si>
  <si>
    <t>Stock Segment</t>
  </si>
  <si>
    <t>Debit/Credit ind</t>
  </si>
  <si>
    <t>Trans./Event Type</t>
  </si>
  <si>
    <t>Sales Value inc. VAT</t>
  </si>
  <si>
    <t>Goods Receipt/Issue Slip</t>
  </si>
  <si>
    <t>Item automatically created</t>
  </si>
  <si>
    <t>Original Line Item</t>
  </si>
  <si>
    <t>Multiple Account Assignment</t>
  </si>
  <si>
    <t>LC/BCIssued(Y/N)</t>
  </si>
  <si>
    <t>LC/BCExpiryDate</t>
  </si>
  <si>
    <t>CreditDaysFromSupplier</t>
  </si>
  <si>
    <t>B250050747</t>
  </si>
  <si>
    <t>1240200923</t>
  </si>
  <si>
    <t>12010029</t>
  </si>
  <si>
    <t>101</t>
  </si>
  <si>
    <t>5000439056</t>
  </si>
  <si>
    <t>Searle Dialyzer Low Flux 1.6</t>
  </si>
  <si>
    <t>EA</t>
  </si>
  <si>
    <t>00Z250058B</t>
  </si>
  <si>
    <t>1240200923 - By Sea</t>
  </si>
  <si>
    <t>Z20250035</t>
  </si>
  <si>
    <t>SYED.OSAMA</t>
  </si>
  <si>
    <t>0011</t>
  </si>
  <si>
    <t/>
  </si>
  <si>
    <t>PKR</t>
  </si>
  <si>
    <t>1200</t>
  </si>
  <si>
    <t>IBL - HC</t>
  </si>
  <si>
    <t>GR goods receipt</t>
  </si>
  <si>
    <t>2</t>
  </si>
  <si>
    <t>0</t>
  </si>
  <si>
    <t>30</t>
  </si>
  <si>
    <t>B</t>
  </si>
  <si>
    <t>2025</t>
  </si>
  <si>
    <t>S</t>
  </si>
  <si>
    <t>WE</t>
  </si>
  <si>
    <t>00Z230139A</t>
  </si>
  <si>
    <t>1</t>
  </si>
  <si>
    <t>B250050503</t>
  </si>
  <si>
    <t>1240200911</t>
  </si>
  <si>
    <t>12010019</t>
  </si>
  <si>
    <t>5000440123</t>
  </si>
  <si>
    <t>WEGO Blood Bag-Double CPDA-1 -16G Needle</t>
  </si>
  <si>
    <t>020250315G</t>
  </si>
  <si>
    <t>IBLHC 14-24 WEI - i</t>
  </si>
  <si>
    <t>0012</t>
  </si>
  <si>
    <t>20</t>
  </si>
  <si>
    <t>020250425G</t>
  </si>
  <si>
    <t>B250050508</t>
  </si>
  <si>
    <t>WEGO Blood Transfusion Set 18G*11/2 Nedl</t>
  </si>
  <si>
    <t>0020250405</t>
  </si>
  <si>
    <t>3</t>
  </si>
  <si>
    <t>B250050513</t>
  </si>
  <si>
    <t>5000440222</t>
  </si>
  <si>
    <t>Wego Trpl Blod Bag+500x2ml Platelet Bag</t>
  </si>
  <si>
    <t>020250316G</t>
  </si>
  <si>
    <t>IBLHC 14-24 WEI - ii</t>
  </si>
  <si>
    <t>10</t>
  </si>
  <si>
    <t>020250426G</t>
  </si>
  <si>
    <t>PROTIEX SURGICAL GLOVES- POWDER FREE 7.0</t>
  </si>
  <si>
    <t>203159857S</t>
  </si>
  <si>
    <t>WAQAS.H</t>
  </si>
  <si>
    <t>PROTIEX EXAMI GLOVES-POWDERED (MEDIUM)</t>
  </si>
  <si>
    <t>PROTIEX EXAMI GLOVES-POWDERED (LARGE)</t>
  </si>
  <si>
    <t>Medeco IV CANNULA 22G</t>
  </si>
  <si>
    <t>6</t>
  </si>
  <si>
    <t>60</t>
  </si>
  <si>
    <t>7</t>
  </si>
  <si>
    <t>70</t>
  </si>
  <si>
    <t>8</t>
  </si>
  <si>
    <t>5</t>
  </si>
  <si>
    <t>50</t>
  </si>
  <si>
    <t>Medeco IV CANNULA 24G</t>
  </si>
  <si>
    <t>4</t>
  </si>
  <si>
    <t>40</t>
  </si>
  <si>
    <t>B250050748</t>
  </si>
  <si>
    <t>1240200927</t>
  </si>
  <si>
    <t>5000441191</t>
  </si>
  <si>
    <t>Searle Dialyzer Low Flux 1.8</t>
  </si>
  <si>
    <t>00Z240195B</t>
  </si>
  <si>
    <t>Z20250036-2</t>
  </si>
  <si>
    <t>00Z250109B</t>
  </si>
  <si>
    <t>B250050751</t>
  </si>
  <si>
    <t>Searle Dialyzer Low Flux 2.0</t>
  </si>
  <si>
    <t>00Z240188A</t>
  </si>
  <si>
    <t>00Z250070A</t>
  </si>
  <si>
    <t>00Z250071A</t>
  </si>
  <si>
    <t>B250050746</t>
  </si>
  <si>
    <t>1240200928</t>
  </si>
  <si>
    <t>5000441391</t>
  </si>
  <si>
    <t>Searle Dialyzer Low Flux 1.4</t>
  </si>
  <si>
    <t>00Z240196B</t>
  </si>
  <si>
    <t>Z20250036-1</t>
  </si>
  <si>
    <t>00Z250057B</t>
  </si>
  <si>
    <t>B250050755</t>
  </si>
  <si>
    <t>1240200925</t>
  </si>
  <si>
    <t>12010030</t>
  </si>
  <si>
    <t>5000442322</t>
  </si>
  <si>
    <t>Searle A.V Fistula Needle Set 15G</t>
  </si>
  <si>
    <t>000A255901</t>
  </si>
  <si>
    <t>20250320-1</t>
  </si>
  <si>
    <t>B250050756</t>
  </si>
  <si>
    <t>Searle A.V Fistula Needle Set 16G</t>
  </si>
  <si>
    <t>000A255902</t>
  </si>
  <si>
    <t>B250050757</t>
  </si>
  <si>
    <t>Searle A.V Fistula Needle Set 17G</t>
  </si>
  <si>
    <t>000A255903</t>
  </si>
  <si>
    <t>B250050502</t>
  </si>
  <si>
    <t>1240200924</t>
  </si>
  <si>
    <t>5000443285</t>
  </si>
  <si>
    <t>WEGO Blood Bag-Single CPDA-1 -16G Needle</t>
  </si>
  <si>
    <t>020250525G</t>
  </si>
  <si>
    <t>WGIBL-BB2503</t>
  </si>
  <si>
    <t>020250515G</t>
  </si>
  <si>
    <t>5000443989</t>
  </si>
  <si>
    <t>020250526G</t>
  </si>
  <si>
    <t>5000444389</t>
  </si>
  <si>
    <t>020250527G</t>
  </si>
  <si>
    <t>B250050514</t>
  </si>
  <si>
    <t>5000445382</t>
  </si>
  <si>
    <t>Wego I.V. Burette Set 100ml</t>
  </si>
  <si>
    <t>0020250515</t>
  </si>
  <si>
    <t>B250050952</t>
  </si>
  <si>
    <t>1240100564</t>
  </si>
  <si>
    <t>10120119</t>
  </si>
  <si>
    <t>5000447378</t>
  </si>
  <si>
    <t>Klisty (Colistimethate Sodium) 1 MIU 1's</t>
  </si>
  <si>
    <t>0000CS-058</t>
  </si>
  <si>
    <t>B250050352</t>
  </si>
  <si>
    <t>1240200929</t>
  </si>
  <si>
    <t>12010013</t>
  </si>
  <si>
    <t>5000448975</t>
  </si>
  <si>
    <t>Nebulizer Face Mask-Adult</t>
  </si>
  <si>
    <t>00025B05NK</t>
  </si>
  <si>
    <t>UM 03-25</t>
  </si>
  <si>
    <t>B250050353</t>
  </si>
  <si>
    <t>Nebulizer Face Mask-Pediatric</t>
  </si>
  <si>
    <t>B250050354</t>
  </si>
  <si>
    <t>Nasal Oxygen Cannula-Adult</t>
  </si>
  <si>
    <t>00025B05NO</t>
  </si>
  <si>
    <t>B250050355</t>
  </si>
  <si>
    <t>Ultramed Urine Bag T Connector -2000ml</t>
  </si>
  <si>
    <t>00025B05SG</t>
  </si>
  <si>
    <t>B250050360</t>
  </si>
  <si>
    <t>Feeding Tube-10 FG</t>
  </si>
  <si>
    <t>000025B05F</t>
  </si>
  <si>
    <t>B250050363</t>
  </si>
  <si>
    <t>Suction Catheter "Thumb Control" Size 8</t>
  </si>
  <si>
    <t>000025B05S</t>
  </si>
  <si>
    <t>1240200946</t>
  </si>
  <si>
    <t>5000451191</t>
  </si>
  <si>
    <t>020250622G</t>
  </si>
  <si>
    <t>0020250620</t>
  </si>
  <si>
    <t>B250050758</t>
  </si>
  <si>
    <t>1240200953</t>
  </si>
  <si>
    <t>12010044</t>
  </si>
  <si>
    <t>5000454263</t>
  </si>
  <si>
    <t>PROANES 1% INJ 20MLx5'S</t>
  </si>
  <si>
    <t>PAC</t>
  </si>
  <si>
    <t>000FE3401C</t>
  </si>
  <si>
    <t>000FE3401D</t>
  </si>
  <si>
    <t>000FF3401C</t>
  </si>
  <si>
    <t>000FF3401D</t>
  </si>
  <si>
    <t>000FF3402C</t>
  </si>
  <si>
    <t>000FF3402D</t>
  </si>
  <si>
    <t>HOSPICAINE SP INJ 7.5MG/ML 5's ( PAK)</t>
  </si>
  <si>
    <t>1240200948</t>
  </si>
  <si>
    <t>5000457217</t>
  </si>
  <si>
    <t>020250717G</t>
  </si>
  <si>
    <t>020250718G</t>
  </si>
  <si>
    <t>0020250705</t>
  </si>
  <si>
    <t>214159855L</t>
  </si>
  <si>
    <t>1240200952</t>
  </si>
  <si>
    <t>5000464462</t>
  </si>
  <si>
    <t>0020250623</t>
  </si>
  <si>
    <t>IBL-BB-2504C</t>
  </si>
  <si>
    <t>B250050528</t>
  </si>
  <si>
    <t>Wego Blood Transfusion Set</t>
  </si>
  <si>
    <t>0S20250830</t>
  </si>
  <si>
    <t>1240200947</t>
  </si>
  <si>
    <t>5000464467</t>
  </si>
  <si>
    <t>020250621G</t>
  </si>
  <si>
    <t>IBL-BB-2504B</t>
  </si>
  <si>
    <t>B250050507</t>
  </si>
  <si>
    <t>WEGO Blood Bag Triple with Safty Acesory</t>
  </si>
  <si>
    <t>SP20250624</t>
  </si>
  <si>
    <t>SP20250625</t>
  </si>
  <si>
    <t>0S20250825</t>
  </si>
  <si>
    <t>1240200949</t>
  </si>
  <si>
    <t>5000464501</t>
  </si>
  <si>
    <t>IBL-BB-2505B</t>
  </si>
  <si>
    <t>SP20250720</t>
  </si>
  <si>
    <t>0S20250905</t>
  </si>
  <si>
    <t>1240200950</t>
  </si>
  <si>
    <t>5000464557</t>
  </si>
  <si>
    <t>IBL-BB-2505C</t>
  </si>
  <si>
    <t>020250715G</t>
  </si>
  <si>
    <t>5000465399</t>
  </si>
  <si>
    <t>1240200950 - 3X40ft</t>
  </si>
  <si>
    <t>0006</t>
  </si>
  <si>
    <t>5000465400</t>
  </si>
  <si>
    <t>5000465401</t>
  </si>
  <si>
    <t>020250716G</t>
  </si>
  <si>
    <t>5000465403</t>
  </si>
  <si>
    <t>0S20250818</t>
  </si>
  <si>
    <t>0S20250820</t>
  </si>
  <si>
    <t>1240200951</t>
  </si>
  <si>
    <t>5000466408</t>
  </si>
  <si>
    <t>020250719G</t>
  </si>
  <si>
    <t>PROTIEX SURGICAL GLOVES-POWDERED 7.0</t>
  </si>
  <si>
    <t>PROTIEX SURGICAL GLOVES- POWDER FREE 7.5</t>
  </si>
  <si>
    <t>1240200973</t>
  </si>
  <si>
    <t>5000468842</t>
  </si>
  <si>
    <t>Z20250105-1</t>
  </si>
  <si>
    <t>00Z250187B</t>
  </si>
  <si>
    <t>00Z250196B</t>
  </si>
  <si>
    <t>00Z250188B</t>
  </si>
  <si>
    <t>1240200968</t>
  </si>
  <si>
    <t>5000470854</t>
  </si>
  <si>
    <t>000FK3402A</t>
  </si>
  <si>
    <t>9</t>
  </si>
  <si>
    <t>000FK3401D</t>
  </si>
  <si>
    <t>000FK3401C</t>
  </si>
  <si>
    <t>000FJ3452D</t>
  </si>
  <si>
    <t>000FJ4352C</t>
  </si>
  <si>
    <t>000FJ3451D</t>
  </si>
  <si>
    <t>000FJ3451C</t>
  </si>
  <si>
    <t>000FJ3415D</t>
  </si>
  <si>
    <t>000FJ3415C</t>
  </si>
  <si>
    <t>1240200974</t>
  </si>
  <si>
    <t>5000471546</t>
  </si>
  <si>
    <t>Z20250105-2</t>
  </si>
  <si>
    <t>00Z250218B</t>
  </si>
  <si>
    <t>B250050760</t>
  </si>
  <si>
    <t>1240200990</t>
  </si>
  <si>
    <t>10110301</t>
  </si>
  <si>
    <t>5000474082</t>
  </si>
  <si>
    <t>Sevolife 250ml</t>
  </si>
  <si>
    <t>0188251101</t>
  </si>
  <si>
    <t>2026</t>
  </si>
  <si>
    <t>Medeco I.V. Cannula with Stopper-24G</t>
  </si>
  <si>
    <t>0000241262</t>
  </si>
  <si>
    <t>1240200970</t>
  </si>
  <si>
    <t>5000474879</t>
  </si>
  <si>
    <t>020251026G</t>
  </si>
  <si>
    <t>WG-BB-2508</t>
  </si>
  <si>
    <t>0020251105</t>
  </si>
  <si>
    <t>1240200969</t>
  </si>
  <si>
    <t>5000475000</t>
  </si>
  <si>
    <t>020250820G</t>
  </si>
  <si>
    <t>WG-BB-2506</t>
  </si>
  <si>
    <t>5000475002</t>
  </si>
  <si>
    <t>020250915G</t>
  </si>
  <si>
    <t>5000475005</t>
  </si>
  <si>
    <t>5000475006</t>
  </si>
  <si>
    <t>00Z250219B</t>
  </si>
  <si>
    <t>5000475007</t>
  </si>
  <si>
    <t>B250050792</t>
  </si>
  <si>
    <t>1240200967</t>
  </si>
  <si>
    <t>12010026</t>
  </si>
  <si>
    <t>5000475651</t>
  </si>
  <si>
    <t>UROMIT Urine Bag with T-Valve 2000mL</t>
  </si>
  <si>
    <t>B250050719</t>
  </si>
  <si>
    <t>Fistula Needle Pair, BE, FW 16G</t>
  </si>
  <si>
    <t>B250050723</t>
  </si>
  <si>
    <t>Blood Tubing 6.3mm</t>
  </si>
  <si>
    <t>0000GYG002</t>
  </si>
  <si>
    <t>1240100595</t>
  </si>
  <si>
    <t>5000482848</t>
  </si>
  <si>
    <t>0000CS-064</t>
  </si>
  <si>
    <t>5000485474</t>
  </si>
  <si>
    <t>Searleflo y-port 150cm</t>
  </si>
  <si>
    <t>203159855S</t>
  </si>
  <si>
    <t>B250050718</t>
  </si>
  <si>
    <t>1240100610</t>
  </si>
  <si>
    <t>12020174</t>
  </si>
  <si>
    <t>5000487755</t>
  </si>
  <si>
    <t>Fistula Needle Pair, BE, FW 15G</t>
  </si>
  <si>
    <t>2502100376</t>
  </si>
  <si>
    <t>2602100254</t>
  </si>
  <si>
    <t>2501161161</t>
  </si>
  <si>
    <t>2501161191</t>
  </si>
  <si>
    <t>1240200992</t>
  </si>
  <si>
    <t>5000488034</t>
  </si>
  <si>
    <t>000GA3409C</t>
  </si>
  <si>
    <t>000GA3408D</t>
  </si>
  <si>
    <t>000GA3408C</t>
  </si>
  <si>
    <t>000GA3407D</t>
  </si>
  <si>
    <t>000GA3407C</t>
  </si>
  <si>
    <t>000GA3406D</t>
  </si>
  <si>
    <t>000GA3406C</t>
  </si>
  <si>
    <t>000GA3405D</t>
  </si>
  <si>
    <t>000GA3405C</t>
  </si>
  <si>
    <t>1240200994</t>
  </si>
  <si>
    <t>5000490290</t>
  </si>
  <si>
    <t>00Z260067B</t>
  </si>
  <si>
    <t>PROTIEX SURGICAL GLOVES-POWDERED 7.5</t>
  </si>
  <si>
    <t>PROTIEX SURGICAL GLOVES- POWDER FREE 6.5</t>
  </si>
  <si>
    <t>203160419S</t>
  </si>
  <si>
    <t>0020251202</t>
  </si>
  <si>
    <t>BL Date</t>
  </si>
  <si>
    <t>LC / BC Issue Date</t>
  </si>
  <si>
    <t>2302410204</t>
  </si>
  <si>
    <t>1040205134</t>
  </si>
  <si>
    <t>10160025</t>
  </si>
  <si>
    <t>5000454384</t>
  </si>
  <si>
    <t>1019001125</t>
  </si>
  <si>
    <t>Medeco IV CANNULA 20G</t>
  </si>
  <si>
    <t>241252</t>
  </si>
  <si>
    <t>0007</t>
  </si>
  <si>
    <t>1000</t>
  </si>
  <si>
    <t>TSCL- SITE KHI</t>
  </si>
  <si>
    <t>N/A</t>
  </si>
  <si>
    <t>241251</t>
  </si>
  <si>
    <t>241253</t>
  </si>
  <si>
    <t>2302410205</t>
  </si>
  <si>
    <t>1019001126</t>
  </si>
  <si>
    <t>241255</t>
  </si>
  <si>
    <t>241254</t>
  </si>
  <si>
    <t>241257</t>
  </si>
  <si>
    <t>241256</t>
  </si>
  <si>
    <t>2302410217</t>
  </si>
  <si>
    <t>1040205417</t>
  </si>
  <si>
    <t>5000458077</t>
  </si>
  <si>
    <t>1019001302</t>
  </si>
  <si>
    <t>Medeco Insulin Syringe- Pack- 8mm</t>
  </si>
  <si>
    <t>20250721</t>
  </si>
  <si>
    <t>Yes</t>
  </si>
  <si>
    <t>90 Days from BL</t>
  </si>
  <si>
    <t>08.09.2025</t>
  </si>
  <si>
    <t>Bank Contract</t>
  </si>
  <si>
    <t>2302410110</t>
  </si>
  <si>
    <t>1040205054</t>
  </si>
  <si>
    <t>10160020</t>
  </si>
  <si>
    <t>5000460259</t>
  </si>
  <si>
    <t>1019001115</t>
  </si>
  <si>
    <t>90</t>
  </si>
  <si>
    <t>30.08.2025</t>
  </si>
  <si>
    <t>25.04.2025</t>
  </si>
  <si>
    <t>2302410111</t>
  </si>
  <si>
    <t>1019001116</t>
  </si>
  <si>
    <t>100</t>
  </si>
  <si>
    <t>2302410221</t>
  </si>
  <si>
    <t>5000474344</t>
  </si>
  <si>
    <t>1019001298</t>
  </si>
  <si>
    <t>Medeco I.V. Cannula with Stopper-20G</t>
  </si>
  <si>
    <t>241260</t>
  </si>
  <si>
    <t>2302410222</t>
  </si>
  <si>
    <t>1019001299</t>
  </si>
  <si>
    <t>Medeco I.V. Cannula with Stopper-22G</t>
  </si>
  <si>
    <t>241261</t>
  </si>
  <si>
    <t>2302410223</t>
  </si>
  <si>
    <t>1019001300</t>
  </si>
  <si>
    <t>2302410220</t>
  </si>
  <si>
    <t>5000474345</t>
  </si>
  <si>
    <t>1019001297</t>
  </si>
  <si>
    <t>Medeco I.V. Cannula with Stopper-18G</t>
  </si>
  <si>
    <t>241259</t>
  </si>
  <si>
    <t>5000474346</t>
  </si>
  <si>
    <t>2302410103</t>
  </si>
  <si>
    <t>1040205055</t>
  </si>
  <si>
    <t>5000476376</t>
  </si>
  <si>
    <t>1019001108</t>
  </si>
  <si>
    <t>PROTIEX SURGICAL GLOVES-POWDERED 6.5</t>
  </si>
  <si>
    <t>2302410104</t>
  </si>
  <si>
    <t>1019001109</t>
  </si>
  <si>
    <t>2302410105</t>
  </si>
  <si>
    <t>1019001110</t>
  </si>
  <si>
    <t>2302410106</t>
  </si>
  <si>
    <t>1019001111</t>
  </si>
  <si>
    <t>PROTIEX SURGICAL GLOVES-POWDERED 8.0</t>
  </si>
  <si>
    <t>2302410113</t>
  </si>
  <si>
    <t>1019001118</t>
  </si>
  <si>
    <t>BOX</t>
  </si>
  <si>
    <t>2302410114</t>
  </si>
  <si>
    <t>1019001119</t>
  </si>
  <si>
    <t>2302410115</t>
  </si>
  <si>
    <t>1019001120</t>
  </si>
  <si>
    <t>2302410116</t>
  </si>
  <si>
    <t>1019001121</t>
  </si>
  <si>
    <t>PROTIEX SURGICAL GLOVES- POWDER FREE 8.0</t>
  </si>
  <si>
    <t>80</t>
  </si>
  <si>
    <t>1040205574</t>
  </si>
  <si>
    <t>5000477607</t>
  </si>
  <si>
    <t>250958</t>
  </si>
  <si>
    <t>26.03.2026</t>
  </si>
  <si>
    <t>10.01.2026</t>
  </si>
  <si>
    <t>16.12.2025</t>
  </si>
  <si>
    <t>250959</t>
  </si>
  <si>
    <t>250960</t>
  </si>
  <si>
    <t>250961</t>
  </si>
  <si>
    <t>250962</t>
  </si>
  <si>
    <t>250949</t>
  </si>
  <si>
    <t>250957</t>
  </si>
  <si>
    <t>250956</t>
  </si>
  <si>
    <t>250955</t>
  </si>
  <si>
    <t>250963</t>
  </si>
  <si>
    <t>1040205573</t>
  </si>
  <si>
    <t>5000477857</t>
  </si>
  <si>
    <t>250947</t>
  </si>
  <si>
    <t>11.03.2026</t>
  </si>
  <si>
    <t>10.12.2025</t>
  </si>
  <si>
    <t>250948</t>
  </si>
  <si>
    <t>250950</t>
  </si>
  <si>
    <t>250951</t>
  </si>
  <si>
    <t>250952</t>
  </si>
  <si>
    <t>250953</t>
  </si>
  <si>
    <t>250954</t>
  </si>
  <si>
    <t>2302410230</t>
  </si>
  <si>
    <t>1040205549</t>
  </si>
  <si>
    <t>10160209</t>
  </si>
  <si>
    <t>5000478133</t>
  </si>
  <si>
    <t>1019001536</t>
  </si>
  <si>
    <t>Searle Flo IV Set-Blstr with YPort-150cm</t>
  </si>
  <si>
    <t>60 Days from BL</t>
  </si>
  <si>
    <t>22.10.2025</t>
  </si>
  <si>
    <t>2302410227</t>
  </si>
  <si>
    <t>1040205520</t>
  </si>
  <si>
    <t>5000481664</t>
  </si>
  <si>
    <t>1019001309</t>
  </si>
  <si>
    <t>Searle Flo IV Set-PE w/o Y-Port-120cm</t>
  </si>
  <si>
    <t>20251201</t>
  </si>
  <si>
    <t>1040205097</t>
  </si>
  <si>
    <t>5000486645</t>
  </si>
  <si>
    <t>27.05.2025</t>
  </si>
  <si>
    <t>20.01.2025</t>
  </si>
  <si>
    <t>5000487245</t>
  </si>
  <si>
    <t>5000487396</t>
  </si>
  <si>
    <t>1040205575</t>
  </si>
  <si>
    <t>5000489724</t>
  </si>
  <si>
    <t>251269</t>
  </si>
  <si>
    <t>251114</t>
  </si>
  <si>
    <t>251113</t>
  </si>
  <si>
    <t>251112</t>
  </si>
  <si>
    <t>1040205576</t>
  </si>
  <si>
    <t>5000489727</t>
  </si>
  <si>
    <t>251104</t>
  </si>
  <si>
    <t>15.12.2025</t>
  </si>
  <si>
    <t>251105</t>
  </si>
  <si>
    <t>251111</t>
  </si>
  <si>
    <t>251110</t>
  </si>
  <si>
    <t>251106</t>
  </si>
  <si>
    <t>251107</t>
  </si>
  <si>
    <t>251108</t>
  </si>
  <si>
    <t>251109</t>
  </si>
  <si>
    <t>2302410206</t>
  </si>
  <si>
    <t>1040205514</t>
  </si>
  <si>
    <t>5000492042</t>
  </si>
  <si>
    <t>1019001127</t>
  </si>
  <si>
    <t>250822</t>
  </si>
  <si>
    <t>11.12.2025</t>
  </si>
  <si>
    <t>250821</t>
  </si>
  <si>
    <t>250820</t>
  </si>
  <si>
    <t>250819</t>
  </si>
  <si>
    <t>2302410203</t>
  </si>
  <si>
    <t>1040205515</t>
  </si>
  <si>
    <t>5000492046</t>
  </si>
  <si>
    <t>1019001124</t>
  </si>
  <si>
    <t>Medeco IV CANNULA 18G</t>
  </si>
  <si>
    <t>250812</t>
  </si>
  <si>
    <t>250813</t>
  </si>
  <si>
    <t>250814</t>
  </si>
  <si>
    <t>5000492050</t>
  </si>
  <si>
    <t>250817</t>
  </si>
  <si>
    <t>250816</t>
  </si>
  <si>
    <t>250815</t>
  </si>
  <si>
    <t>250818</t>
  </si>
  <si>
    <t>5000492051</t>
  </si>
  <si>
    <t>250823</t>
  </si>
  <si>
    <t>250825</t>
  </si>
  <si>
    <t>250824</t>
  </si>
  <si>
    <t>5000492052</t>
  </si>
  <si>
    <t>250828</t>
  </si>
  <si>
    <t>250827</t>
  </si>
  <si>
    <t>250826</t>
  </si>
  <si>
    <t>250830</t>
  </si>
  <si>
    <t>250829</t>
  </si>
  <si>
    <t>2302410254</t>
  </si>
  <si>
    <t>5000493201</t>
  </si>
  <si>
    <t>1219000666</t>
  </si>
  <si>
    <t>Medeco IV Cannula Pen Type-18G</t>
  </si>
  <si>
    <t>0000251027</t>
  </si>
  <si>
    <t>2302410255</t>
  </si>
  <si>
    <t>1219000667</t>
  </si>
  <si>
    <t>Medeco IV Cannula Pen Type-20G</t>
  </si>
  <si>
    <t>0000251028</t>
  </si>
  <si>
    <t>2302410256</t>
  </si>
  <si>
    <t>1219000668</t>
  </si>
  <si>
    <t>Medeco IV Cannula Pen Type-22G</t>
  </si>
  <si>
    <t>0000251029</t>
  </si>
  <si>
    <t>110</t>
  </si>
  <si>
    <t>2302410257</t>
  </si>
  <si>
    <t>1219000669</t>
  </si>
  <si>
    <t>Medeco IV Cannula Pen Type-24G</t>
  </si>
  <si>
    <t>0000251030</t>
  </si>
  <si>
    <t>120</t>
  </si>
  <si>
    <t>Sold-to Party</t>
  </si>
  <si>
    <t>Name</t>
  </si>
  <si>
    <t>Category</t>
  </si>
  <si>
    <t>Reference document</t>
  </si>
  <si>
    <t>Sales document</t>
  </si>
  <si>
    <t>Billing Document</t>
  </si>
  <si>
    <t>Canceled Bill. Doc.</t>
  </si>
  <si>
    <t>Returns</t>
  </si>
  <si>
    <t>Billing Date</t>
  </si>
  <si>
    <t>Invoiced Quantity</t>
  </si>
  <si>
    <t>Net Value</t>
  </si>
  <si>
    <t>Billing Type</t>
  </si>
  <si>
    <t>Private</t>
  </si>
  <si>
    <t>1219000524</t>
  </si>
  <si>
    <t>0000182201</t>
  </si>
  <si>
    <t>Medeco Insulin Syringe- Single- 8mm</t>
  </si>
  <si>
    <t>ZHLS</t>
  </si>
  <si>
    <t>0001</t>
  </si>
  <si>
    <t>12000702</t>
  </si>
  <si>
    <t>BILQEES SARWAR FOUNDATION</t>
  </si>
  <si>
    <t>1219000754</t>
  </si>
  <si>
    <t>Searle Blood Tubing Set 6.5mm</t>
  </si>
  <si>
    <t>1219000832</t>
  </si>
  <si>
    <t>12000607</t>
  </si>
  <si>
    <t>1219000509</t>
  </si>
  <si>
    <t>1219000780</t>
  </si>
  <si>
    <t>ASIF TRADERS</t>
  </si>
  <si>
    <t>1219000121</t>
  </si>
  <si>
    <t>B250050349</t>
  </si>
  <si>
    <t>Oxygen Face Mask-Adult</t>
  </si>
  <si>
    <t>Intermedik Pvt LTD</t>
  </si>
  <si>
    <t>1219000600</t>
  </si>
  <si>
    <t>Wego Infusion Set 1.5 Meter tube (Y)</t>
  </si>
  <si>
    <t>1219000741</t>
  </si>
  <si>
    <t>0020240520</t>
  </si>
  <si>
    <t>Wego Infusion Set 150 cm tube length</t>
  </si>
  <si>
    <t>12000139</t>
  </si>
  <si>
    <t>Unimed</t>
  </si>
  <si>
    <t>X</t>
  </si>
  <si>
    <t>ZHRE</t>
  </si>
  <si>
    <t>10010174</t>
  </si>
  <si>
    <t>MEDITRACK PAKISTAN</t>
  </si>
  <si>
    <t>1219000546</t>
  </si>
  <si>
    <t>1219001017</t>
  </si>
  <si>
    <t>12000530</t>
  </si>
  <si>
    <t>OMI Hospital Pvt LTD</t>
  </si>
  <si>
    <t>1219000758</t>
  </si>
  <si>
    <t>12020042</t>
  </si>
  <si>
    <t>Dr. Zia Uddin Hospital</t>
  </si>
  <si>
    <t>10020165</t>
  </si>
  <si>
    <t>INDUS HOSPITAL &amp; HEALTH NETWORK</t>
  </si>
  <si>
    <t>12000006</t>
  </si>
  <si>
    <t>Bilal Distributors</t>
  </si>
  <si>
    <t>12020023</t>
  </si>
  <si>
    <t>National Agencies</t>
  </si>
  <si>
    <t>10020768</t>
  </si>
  <si>
    <t>Tabba Heart Institute</t>
  </si>
  <si>
    <t>1219000833</t>
  </si>
  <si>
    <t>Shalamar Hospital</t>
  </si>
  <si>
    <t>1219000831</t>
  </si>
  <si>
    <t>1219000660</t>
  </si>
  <si>
    <t>Regional Blood Centre Sukkur</t>
  </si>
  <si>
    <t>1219000753</t>
  </si>
  <si>
    <t>12020239</t>
  </si>
  <si>
    <t>Kutiyana Memon Hospital</t>
  </si>
  <si>
    <t>1219000544</t>
  </si>
  <si>
    <t>1219000547</t>
  </si>
  <si>
    <t>156763SPZA</t>
  </si>
  <si>
    <t>10000016</t>
  </si>
  <si>
    <t>Sky Pharma</t>
  </si>
  <si>
    <t>0020250105</t>
  </si>
  <si>
    <t>BIOMED SOLUTION</t>
  </si>
  <si>
    <t>1219000817</t>
  </si>
  <si>
    <t>0020240229</t>
  </si>
  <si>
    <t>Steriloc Sterilization paper  100x100cm</t>
  </si>
  <si>
    <t>Steriloc Sterilization paper  120x120cm</t>
  </si>
  <si>
    <t>Karachi Medical Company</t>
  </si>
  <si>
    <t>1013000882</t>
  </si>
  <si>
    <t>12000655</t>
  </si>
  <si>
    <t>AKBAR PHARMA DISTRIBUTORS</t>
  </si>
  <si>
    <t>12020051</t>
  </si>
  <si>
    <t>12020159</t>
  </si>
  <si>
    <t>12020328</t>
  </si>
  <si>
    <t>AZIZ MEDICINE&amp; SURGICAL</t>
  </si>
  <si>
    <t>1219001002</t>
  </si>
  <si>
    <t>12020052</t>
  </si>
  <si>
    <t>1219000825</t>
  </si>
  <si>
    <t>0020230824</t>
  </si>
  <si>
    <t>Steriloc Strilztion Flat Reel 150mmx200m</t>
  </si>
  <si>
    <t>10010442</t>
  </si>
  <si>
    <t>Hussain Traders</t>
  </si>
  <si>
    <t>203154784S</t>
  </si>
  <si>
    <t>12000605</t>
  </si>
  <si>
    <t>Medizone Trader</t>
  </si>
  <si>
    <t>1219000555</t>
  </si>
  <si>
    <t>PROTIEX EXAMI GLOVES-POWDERED (SMALL)</t>
  </si>
  <si>
    <t>12000057</t>
  </si>
  <si>
    <t>Balochistan Valleys</t>
  </si>
  <si>
    <t>Azam Trading Services</t>
  </si>
  <si>
    <t>12000464</t>
  </si>
  <si>
    <t>Al Mustafa Medical Centre</t>
  </si>
  <si>
    <t>1219000799</t>
  </si>
  <si>
    <t>12000710</t>
  </si>
  <si>
    <t>Medives Enterprises</t>
  </si>
  <si>
    <t>12020014</t>
  </si>
  <si>
    <t>Holy Family Hospital</t>
  </si>
  <si>
    <t>0020250110</t>
  </si>
  <si>
    <t>1219000550</t>
  </si>
  <si>
    <t>1219000551</t>
  </si>
  <si>
    <t>Wego Blood Bag Single 250 ml</t>
  </si>
  <si>
    <t>12000108</t>
  </si>
  <si>
    <t>The Layton Rahmatullah Benevolent T</t>
  </si>
  <si>
    <t>1219000558</t>
  </si>
  <si>
    <t>12000419</t>
  </si>
  <si>
    <t>Atia General Hospital</t>
  </si>
  <si>
    <t>1219000552</t>
  </si>
  <si>
    <t>1219000579</t>
  </si>
  <si>
    <t>0000230413</t>
  </si>
  <si>
    <t>0020240902</t>
  </si>
  <si>
    <t>12000293</t>
  </si>
  <si>
    <t>Bakhtawar Amin Memorial Trust</t>
  </si>
  <si>
    <t>1219000826</t>
  </si>
  <si>
    <t>Steriloc Strilztion Flat Reel 200mmx200m</t>
  </si>
  <si>
    <t>10010455</t>
  </si>
  <si>
    <t>Saifee Hospital Trust</t>
  </si>
  <si>
    <t>Shifa Tameer-e-Millat University</t>
  </si>
  <si>
    <t>12020307</t>
  </si>
  <si>
    <t>Bantva Memon Khidmat Committee</t>
  </si>
  <si>
    <t>0000241022</t>
  </si>
  <si>
    <t>0000241023</t>
  </si>
  <si>
    <t>Karmi Blood Bag Triple 500ml</t>
  </si>
  <si>
    <t>0020250225</t>
  </si>
  <si>
    <t>12000096</t>
  </si>
  <si>
    <t>S&amp;T Corporation</t>
  </si>
  <si>
    <t>12000374</t>
  </si>
  <si>
    <t>Hashmanis Hospital</t>
  </si>
  <si>
    <t>1219000823</t>
  </si>
  <si>
    <t>Steriloc Sterilztion Flat Reel 75mmx200m</t>
  </si>
  <si>
    <t>1219000824</t>
  </si>
  <si>
    <t>Steriloc Strilztion Flat Reel 100mmx200m</t>
  </si>
  <si>
    <t>Steriloc Strilztion Flat Reel 300mmx200m</t>
  </si>
  <si>
    <t>1219000553</t>
  </si>
  <si>
    <t>151503SPZA</t>
  </si>
  <si>
    <t>12000303</t>
  </si>
  <si>
    <t>Sharif Trust Medical City Hospital</t>
  </si>
  <si>
    <t>1219000757</t>
  </si>
  <si>
    <t>Searle Blood Tubing Set 8mm</t>
  </si>
  <si>
    <t>12020025</t>
  </si>
  <si>
    <t>NATIONAL MEDICAL CENTRE (PRIVATE) LTD.</t>
  </si>
  <si>
    <t>1219000752</t>
  </si>
  <si>
    <t>Express Pharma</t>
  </si>
  <si>
    <t>1219000822</t>
  </si>
  <si>
    <t>Steriloc Sterilztion Flat Reel 50mmx200m</t>
  </si>
  <si>
    <t>1219000512</t>
  </si>
  <si>
    <t>020241117G</t>
  </si>
  <si>
    <t>WEGO Blood Bag-Quad CPDA-1 -16G Needle</t>
  </si>
  <si>
    <t>12000684</t>
  </si>
  <si>
    <t>Vision Pharma Network</t>
  </si>
  <si>
    <t>SEA PHARMA</t>
  </si>
  <si>
    <t>Isra Islamic Fooundation (Al-Ibrahim Eye</t>
  </si>
  <si>
    <t>12000685</t>
  </si>
  <si>
    <t>PSAQSJ INST. OF MEDICAL SCIENCE -GAMBAT</t>
  </si>
  <si>
    <t>1219000574</t>
  </si>
  <si>
    <t>1219000580</t>
  </si>
  <si>
    <t>0000240761</t>
  </si>
  <si>
    <t>12000397</t>
  </si>
  <si>
    <t>Pharma Solution</t>
  </si>
  <si>
    <t>12000513</t>
  </si>
  <si>
    <t>PREVENTION OF BLINDNESS TRUST</t>
  </si>
  <si>
    <t>12000620</t>
  </si>
  <si>
    <t>Masood Medika</t>
  </si>
  <si>
    <t>12000691</t>
  </si>
  <si>
    <t>MEDICAL ENTERPRISES CO-OPERATION COMPANY</t>
  </si>
  <si>
    <t>KHcare Traders</t>
  </si>
  <si>
    <t>12020028</t>
  </si>
  <si>
    <t>Patel Hospital - Khi</t>
  </si>
  <si>
    <t>10010172</t>
  </si>
  <si>
    <t>UZAIR TRADERS</t>
  </si>
  <si>
    <t>0000220720</t>
  </si>
  <si>
    <t>12020248</t>
  </si>
  <si>
    <t>Surayya Azeem Hospital</t>
  </si>
  <si>
    <t>12000151</t>
  </si>
  <si>
    <t>Impressive Biotechnical</t>
  </si>
  <si>
    <t>12000720</t>
  </si>
  <si>
    <t>Five Star Corporation</t>
  </si>
  <si>
    <t>12000652</t>
  </si>
  <si>
    <t>SAM TRADING COMPANY</t>
  </si>
  <si>
    <t>Mamji Hospital Orthopedic &amp; general Hosp</t>
  </si>
  <si>
    <t>12000762</t>
  </si>
  <si>
    <t>BIOVUS DISTRIBUTOR</t>
  </si>
  <si>
    <t>00Z240104B</t>
  </si>
  <si>
    <t>12020016</t>
  </si>
  <si>
    <t>Jamal Noor Hospital</t>
  </si>
  <si>
    <t>Rehman and Rehman &amp; Co.</t>
  </si>
  <si>
    <t>12010018</t>
  </si>
  <si>
    <t>TSCL</t>
  </si>
  <si>
    <t>12010083</t>
  </si>
  <si>
    <t>MAHAD ENTERPRISES &amp; DISTRIBUTORS</t>
  </si>
  <si>
    <t>1219000573</t>
  </si>
  <si>
    <t>1219000578</t>
  </si>
  <si>
    <t>0000230411</t>
  </si>
  <si>
    <t>12000766</t>
  </si>
  <si>
    <t>TREAT MED SOLUTION</t>
  </si>
  <si>
    <t>12000767</t>
  </si>
  <si>
    <t>RAFA-E-AAM PHARMACY</t>
  </si>
  <si>
    <t>Medical Superintendent, The Children Hos</t>
  </si>
  <si>
    <t>12020333</t>
  </si>
  <si>
    <t>ASTELA HEALTHCARE PVT LIMITED</t>
  </si>
  <si>
    <t>1219000572</t>
  </si>
  <si>
    <t>0000231319</t>
  </si>
  <si>
    <t>12020338</t>
  </si>
  <si>
    <t>HASHIM MEDICAL CITY HOSPITAL</t>
  </si>
  <si>
    <t>12000022</t>
  </si>
  <si>
    <t>Memon Medical Inst.</t>
  </si>
  <si>
    <t>Steriloc Sterilization paper  90x90cm</t>
  </si>
  <si>
    <t>10010200</t>
  </si>
  <si>
    <t>CH.PERVAIZ ELAHI INSTITUTE OF CARDI</t>
  </si>
  <si>
    <t>1219001022</t>
  </si>
  <si>
    <t>INDUS HOSPITAL SUI CAMPUS</t>
  </si>
  <si>
    <t>"Lady Reading Hospital, MTI Peshawar"</t>
  </si>
  <si>
    <t>12000779</t>
  </si>
  <si>
    <t>THE SIMPLEX SOLUTION</t>
  </si>
  <si>
    <t>12000248</t>
  </si>
  <si>
    <t>Dynam Pharma</t>
  </si>
  <si>
    <t>Pakistan Kidney &amp; Liver Institute</t>
  </si>
  <si>
    <t>0000240741</t>
  </si>
  <si>
    <t>Regional Blood Centre (RBC) Peshawar</t>
  </si>
  <si>
    <t>12020344</t>
  </si>
  <si>
    <t>ALLIED HOSPITAL</t>
  </si>
  <si>
    <t>ST.ELIZABETH HOSPITAL</t>
  </si>
  <si>
    <t>12020087</t>
  </si>
  <si>
    <t>"Project Director, Safe Blood Transf"</t>
  </si>
  <si>
    <t>12000634</t>
  </si>
  <si>
    <t>Life Care Enterprises</t>
  </si>
  <si>
    <t>Feeding Tube-6 FG</t>
  </si>
  <si>
    <t>Feeding Tube-8 FG</t>
  </si>
  <si>
    <t>12000747</t>
  </si>
  <si>
    <t>M&amp;M Co/Distributor</t>
  </si>
  <si>
    <t>Mukhtar A Sheikh memorial Welfare Hospit</t>
  </si>
  <si>
    <t>12020043</t>
  </si>
  <si>
    <t>Mayo Hospital Lahore</t>
  </si>
  <si>
    <t>12020075</t>
  </si>
  <si>
    <t>Hospital Director Ayub Teaching Hospital</t>
  </si>
  <si>
    <t>MS DHQ Hospital Bathekela Malakand</t>
  </si>
  <si>
    <t>SYED MUHAMMAD HUSSAIN SAMLI HOSPITAL</t>
  </si>
  <si>
    <t>1219000610</t>
  </si>
  <si>
    <t>Medical Superintendent Lahore Gene"</t>
  </si>
  <si>
    <t>0000240783</t>
  </si>
  <si>
    <t>1219000923</t>
  </si>
  <si>
    <t>00PA251011</t>
  </si>
  <si>
    <t>12020019</t>
  </si>
  <si>
    <t>Liaquat National Hospital</t>
  </si>
  <si>
    <t>12000790</t>
  </si>
  <si>
    <t>SURGIMAX</t>
  </si>
  <si>
    <t>12020290</t>
  </si>
  <si>
    <t>MEDICAL DIRECTOR THE CHILDREN HOSPITAL</t>
  </si>
  <si>
    <t>0000240742</t>
  </si>
  <si>
    <t>Allied Hospital</t>
  </si>
  <si>
    <t>1219000122</t>
  </si>
  <si>
    <t>Oxygen Face Mask-Pediatric</t>
  </si>
  <si>
    <t>12020010</t>
  </si>
  <si>
    <t>Dow University Hosp. Khi</t>
  </si>
  <si>
    <t>203156763S</t>
  </si>
  <si>
    <t>12020005</t>
  </si>
  <si>
    <t>Burhani Hospital</t>
  </si>
  <si>
    <t>YB20250318</t>
  </si>
  <si>
    <t>0000231380</t>
  </si>
  <si>
    <t>CC</t>
  </si>
  <si>
    <t>ZSLP</t>
  </si>
  <si>
    <t>1019001993</t>
  </si>
  <si>
    <t>PROANES 1% INJ 20MLx5'S (PAK)</t>
  </si>
  <si>
    <t>HC</t>
  </si>
  <si>
    <t>240952</t>
  </si>
  <si>
    <t>TenderID</t>
  </si>
  <si>
    <t>TenderName</t>
  </si>
  <si>
    <t>Institution</t>
  </si>
  <si>
    <t>Opening Date</t>
  </si>
  <si>
    <t>Closing Date</t>
  </si>
  <si>
    <t>Participation(Y/N)</t>
  </si>
  <si>
    <t>SkipReason</t>
  </si>
  <si>
    <t>BidSubmitted(Y/N)</t>
  </si>
  <si>
    <t>BidSubmissionDate</t>
  </si>
  <si>
    <t>BidAmount</t>
  </si>
  <si>
    <t>ContractAwarded(Y/N)</t>
  </si>
  <si>
    <t>TenderStatus</t>
  </si>
  <si>
    <t>Notes</t>
  </si>
  <si>
    <t>PO Number</t>
  </si>
  <si>
    <t>PO Generation Date</t>
  </si>
  <si>
    <t>SuppliesDueDate</t>
  </si>
  <si>
    <t>SuppliesDelivered(Y/N)</t>
  </si>
  <si>
    <t>PO to Principal Status</t>
  </si>
  <si>
    <t>SuppliesDeliveredDate / DN Acknowledgement Date</t>
  </si>
  <si>
    <t>DTL Date  / Test Opening Date</t>
  </si>
  <si>
    <t>Products</t>
  </si>
  <si>
    <t>Unit Rate</t>
  </si>
  <si>
    <t>PO Value</t>
  </si>
  <si>
    <t>ContractValue</t>
  </si>
  <si>
    <t>PaymentTermsDays</t>
  </si>
  <si>
    <t>PaymentExpectedDate</t>
  </si>
  <si>
    <t>PaymentReceivedDate</t>
  </si>
  <si>
    <t>Status</t>
  </si>
  <si>
    <t>Remarks from concerned Business</t>
  </si>
  <si>
    <t>CC 01 25-26</t>
  </si>
  <si>
    <t>Dialysis Disposables</t>
  </si>
  <si>
    <t>Mayo hospital</t>
  </si>
  <si>
    <t>Finalized</t>
  </si>
  <si>
    <t>Done</t>
  </si>
  <si>
    <t>Created</t>
  </si>
  <si>
    <t>Dialyzer 1.8m2</t>
  </si>
  <si>
    <t xml:space="preserve">90 days </t>
  </si>
  <si>
    <t>No Idea</t>
  </si>
  <si>
    <t>Two PO supplies done</t>
  </si>
  <si>
    <t>Waiting for Payment</t>
  </si>
  <si>
    <t>Dialyzer 1.4m2</t>
  </si>
  <si>
    <t>CC 02 25-26</t>
  </si>
  <si>
    <t xml:space="preserve">Allied Hospital </t>
  </si>
  <si>
    <t>Dialyzer 1.8</t>
  </si>
  <si>
    <t> </t>
  </si>
  <si>
    <t>Allied Hospital II</t>
  </si>
  <si>
    <t>CC 03 25-26</t>
  </si>
  <si>
    <t>AITH Dera Ghazi Khan</t>
  </si>
  <si>
    <t>3634, 4636, 5041</t>
  </si>
  <si>
    <t>1/17/2026 &amp; 1/3/2026</t>
  </si>
  <si>
    <t xml:space="preserve">3 Po's recevied  </t>
  </si>
  <si>
    <t>7500 supplied</t>
  </si>
  <si>
    <t>Dialyzer 1.6m2</t>
  </si>
  <si>
    <t>1 Po received</t>
  </si>
  <si>
    <t>500 Supplied, 550 remaining</t>
  </si>
  <si>
    <t>Bulk Medicines</t>
  </si>
  <si>
    <t>8360, 8333, 8400</t>
  </si>
  <si>
    <t>1/3/2026 &amp; 2/12/2026</t>
  </si>
  <si>
    <t xml:space="preserve">Proanes </t>
  </si>
  <si>
    <t>3 Po's recevied &amp; delievred</t>
  </si>
  <si>
    <t>Supplied only 15000, 3000 amp remainig, waiting for payment</t>
  </si>
  <si>
    <t>CC 05 25-26</t>
  </si>
  <si>
    <t>PKLI</t>
  </si>
  <si>
    <t>1/3/2026 &amp; 2/23/2026</t>
  </si>
  <si>
    <t>PINS</t>
  </si>
  <si>
    <t>This Month</t>
  </si>
  <si>
    <t>1st Po supplied</t>
  </si>
  <si>
    <t>CC 07 25-26</t>
  </si>
  <si>
    <t>Lahore General Hosp</t>
  </si>
  <si>
    <t>No</t>
  </si>
  <si>
    <t>waiting for DTL</t>
  </si>
  <si>
    <t>DHQ Hosp Gujranwala</t>
  </si>
  <si>
    <t>Waiting</t>
  </si>
  <si>
    <t>All supply done</t>
  </si>
  <si>
    <t>CC 09 25-26</t>
  </si>
  <si>
    <t>GMC Hosp Gujranwala</t>
  </si>
  <si>
    <t>DTL Failed</t>
  </si>
  <si>
    <t>Case in process</t>
  </si>
  <si>
    <t>CC 10 25-26</t>
  </si>
  <si>
    <t>CC 11 25-26</t>
  </si>
  <si>
    <t>BVH Bahawalpur</t>
  </si>
  <si>
    <t>CC 12 25-26</t>
  </si>
  <si>
    <t>SZH Rahim Yar Khan</t>
  </si>
  <si>
    <t>4686-90</t>
  </si>
  <si>
    <t>2Po's delivered</t>
  </si>
  <si>
    <t>WIC  Wazirabad cardiology</t>
  </si>
  <si>
    <t>After DTL</t>
  </si>
  <si>
    <t>Aziz Bhatti Gujrat</t>
  </si>
  <si>
    <t>DHQ Hosp Narowal</t>
  </si>
  <si>
    <t>14856-59</t>
  </si>
  <si>
    <t>AITH Sialkot</t>
  </si>
  <si>
    <t>Nishter Hosp Multan</t>
  </si>
  <si>
    <t>Half delievered</t>
  </si>
  <si>
    <t>Half remaining</t>
  </si>
  <si>
    <t xml:space="preserve">Jinnah Hospita </t>
  </si>
  <si>
    <t>Mian Munshi Hosp</t>
  </si>
  <si>
    <t>DHQ Teaching Hospital Sahiwal</t>
  </si>
  <si>
    <t>Not finalzied</t>
  </si>
  <si>
    <t>DGHS</t>
  </si>
  <si>
    <t>DHQ Hosp Sargodha</t>
  </si>
  <si>
    <t>PIC</t>
  </si>
  <si>
    <t>Hepagusan</t>
  </si>
  <si>
    <t>Proanes</t>
  </si>
  <si>
    <t>Specialized Health</t>
  </si>
  <si>
    <t>Documents submitted</t>
  </si>
  <si>
    <t>Dialyzer all sizes</t>
  </si>
  <si>
    <t>PC/P/HFH-7783-87</t>
  </si>
  <si>
    <t>May</t>
  </si>
  <si>
    <t>Budget issue</t>
  </si>
  <si>
    <t>PC/P/HFH-1014-18</t>
  </si>
  <si>
    <t>PC/P/HFH-5577-81</t>
  </si>
  <si>
    <t>PC/P/HFH-1581-84</t>
  </si>
  <si>
    <t>PC/P/HFH-1019-23</t>
  </si>
  <si>
    <t>Hospicaine SP</t>
  </si>
  <si>
    <t>PC/P/HFH-7008-12</t>
  </si>
  <si>
    <t>PC/P/HFH-8634-38</t>
  </si>
  <si>
    <t>Klisty</t>
  </si>
  <si>
    <t>PC/P/HFH-1024-28</t>
  </si>
  <si>
    <t>DHQ Samli Maree</t>
  </si>
  <si>
    <t>Tender ID</t>
  </si>
  <si>
    <t>Tender Name</t>
  </si>
  <si>
    <t>Participation (Y/N)</t>
  </si>
  <si>
    <t>Bid Submitted (Y/N)</t>
  </si>
  <si>
    <t>Bid Submission Date</t>
  </si>
  <si>
    <t>Bid Amount</t>
  </si>
  <si>
    <t>Contract Awarded (Y/N)</t>
  </si>
  <si>
    <t>Reason for rejection</t>
  </si>
  <si>
    <t>LC/BCIssued (Y/N)</t>
  </si>
  <si>
    <t>LC/BC Expiry Date</t>
  </si>
  <si>
    <t>Credit Days From Supplier</t>
  </si>
  <si>
    <t>Supplies Due Date</t>
  </si>
  <si>
    <t>Supplies Delivered (Y/N)</t>
  </si>
  <si>
    <t>Contract Value</t>
  </si>
  <si>
    <t>Payment Terms Days</t>
  </si>
  <si>
    <t>Payment Expected Date</t>
  </si>
  <si>
    <t>Payment Received Date</t>
  </si>
  <si>
    <t>not participated due to payment issues</t>
  </si>
  <si>
    <t>Mayo cancer hospital</t>
  </si>
  <si>
    <t>award waiting</t>
  </si>
  <si>
    <t>IVC all size</t>
  </si>
  <si>
    <t>Services Hospital</t>
  </si>
  <si>
    <t>Higher price</t>
  </si>
  <si>
    <t>N/ award</t>
  </si>
  <si>
    <t xml:space="preserve">Examination &amp; surgical gloves  </t>
  </si>
  <si>
    <t>IVC</t>
  </si>
  <si>
    <t>AITH DG Khan</t>
  </si>
  <si>
    <t>awarded</t>
  </si>
  <si>
    <t>IVC 18G</t>
  </si>
  <si>
    <t>IVC 20G</t>
  </si>
  <si>
    <t>partial</t>
  </si>
  <si>
    <t>2.36M pending</t>
  </si>
  <si>
    <t>IVC 22G</t>
  </si>
  <si>
    <t>IVC 24G</t>
  </si>
  <si>
    <t>Shipment at Port / Duty Payment Issue</t>
  </si>
  <si>
    <t>Children Hospital Multan</t>
  </si>
  <si>
    <t xml:space="preserve">Nistar II </t>
  </si>
  <si>
    <t>IV Set Yport</t>
  </si>
  <si>
    <t>HC 08 25-26</t>
  </si>
  <si>
    <t>SFMKB IC DG Khan</t>
  </si>
  <si>
    <t>pending</t>
  </si>
  <si>
    <t>IVC 24</t>
  </si>
  <si>
    <t>Shipment at Port / Delayed due to BL Issue</t>
  </si>
  <si>
    <t>BVH</t>
  </si>
  <si>
    <t>N/award</t>
  </si>
  <si>
    <t>ivc all size</t>
  </si>
  <si>
    <t>Jinnah Hospital</t>
  </si>
  <si>
    <t>DG Health</t>
  </si>
  <si>
    <t>CPEIC, Multan</t>
  </si>
  <si>
    <t>26422-24</t>
  </si>
  <si>
    <t>IVC 20</t>
  </si>
  <si>
    <t>IVC 22</t>
  </si>
  <si>
    <t>Children Hospital Lahore</t>
  </si>
  <si>
    <t>IVC 18</t>
  </si>
  <si>
    <t>Ganga ram hosp</t>
  </si>
  <si>
    <t>enduser rejection</t>
  </si>
  <si>
    <t>FIC</t>
  </si>
  <si>
    <t>DHQ GJW</t>
  </si>
  <si>
    <t>IVS</t>
  </si>
  <si>
    <t>GMC GJW</t>
  </si>
  <si>
    <t>Sardar bibi skt</t>
  </si>
  <si>
    <t>IVS (B)</t>
  </si>
  <si>
    <t>DHQ SGD</t>
  </si>
  <si>
    <t>DHA BWN</t>
  </si>
  <si>
    <t>DHA BWP</t>
  </si>
  <si>
    <t>DHA RYK</t>
  </si>
  <si>
    <t>HC 28 25-26</t>
  </si>
  <si>
    <t>DHA DGK</t>
  </si>
  <si>
    <t>DHA LYH</t>
  </si>
  <si>
    <t>DHA MZG</t>
  </si>
  <si>
    <t>DHA RJP</t>
  </si>
  <si>
    <t>IVC22</t>
  </si>
  <si>
    <t>DHA CHNIOT</t>
  </si>
  <si>
    <t>DHA FSD</t>
  </si>
  <si>
    <t>ivc 22G</t>
  </si>
  <si>
    <t>DHA JHG</t>
  </si>
  <si>
    <t>DHA TTS</t>
  </si>
  <si>
    <t>DHA GJW</t>
  </si>
  <si>
    <t>DHA GRT</t>
  </si>
  <si>
    <t>DHA HFB</t>
  </si>
  <si>
    <t>DHA MBD</t>
  </si>
  <si>
    <t>DHA NRW</t>
  </si>
  <si>
    <t>DHA SKT</t>
  </si>
  <si>
    <t>DHA LHR</t>
  </si>
  <si>
    <t>DHA SKP</t>
  </si>
  <si>
    <t>DHA KSR</t>
  </si>
  <si>
    <t>DHA NNS</t>
  </si>
  <si>
    <t>DHA MTN</t>
  </si>
  <si>
    <t>DHA KWN</t>
  </si>
  <si>
    <t>DHA LOD</t>
  </si>
  <si>
    <t>DHA VRI</t>
  </si>
  <si>
    <t>DHA OKR</t>
  </si>
  <si>
    <t>03.03.26</t>
  </si>
  <si>
    <t>DHA SWL</t>
  </si>
  <si>
    <t>DHA PKP</t>
  </si>
  <si>
    <t>DHA ATK</t>
  </si>
  <si>
    <t>29.12.26</t>
  </si>
  <si>
    <t>10.3.26</t>
  </si>
  <si>
    <t>DHA CHW</t>
  </si>
  <si>
    <t>DHA JLM</t>
  </si>
  <si>
    <t>DHA RWP</t>
  </si>
  <si>
    <t>DHA SGD</t>
  </si>
  <si>
    <t>DHA BKR</t>
  </si>
  <si>
    <t>DHA KHB</t>
  </si>
  <si>
    <t>DHA MWI</t>
  </si>
  <si>
    <t>PHFMC</t>
  </si>
  <si>
    <t>PO awaiting</t>
  </si>
  <si>
    <t>HC 65 25-26</t>
  </si>
  <si>
    <t>Aziz Bhatti Teaching Hospital</t>
  </si>
  <si>
    <t>HC 66 26-27</t>
  </si>
  <si>
    <t>Specialized Centralizied tender FY 26-27</t>
  </si>
  <si>
    <t>in process</t>
  </si>
  <si>
    <t>EG (P/F)</t>
  </si>
  <si>
    <t>IN PROCESS</t>
  </si>
  <si>
    <t>tender is in process</t>
  </si>
  <si>
    <t>RFP fot Purchae of surgicaL dispoables FY 26-27</t>
  </si>
  <si>
    <t>insuline syr</t>
  </si>
  <si>
    <t>ivc 18</t>
  </si>
  <si>
    <t>ivc 20</t>
  </si>
  <si>
    <t>SG (P/F) 6.5</t>
  </si>
  <si>
    <t>SG(P/F)7.0</t>
  </si>
  <si>
    <t>SG(P/F)7.5</t>
  </si>
  <si>
    <t>SG(P/F)8.0</t>
  </si>
  <si>
    <t>HC 67 26-27</t>
  </si>
  <si>
    <t>DGHS HP&amp;W centralized tender FY 26-27</t>
  </si>
  <si>
    <t xml:space="preserve">Disposable Insulin Syringe  </t>
  </si>
  <si>
    <t xml:space="preserve">Examination gloves Latex </t>
  </si>
  <si>
    <t xml:space="preserve">I V Cannula 18G </t>
  </si>
  <si>
    <t xml:space="preserve">I V Cannula 20G </t>
  </si>
  <si>
    <t xml:space="preserve">I V Cannula 22G </t>
  </si>
  <si>
    <t xml:space="preserve">I V Cannula 24G </t>
  </si>
  <si>
    <t>Surgical gloves powder</t>
  </si>
  <si>
    <t>HC 68 26-27</t>
  </si>
  <si>
    <t>MCC KPK</t>
  </si>
  <si>
    <t>qty not advertised</t>
  </si>
  <si>
    <t>SG (P/F)</t>
  </si>
  <si>
    <t>SG Pow</t>
  </si>
  <si>
    <t>IVS Yport</t>
  </si>
  <si>
    <t>ivc w/o/s 18</t>
  </si>
  <si>
    <t>ivc w/s 18</t>
  </si>
  <si>
    <t>ivc w/o/s20</t>
  </si>
  <si>
    <t>ivc w/s 20</t>
  </si>
  <si>
    <t>ivc w/o/s 22</t>
  </si>
  <si>
    <t>ivc w/s 22</t>
  </si>
  <si>
    <t>ivc w/o/c 24</t>
  </si>
  <si>
    <t>ivc w/s 24</t>
  </si>
  <si>
    <t>SICVD</t>
  </si>
  <si>
    <t>27.04.2026</t>
  </si>
  <si>
    <t>ivset basic</t>
  </si>
  <si>
    <t>quoted on distributor behalf</t>
  </si>
  <si>
    <t>insulin syring</t>
  </si>
  <si>
    <t>ivc 24</t>
  </si>
  <si>
    <t>ivc 18 (pen)</t>
  </si>
  <si>
    <t>ivc 20(pen)</t>
  </si>
  <si>
    <t>ivc 22(pen</t>
  </si>
  <si>
    <t>MC 14 25-26</t>
  </si>
  <si>
    <t>Mayo Hospital</t>
  </si>
  <si>
    <t xml:space="preserve">Done </t>
  </si>
  <si>
    <t>WEGO Single blood bags</t>
  </si>
  <si>
    <t>Oxygen mask Adult</t>
  </si>
  <si>
    <t>Oxygen mask Peads</t>
  </si>
  <si>
    <t>MC 21 25-26</t>
  </si>
  <si>
    <t>1382, 60874 /AHF/25</t>
  </si>
  <si>
    <t>DTL Awaited</t>
  </si>
  <si>
    <t>DTL received/16.03.2026</t>
  </si>
  <si>
    <t>MC 16 25-26</t>
  </si>
  <si>
    <t>WEGO Single blood bags Peads</t>
  </si>
  <si>
    <t>WEGO Single Blood bags Adults</t>
  </si>
  <si>
    <t>WEGO Burette 100 ml</t>
  </si>
  <si>
    <t>Ultramed Nasal Prongs</t>
  </si>
  <si>
    <t>Ultramed O2 mask Adult</t>
  </si>
  <si>
    <t>Ultramed O2 mask Peads</t>
  </si>
  <si>
    <t>MC 02 25-26</t>
  </si>
  <si>
    <t>DTL awaited</t>
  </si>
  <si>
    <t>Triple blood bag with set</t>
  </si>
  <si>
    <t xml:space="preserve">Single Blood bags peads with set </t>
  </si>
  <si>
    <t xml:space="preserve">Single Blood bag with set </t>
  </si>
  <si>
    <t>MC 22 25-26</t>
  </si>
  <si>
    <t xml:space="preserve">Nishtar hospital Multan II </t>
  </si>
  <si>
    <t>AAT:44548</t>
  </si>
  <si>
    <t xml:space="preserve">WEGO Single Blood bag </t>
  </si>
  <si>
    <t xml:space="preserve">WEGO Blood Transfusion set </t>
  </si>
  <si>
    <t>DTL received/20.04.2026</t>
  </si>
  <si>
    <t>WEGO Single Blood bags</t>
  </si>
  <si>
    <t>WEGO Double Blood bags</t>
  </si>
  <si>
    <t>WEGO Triple blood bags</t>
  </si>
  <si>
    <t>MC 17 25-26</t>
  </si>
  <si>
    <t>DTL Awaited/15.04.2026</t>
  </si>
  <si>
    <t>WEGO Single Blood bags 250 ml</t>
  </si>
  <si>
    <t>WEGO Single Blood bags 500 ml</t>
  </si>
  <si>
    <t>MC 05 25-26</t>
  </si>
  <si>
    <t xml:space="preserve">IBTS </t>
  </si>
  <si>
    <t>DTL received/23.01.2026</t>
  </si>
  <si>
    <t>Single Blood bag</t>
  </si>
  <si>
    <t>DTL received /23.01.2026</t>
  </si>
  <si>
    <t>Double Blood bag</t>
  </si>
  <si>
    <t>Triple blood bag</t>
  </si>
  <si>
    <t>DG Health and DHAs</t>
  </si>
  <si>
    <t>DTL Awaited/05.02.206</t>
  </si>
  <si>
    <t>15.06.2026</t>
  </si>
  <si>
    <t>Ultramed O2 masks</t>
  </si>
  <si>
    <t>DGP Army</t>
  </si>
  <si>
    <t>DTL received/24.04.206</t>
  </si>
  <si>
    <t>30.07.2026</t>
  </si>
  <si>
    <t>MC 10 25-26</t>
  </si>
  <si>
    <t>MCC Peshawar</t>
  </si>
  <si>
    <t>126132-88</t>
  </si>
  <si>
    <t xml:space="preserve">WEGO Single Blood bags </t>
  </si>
  <si>
    <t>WEGO Blood bags (Triple)</t>
  </si>
  <si>
    <t>WEGO Blood transfusion</t>
  </si>
  <si>
    <t>MC 11 25-26</t>
  </si>
  <si>
    <t>SBTP Abbotabad</t>
  </si>
  <si>
    <t>DTL received/10.01.2026</t>
  </si>
  <si>
    <t>WEGO Triple blood bags with safety accessories</t>
  </si>
  <si>
    <t>WEGO Blood transfusion sets</t>
  </si>
  <si>
    <t>MC 19 25-26</t>
  </si>
  <si>
    <t>Aziz Bhatti Shaheed Hospital Gujrat</t>
  </si>
  <si>
    <t>DTL cleared/03.02.2026</t>
  </si>
  <si>
    <t xml:space="preserve">WEGO Double Blood bags </t>
  </si>
  <si>
    <t xml:space="preserve">WEGO Triple Blood bags </t>
  </si>
  <si>
    <t>MC 20 25-26</t>
  </si>
  <si>
    <t>9924, 9927</t>
  </si>
  <si>
    <t>Delivered</t>
  </si>
  <si>
    <t>DTL in progress</t>
  </si>
  <si>
    <t>AJK</t>
  </si>
  <si>
    <t>WEGO Single Blood bags with set</t>
  </si>
  <si>
    <t>WEGO Double Blood bags with set</t>
  </si>
  <si>
    <t>WEGO Triple blood bags with set</t>
  </si>
  <si>
    <t>MC 04 25-26</t>
  </si>
  <si>
    <t xml:space="preserve">Lady Reading Hospital  </t>
  </si>
  <si>
    <t>K02250002956</t>
  </si>
  <si>
    <t>WEGO Single Blood Bag</t>
  </si>
  <si>
    <t>WEGO BT SET</t>
  </si>
  <si>
    <t>WEGO Triple Blood Bags</t>
  </si>
  <si>
    <t>CPEIC</t>
  </si>
  <si>
    <t>DTL cleared/13.12.2026</t>
  </si>
  <si>
    <t>Wego Triple</t>
  </si>
  <si>
    <t>WEGO Single Bag</t>
  </si>
  <si>
    <t>WEGO Double Blood Bag</t>
  </si>
  <si>
    <t>RBC Peshawar</t>
  </si>
  <si>
    <t>DTL Cleared/05.01.2026</t>
  </si>
  <si>
    <t>KARMI Triple Blood Bag</t>
  </si>
  <si>
    <t>RBC D.I. Khan</t>
  </si>
  <si>
    <t>DTL Cleared/15.12.2025</t>
  </si>
  <si>
    <t>WEGO Triple with Safety Accessories</t>
  </si>
  <si>
    <t>MC 12 25-26</t>
  </si>
  <si>
    <t>RBC Abbottabad</t>
  </si>
  <si>
    <t>DTL Cleared/15.02.2026</t>
  </si>
  <si>
    <t>Wego Single Bag</t>
  </si>
  <si>
    <t>Wego BT Set</t>
  </si>
  <si>
    <t>Specialized healthcare department</t>
  </si>
  <si>
    <t xml:space="preserve">Technical Evaluation </t>
  </si>
  <si>
    <t>Oxygen Nasal Cannula</t>
  </si>
  <si>
    <t>Oxygen Mask</t>
  </si>
  <si>
    <t>Urine Bag</t>
  </si>
  <si>
    <t>MC 02 26-27</t>
  </si>
  <si>
    <t xml:space="preserve">DGHS Punjab </t>
  </si>
  <si>
    <t>NA</t>
  </si>
  <si>
    <t>Wego BT SET</t>
  </si>
  <si>
    <t>Technical Evaluation-Passed</t>
  </si>
  <si>
    <t>tender lost on prices</t>
  </si>
  <si>
    <t>Wego Triple Bags</t>
  </si>
  <si>
    <t>Technical Evaluation Failed</t>
  </si>
  <si>
    <t>Wego Single Bags-250ml</t>
  </si>
  <si>
    <t>Wego Single Bag 500ml</t>
  </si>
  <si>
    <t>Wego Double Bag</t>
  </si>
  <si>
    <t>Wego Triple Bag</t>
  </si>
  <si>
    <t>Grand Total</t>
  </si>
  <si>
    <t>05.01.2026</t>
  </si>
  <si>
    <t>03.01.2026</t>
  </si>
  <si>
    <t>04.01.2025</t>
  </si>
  <si>
    <t>12.05.2025</t>
  </si>
  <si>
    <t>30.07.2025</t>
  </si>
  <si>
    <t>90 Days from BL Date</t>
  </si>
  <si>
    <t>03.06.2025</t>
  </si>
  <si>
    <t>26.02.2025</t>
  </si>
  <si>
    <t>19.05.2025</t>
  </si>
  <si>
    <t>92 Days from BL Date</t>
  </si>
  <si>
    <t>23.05.2025</t>
  </si>
  <si>
    <t>Ammendment Date</t>
  </si>
  <si>
    <t>04.03.2025</t>
  </si>
  <si>
    <t>10.07.2025</t>
  </si>
  <si>
    <t>31.01.2025</t>
  </si>
  <si>
    <t>07.04.2025</t>
  </si>
  <si>
    <t>25.06.2025</t>
  </si>
  <si>
    <t>25.07.2025</t>
  </si>
  <si>
    <t>25.08.2025</t>
  </si>
  <si>
    <t>31.07.2025</t>
  </si>
  <si>
    <t>06.06.2025</t>
  </si>
  <si>
    <t>24.06.2025</t>
  </si>
  <si>
    <t>01.07.2025</t>
  </si>
  <si>
    <t>06.07.2025</t>
  </si>
  <si>
    <t>20.06.2025</t>
  </si>
  <si>
    <t>22.05.2025</t>
  </si>
  <si>
    <t>100% percent LC irrevocable at sight "Charges outside Egypt are on buyer's account</t>
  </si>
  <si>
    <t>30.06.2025</t>
  </si>
  <si>
    <t>18.07.2025</t>
  </si>
  <si>
    <t>24.09.2025</t>
  </si>
  <si>
    <t>18.08.2025</t>
  </si>
  <si>
    <t>Documents not attached</t>
  </si>
  <si>
    <t>30.10.2025</t>
  </si>
  <si>
    <t>05.09.2025</t>
  </si>
  <si>
    <t>10.09.2025</t>
  </si>
  <si>
    <t>20.10.2025</t>
  </si>
  <si>
    <t>06.10.2025</t>
  </si>
  <si>
    <t>26.09.2025</t>
  </si>
  <si>
    <t>09.09.2025</t>
  </si>
  <si>
    <t>25.11.2025</t>
  </si>
  <si>
    <t>28.09.2025</t>
  </si>
  <si>
    <t>22.09.2025</t>
  </si>
  <si>
    <t>23.10.2025</t>
  </si>
  <si>
    <t>90 Days from BL date</t>
  </si>
  <si>
    <t>22.01.2026</t>
  </si>
  <si>
    <t>16.11.2025</t>
  </si>
  <si>
    <t>21.10.2025</t>
  </si>
  <si>
    <t>30.11.2025</t>
  </si>
  <si>
    <t>14.11.2025</t>
  </si>
  <si>
    <t>07.11.2025</t>
  </si>
  <si>
    <t>28.01.2026</t>
  </si>
  <si>
    <t>01.12.2025</t>
  </si>
  <si>
    <t>27.08.2025</t>
  </si>
  <si>
    <t>100 Percent of LC amount / Advance payment</t>
  </si>
  <si>
    <t>06.11.2025</t>
  </si>
  <si>
    <t>92 Days from BL date</t>
  </si>
  <si>
    <t>30.12.2025</t>
  </si>
  <si>
    <t>05.12.2025</t>
  </si>
  <si>
    <t>29.11.2025</t>
  </si>
  <si>
    <t>24.10.2025</t>
  </si>
  <si>
    <t>60 Days from BL date</t>
  </si>
  <si>
    <t>18.12.2025</t>
  </si>
  <si>
    <t>Documents not available</t>
  </si>
  <si>
    <t>11.02.2026</t>
  </si>
  <si>
    <t>30.03.2026</t>
  </si>
  <si>
    <t>08.03.2026</t>
  </si>
  <si>
    <t>04.02.2026</t>
  </si>
  <si>
    <t>30.04.2026</t>
  </si>
  <si>
    <t>25.03.2026</t>
  </si>
  <si>
    <t>10.02.2026</t>
  </si>
  <si>
    <t>26.12.2025</t>
  </si>
  <si>
    <t>MDD</t>
  </si>
  <si>
    <t>IBLHC SALES</t>
  </si>
  <si>
    <t>TSCL SALES</t>
  </si>
  <si>
    <t>CC DETAILS</t>
  </si>
  <si>
    <t>Skip Reason</t>
  </si>
  <si>
    <t>HC DETAILS</t>
  </si>
  <si>
    <t>MC DETAILS</t>
  </si>
  <si>
    <t>IBLHC PO DETAILS</t>
  </si>
  <si>
    <t>TSCL PO DETAILS</t>
  </si>
  <si>
    <t>12020351</t>
  </si>
  <si>
    <t>MAMJI MEDICAL STORE</t>
  </si>
  <si>
    <t>0020260312</t>
  </si>
  <si>
    <t>00Z260085D</t>
  </si>
  <si>
    <t>00Z260104D</t>
  </si>
  <si>
    <t>00Z260108D</t>
  </si>
  <si>
    <t>00Z260078B</t>
  </si>
  <si>
    <t>00Z260079D</t>
  </si>
  <si>
    <t>00Z260080B</t>
  </si>
  <si>
    <t>00Z260084B</t>
  </si>
  <si>
    <t>0000250820</t>
  </si>
  <si>
    <t>00Z260119D</t>
  </si>
  <si>
    <t>00Z260123B</t>
  </si>
  <si>
    <t>00Z260124D</t>
  </si>
  <si>
    <t>00Z260132B</t>
  </si>
  <si>
    <t>00Z260134D</t>
  </si>
  <si>
    <t>2302410109</t>
  </si>
  <si>
    <t>1040205798</t>
  </si>
  <si>
    <t>1040205790</t>
  </si>
  <si>
    <t>TG</t>
  </si>
  <si>
    <t>5000495184</t>
  </si>
  <si>
    <t>5000497458</t>
  </si>
  <si>
    <t>1019001114</t>
  </si>
  <si>
    <t>219165142L</t>
  </si>
  <si>
    <t>219165117L</t>
  </si>
  <si>
    <t>27.11.2024</t>
  </si>
  <si>
    <t>10.02.2025</t>
  </si>
  <si>
    <t>1240200999</t>
  </si>
  <si>
    <t>1240200998</t>
  </si>
  <si>
    <t>1240100613</t>
  </si>
  <si>
    <t>1240201000</t>
  </si>
  <si>
    <t>1240201001</t>
  </si>
  <si>
    <t>1240201002</t>
  </si>
  <si>
    <t>1240201003</t>
  </si>
  <si>
    <t>1240201004</t>
  </si>
  <si>
    <t>1240201005</t>
  </si>
  <si>
    <t>1240201007</t>
  </si>
  <si>
    <t>1240201006</t>
  </si>
  <si>
    <t>5000491941</t>
  </si>
  <si>
    <t>5000493216</t>
  </si>
  <si>
    <t>5000494014</t>
  </si>
  <si>
    <t>5000494821</t>
  </si>
  <si>
    <t>5000494822</t>
  </si>
  <si>
    <t>5000494823</t>
  </si>
  <si>
    <t>5000495084</t>
  </si>
  <si>
    <t>5000495384</t>
  </si>
  <si>
    <t>5000495741</t>
  </si>
  <si>
    <t>5000495963</t>
  </si>
  <si>
    <t>0000CS-065</t>
  </si>
  <si>
    <t>Cross Dock - 1240201000</t>
  </si>
  <si>
    <t>Cross Dock - 1240201001</t>
  </si>
  <si>
    <t>Cross Dock - 1240201002</t>
  </si>
  <si>
    <t>CROSS DOCK</t>
  </si>
  <si>
    <t>16.03.2026</t>
  </si>
  <si>
    <t>25.05.2026</t>
  </si>
  <si>
    <t>18.04.2026</t>
  </si>
  <si>
    <t>18.02.2026</t>
  </si>
  <si>
    <t>09.05.2026</t>
  </si>
  <si>
    <t>08.04.2026</t>
  </si>
  <si>
    <t>18.03.2026</t>
  </si>
  <si>
    <t>30.05.2026</t>
  </si>
  <si>
    <t>28.04.2026</t>
  </si>
  <si>
    <t>10.03.2026</t>
  </si>
  <si>
    <t>04.05.2026</t>
  </si>
  <si>
    <t>17.03.2026</t>
  </si>
  <si>
    <t>30.06.2026</t>
  </si>
  <si>
    <t xml:space="preserve">Business Line </t>
  </si>
  <si>
    <t>0-30 Days</t>
  </si>
  <si>
    <t>31-60 Days</t>
  </si>
  <si>
    <t>61-90 Days</t>
  </si>
  <si>
    <t xml:space="preserve">03 - 06 Months </t>
  </si>
  <si>
    <t xml:space="preserve">06 - 12 Months </t>
  </si>
  <si>
    <t xml:space="preserve">&gt; 12 Months  </t>
  </si>
  <si>
    <t xml:space="preserve">&gt; 24 Months  </t>
  </si>
  <si>
    <t>IBLHC</t>
  </si>
  <si>
    <t>Critical Care</t>
  </si>
  <si>
    <t>HospiCare</t>
  </si>
  <si>
    <t>Medical Disposables</t>
  </si>
  <si>
    <t>CC 04 25-26</t>
  </si>
  <si>
    <t>P.O-01-250225R004/Proc of Dialysis</t>
  </si>
  <si>
    <t>3/13/2026 &amp; 4/9/2026</t>
  </si>
  <si>
    <t>3/25/2026 &amp; 2/26/2026</t>
  </si>
  <si>
    <t>3/18/2026 &amp; 1/22/2026</t>
  </si>
  <si>
    <t>1/26/2026 &amp; 11/1/2025</t>
  </si>
  <si>
    <t>12/23/2025 &amp; 11/17/2025</t>
  </si>
  <si>
    <t>4/10/2026 &amp; 3/14/2026</t>
  </si>
  <si>
    <t xml:space="preserve">Dial 2.0 </t>
  </si>
  <si>
    <t>11/17/2025 &amp; 10/25/2025</t>
  </si>
  <si>
    <t>1/28/2026 &amp; 2/17/2026</t>
  </si>
  <si>
    <t>12/10/2025 &amp; 11/3/2025</t>
  </si>
  <si>
    <t>3/17/2026 &amp; 3/17/2026</t>
  </si>
  <si>
    <t>In Process</t>
  </si>
  <si>
    <t>2887-94</t>
  </si>
  <si>
    <t>1st Supply done</t>
  </si>
  <si>
    <t>2nd Supply done</t>
  </si>
  <si>
    <t>Clearing Date 19th March, 26</t>
  </si>
  <si>
    <t>PC/P/HFH-4886-90</t>
  </si>
  <si>
    <t>PAYMENT DETAILS</t>
  </si>
  <si>
    <t>Company</t>
  </si>
  <si>
    <t>12000798</t>
  </si>
  <si>
    <t>ARAFAT TRADERS</t>
  </si>
  <si>
    <t>SURRIYA MAJEED TRUST</t>
  </si>
  <si>
    <t>12000800</t>
  </si>
  <si>
    <t>ZAFAR SURGICAL</t>
  </si>
  <si>
    <t>12020089</t>
  </si>
  <si>
    <t>Indus Hospital Badin Campus</t>
  </si>
  <si>
    <t>0020241010</t>
  </si>
  <si>
    <t>0020250210</t>
  </si>
  <si>
    <t>0000240489</t>
  </si>
  <si>
    <t>1240201039</t>
  </si>
  <si>
    <t>1240201008</t>
  </si>
  <si>
    <t>5000498310</t>
  </si>
  <si>
    <t>5000499286</t>
  </si>
  <si>
    <t>00026B05SK</t>
  </si>
  <si>
    <t>00Z260163B</t>
  </si>
  <si>
    <t>19.05.2026</t>
  </si>
  <si>
    <t>4/9/2026 &amp; 5/5/2026</t>
  </si>
  <si>
    <t>DTL clear, Payment pending</t>
  </si>
  <si>
    <t>1209076773</t>
  </si>
  <si>
    <t>1203076263</t>
  </si>
  <si>
    <t>1209076774</t>
  </si>
  <si>
    <t>1203076264</t>
  </si>
  <si>
    <t>1209076772</t>
  </si>
  <si>
    <t>1203076262</t>
  </si>
  <si>
    <t>1209076813</t>
  </si>
  <si>
    <t>1203076287</t>
  </si>
  <si>
    <t>1209076802</t>
  </si>
  <si>
    <t>1203076283</t>
  </si>
  <si>
    <t>1209076803</t>
  </si>
  <si>
    <t>1203076285</t>
  </si>
  <si>
    <t>1209076801</t>
  </si>
  <si>
    <t>1203076282</t>
  </si>
  <si>
    <t>1209076849</t>
  </si>
  <si>
    <t>1203076284</t>
  </si>
  <si>
    <t>1209076807</t>
  </si>
  <si>
    <t>1203076286</t>
  </si>
  <si>
    <t>12000797</t>
  </si>
  <si>
    <t>GLIMPSE TRADERS KOHAT</t>
  </si>
  <si>
    <t>1209076799</t>
  </si>
  <si>
    <t>1203076280</t>
  </si>
  <si>
    <t>1209076800</t>
  </si>
  <si>
    <t>1203076281</t>
  </si>
  <si>
    <t>1209076820</t>
  </si>
  <si>
    <t>1203076596</t>
  </si>
  <si>
    <t>1209076815</t>
  </si>
  <si>
    <t>1203076291</t>
  </si>
  <si>
    <t>1209077115</t>
  </si>
  <si>
    <t>1203076604</t>
  </si>
  <si>
    <t>1209077116</t>
  </si>
  <si>
    <t>1203076605</t>
  </si>
  <si>
    <t>0020260405</t>
  </si>
  <si>
    <t>1209077114</t>
  </si>
  <si>
    <t>1203076602</t>
  </si>
  <si>
    <t>1209077118</t>
  </si>
  <si>
    <t>1203076603</t>
  </si>
  <si>
    <t>1209077110</t>
  </si>
  <si>
    <t>1203076600</t>
  </si>
  <si>
    <t>1209077117</t>
  </si>
  <si>
    <t>1203076606</t>
  </si>
  <si>
    <t>1209077111</t>
  </si>
  <si>
    <t>1203076601</t>
  </si>
  <si>
    <t>0020260325</t>
  </si>
  <si>
    <t>1209077107</t>
  </si>
  <si>
    <t>1203076597</t>
  </si>
  <si>
    <t>1209077108</t>
  </si>
  <si>
    <t>1203076598</t>
  </si>
  <si>
    <t>1209077109</t>
  </si>
  <si>
    <t>1203076599</t>
  </si>
  <si>
    <t>1209077132</t>
  </si>
  <si>
    <t>1203076619</t>
  </si>
  <si>
    <t>1209077122</t>
  </si>
  <si>
    <t>1203076612</t>
  </si>
  <si>
    <t>1209077119</t>
  </si>
  <si>
    <t>1203076607</t>
  </si>
  <si>
    <t>1209077123</t>
  </si>
  <si>
    <t>1203076613</t>
  </si>
  <si>
    <t>1209077120</t>
  </si>
  <si>
    <t>1203076610</t>
  </si>
  <si>
    <t>1209077124</t>
  </si>
  <si>
    <t>1203076611</t>
  </si>
  <si>
    <t>1209077273</t>
  </si>
  <si>
    <t>1203076757</t>
  </si>
  <si>
    <t>1209077272</t>
  </si>
  <si>
    <t>1203076754</t>
  </si>
  <si>
    <t>1209077277</t>
  </si>
  <si>
    <t>1203076765</t>
  </si>
  <si>
    <t>1209077276</t>
  </si>
  <si>
    <t>1203076764</t>
  </si>
  <si>
    <t>1209077271</t>
  </si>
  <si>
    <t>1203076620</t>
  </si>
  <si>
    <t>Public</t>
  </si>
  <si>
    <t>1209077275</t>
  </si>
  <si>
    <t>1203076762</t>
  </si>
  <si>
    <t>1209077278</t>
  </si>
  <si>
    <t>1203076766</t>
  </si>
  <si>
    <t>1209077274</t>
  </si>
  <si>
    <t>1203076758</t>
  </si>
  <si>
    <t>1209077281</t>
  </si>
  <si>
    <t>1203076774</t>
  </si>
  <si>
    <t>1209077282</t>
  </si>
  <si>
    <t>1203076775</t>
  </si>
  <si>
    <t>1209077280</t>
  </si>
  <si>
    <t>1203076767</t>
  </si>
  <si>
    <t>1209077283</t>
  </si>
  <si>
    <t>1203076778</t>
  </si>
  <si>
    <t>0020260313</t>
  </si>
  <si>
    <t>1209077284</t>
  </si>
  <si>
    <t>1203076777</t>
  </si>
  <si>
    <t>1209077285</t>
  </si>
  <si>
    <t>1203076779</t>
  </si>
  <si>
    <t>1209077286</t>
  </si>
  <si>
    <t>1203076780</t>
  </si>
  <si>
    <t>1209077299</t>
  </si>
  <si>
    <t>1203076787</t>
  </si>
  <si>
    <t>1209077296</t>
  </si>
  <si>
    <t>1203076784</t>
  </si>
  <si>
    <t>1209077293</t>
  </si>
  <si>
    <t>1203076781</t>
  </si>
  <si>
    <t>1209077294</t>
  </si>
  <si>
    <t>1203076782</t>
  </si>
  <si>
    <t>1209077295</t>
  </si>
  <si>
    <t>1203076783</t>
  </si>
  <si>
    <t>1209077302</t>
  </si>
  <si>
    <t>1203076789</t>
  </si>
  <si>
    <t>1209077303</t>
  </si>
  <si>
    <t>1203076792</t>
  </si>
  <si>
    <t>1209077301</t>
  </si>
  <si>
    <t>1203076791</t>
  </si>
  <si>
    <t>1209077578</t>
  </si>
  <si>
    <t>1203077063</t>
  </si>
  <si>
    <t>1209077579</t>
  </si>
  <si>
    <t>1203077064</t>
  </si>
  <si>
    <t>1209077584</t>
  </si>
  <si>
    <t>1203077069</t>
  </si>
  <si>
    <t>1209078484</t>
  </si>
  <si>
    <t>1203077973</t>
  </si>
  <si>
    <t>1209078530</t>
  </si>
  <si>
    <t>1203077978</t>
  </si>
  <si>
    <t>1209077581</t>
  </si>
  <si>
    <t>1203077065</t>
  </si>
  <si>
    <t>1209077586</t>
  </si>
  <si>
    <t>1203077070</t>
  </si>
  <si>
    <t>1209077582</t>
  </si>
  <si>
    <t>1203077066</t>
  </si>
  <si>
    <t>1209077583</t>
  </si>
  <si>
    <t>1203077067</t>
  </si>
  <si>
    <t>1209077588</t>
  </si>
  <si>
    <t>1203077071</t>
  </si>
  <si>
    <t>1209077589</t>
  </si>
  <si>
    <t>1203077072</t>
  </si>
  <si>
    <t>Nextawits Private LTD</t>
  </si>
  <si>
    <t>1209077594</t>
  </si>
  <si>
    <t>1203077077</t>
  </si>
  <si>
    <t>12000681</t>
  </si>
  <si>
    <t>TAWAKAL ENTERPRISES CHANNEL</t>
  </si>
  <si>
    <t>1209077590</t>
  </si>
  <si>
    <t>1203077073</t>
  </si>
  <si>
    <t>1209077591</t>
  </si>
  <si>
    <t>1203077074</t>
  </si>
  <si>
    <t>1209077595</t>
  </si>
  <si>
    <t>1203077078</t>
  </si>
  <si>
    <t>1209077884</t>
  </si>
  <si>
    <t>1203077080</t>
  </si>
  <si>
    <t>1209077912</t>
  </si>
  <si>
    <t>1203077401</t>
  </si>
  <si>
    <t>1219000585</t>
  </si>
  <si>
    <t>0020251021</t>
  </si>
  <si>
    <t>Medeset IV Set-PE Basic-120cm</t>
  </si>
  <si>
    <t>1209077927</t>
  </si>
  <si>
    <t>1203077406</t>
  </si>
  <si>
    <t>1209077955</t>
  </si>
  <si>
    <t>1203077428</t>
  </si>
  <si>
    <t>1209077952</t>
  </si>
  <si>
    <t>1203077425</t>
  </si>
  <si>
    <t>1209077953</t>
  </si>
  <si>
    <t>1203077426</t>
  </si>
  <si>
    <t>1209077954</t>
  </si>
  <si>
    <t>1203077427</t>
  </si>
  <si>
    <t>1209077968</t>
  </si>
  <si>
    <t>1203077455</t>
  </si>
  <si>
    <t>1209077990</t>
  </si>
  <si>
    <t>1203077456</t>
  </si>
  <si>
    <t>00Z260174D</t>
  </si>
  <si>
    <t>1209077987</t>
  </si>
  <si>
    <t>1203077476</t>
  </si>
  <si>
    <t>1209077969</t>
  </si>
  <si>
    <t>1203077473</t>
  </si>
  <si>
    <t>1209077986</t>
  </si>
  <si>
    <t>1203077475</t>
  </si>
  <si>
    <t>1209077988</t>
  </si>
  <si>
    <t>1203077451</t>
  </si>
  <si>
    <t>1209077989</t>
  </si>
  <si>
    <t>1203077452</t>
  </si>
  <si>
    <t>1209077966</t>
  </si>
  <si>
    <t>1203077449</t>
  </si>
  <si>
    <t>1209077967</t>
  </si>
  <si>
    <t>1203077453</t>
  </si>
  <si>
    <t>1209078148</t>
  </si>
  <si>
    <t>1203077636</t>
  </si>
  <si>
    <t>1209078157</t>
  </si>
  <si>
    <t>1203077645</t>
  </si>
  <si>
    <t>1209078155</t>
  </si>
  <si>
    <t>1203077643</t>
  </si>
  <si>
    <t>1209078156</t>
  </si>
  <si>
    <t>1203077644</t>
  </si>
  <si>
    <t>1209078153</t>
  </si>
  <si>
    <t>1203077641</t>
  </si>
  <si>
    <t>1209078154</t>
  </si>
  <si>
    <t>1203077642</t>
  </si>
  <si>
    <t>1209078167</t>
  </si>
  <si>
    <t>1203077655</t>
  </si>
  <si>
    <t>1209078170</t>
  </si>
  <si>
    <t>1203077658</t>
  </si>
  <si>
    <t>1209078166</t>
  </si>
  <si>
    <t>1203077654</t>
  </si>
  <si>
    <t>1209078168</t>
  </si>
  <si>
    <t>1203077656</t>
  </si>
  <si>
    <t>1209078169</t>
  </si>
  <si>
    <t>1203077657</t>
  </si>
  <si>
    <t>1209078181</t>
  </si>
  <si>
    <t>1203077669</t>
  </si>
  <si>
    <t>1209078180</t>
  </si>
  <si>
    <t>1203077668</t>
  </si>
  <si>
    <t>1209078207</t>
  </si>
  <si>
    <t>1203077696</t>
  </si>
  <si>
    <t>1209078184</t>
  </si>
  <si>
    <t>1203077672</t>
  </si>
  <si>
    <t>1209078182</t>
  </si>
  <si>
    <t>1203077670</t>
  </si>
  <si>
    <t>1209078183</t>
  </si>
  <si>
    <t>1203077671</t>
  </si>
  <si>
    <t>1209078209</t>
  </si>
  <si>
    <t>1203077698</t>
  </si>
  <si>
    <t>1209078185</t>
  </si>
  <si>
    <t>1203077673</t>
  </si>
  <si>
    <t>1209078485</t>
  </si>
  <si>
    <t>1203077977</t>
  </si>
  <si>
    <t>1209078492</t>
  </si>
  <si>
    <t>1203077980</t>
  </si>
  <si>
    <t>1209078491</t>
  </si>
  <si>
    <t>1203077979</t>
  </si>
  <si>
    <t>1209078528</t>
  </si>
  <si>
    <t>1203078007</t>
  </si>
  <si>
    <t>1219000584</t>
  </si>
  <si>
    <t>0020251020</t>
  </si>
  <si>
    <t>Medeset IV Set with Y-Port-150cm</t>
  </si>
  <si>
    <t>1209078527</t>
  </si>
  <si>
    <t>1203078006</t>
  </si>
  <si>
    <t>2601160455</t>
  </si>
  <si>
    <t>1209078524</t>
  </si>
  <si>
    <t>1203078003</t>
  </si>
  <si>
    <t>1209078525</t>
  </si>
  <si>
    <t>1203078004</t>
  </si>
  <si>
    <t>1209078526</t>
  </si>
  <si>
    <t>1203078005</t>
  </si>
  <si>
    <t>1209078522</t>
  </si>
  <si>
    <t>1203077993</t>
  </si>
  <si>
    <t>2601160444</t>
  </si>
  <si>
    <t>1209078523</t>
  </si>
  <si>
    <t>1203078002</t>
  </si>
  <si>
    <t>1209078529</t>
  </si>
  <si>
    <t>1203078008</t>
  </si>
  <si>
    <t>1210007902</t>
  </si>
  <si>
    <t>1205007778</t>
  </si>
  <si>
    <t>1210007944</t>
  </si>
  <si>
    <t>1205007820</t>
  </si>
  <si>
    <t>1210007945</t>
  </si>
  <si>
    <t>1205007821</t>
  </si>
  <si>
    <t>1210007946</t>
  </si>
  <si>
    <t>1205007822</t>
  </si>
  <si>
    <t>1210007967</t>
  </si>
  <si>
    <t>1205007844</t>
  </si>
  <si>
    <t>10010483</t>
  </si>
  <si>
    <t>1012129789</t>
  </si>
  <si>
    <t>1005115994</t>
  </si>
  <si>
    <t>Lahore General Hospital</t>
  </si>
  <si>
    <t>GA3407C</t>
  </si>
  <si>
    <t>GA3408C</t>
  </si>
  <si>
    <t>1012130577</t>
  </si>
  <si>
    <t>1005116708</t>
  </si>
  <si>
    <t>1012130578</t>
  </si>
  <si>
    <t>1005116709</t>
  </si>
  <si>
    <t>240955</t>
  </si>
  <si>
    <t>240956</t>
  </si>
  <si>
    <t>1012130608</t>
  </si>
  <si>
    <t>1005116736</t>
  </si>
  <si>
    <t xml:space="preserve">             5,677,570 </t>
  </si>
  <si>
    <t xml:space="preserve">         200,575,136 </t>
  </si>
  <si>
    <t xml:space="preserve">           12,404,000 </t>
  </si>
  <si>
    <t xml:space="preserve">      60,794,885 </t>
  </si>
  <si>
    <t xml:space="preserve">           12,429,494 </t>
  </si>
  <si>
    <t>1240200991</t>
  </si>
  <si>
    <t>1240201018</t>
  </si>
  <si>
    <t>1240201013</t>
  </si>
  <si>
    <t>2601160144</t>
  </si>
  <si>
    <t>00Z260173D</t>
  </si>
  <si>
    <t>00Z260177D</t>
  </si>
  <si>
    <t>00Z260189A</t>
  </si>
  <si>
    <t>0020260406</t>
  </si>
  <si>
    <t>000GR3418C</t>
  </si>
  <si>
    <t>000GC3457C</t>
  </si>
  <si>
    <t>000GC3457D</t>
  </si>
  <si>
    <t>000GD3401C</t>
  </si>
  <si>
    <t>000GD3401D</t>
  </si>
  <si>
    <t>000GD3402C</t>
  </si>
  <si>
    <t>000GD3402D</t>
  </si>
  <si>
    <t>000GD3403C</t>
  </si>
  <si>
    <t>000GD3403D</t>
  </si>
  <si>
    <t>16.02.2026</t>
  </si>
  <si>
    <t>01.05.2026</t>
  </si>
  <si>
    <t>14.04.2026</t>
  </si>
  <si>
    <t>12.06.2026</t>
  </si>
  <si>
    <t>24.06.2026</t>
  </si>
  <si>
    <t>15.05.2026</t>
  </si>
  <si>
    <t>27.02.2026</t>
  </si>
  <si>
    <t>26.04.2026</t>
  </si>
  <si>
    <t>1209078906</t>
  </si>
  <si>
    <t>1203078379</t>
  </si>
  <si>
    <t>1209079093</t>
  </si>
  <si>
    <t>1203078561</t>
  </si>
  <si>
    <t>1209079094</t>
  </si>
  <si>
    <t>1203078562</t>
  </si>
  <si>
    <t>12000801</t>
  </si>
  <si>
    <t>RAZI ENTERPRISES</t>
  </si>
  <si>
    <t>1209079097</t>
  </si>
  <si>
    <t>1203078565</t>
  </si>
  <si>
    <t>1209079210</t>
  </si>
  <si>
    <t>1203078678</t>
  </si>
  <si>
    <t>12000738</t>
  </si>
  <si>
    <t>1209079208</t>
  </si>
  <si>
    <t>1203078676</t>
  </si>
  <si>
    <t>203158626S</t>
  </si>
  <si>
    <t>1209079209</t>
  </si>
  <si>
    <t>1203078677</t>
  </si>
  <si>
    <t>1209078540</t>
  </si>
  <si>
    <t>1203078018</t>
  </si>
  <si>
    <t>12000633</t>
  </si>
  <si>
    <t>1209078541</t>
  </si>
  <si>
    <t>1203078019</t>
  </si>
  <si>
    <t>1209078542</t>
  </si>
  <si>
    <t>1203078020</t>
  </si>
  <si>
    <t>1209078552</t>
  </si>
  <si>
    <t>1203078030</t>
  </si>
  <si>
    <t>1209078553</t>
  </si>
  <si>
    <t>1203078031</t>
  </si>
  <si>
    <t>1209078551</t>
  </si>
  <si>
    <t>1203078029</t>
  </si>
  <si>
    <t>1209078550</t>
  </si>
  <si>
    <t>1203078021</t>
  </si>
  <si>
    <t>1209078555</t>
  </si>
  <si>
    <t>1203078033</t>
  </si>
  <si>
    <t>1209078554</t>
  </si>
  <si>
    <t>1203078032</t>
  </si>
  <si>
    <t>12000462</t>
  </si>
  <si>
    <t>1209078898</t>
  </si>
  <si>
    <t>1203078378</t>
  </si>
  <si>
    <t>12000082</t>
  </si>
  <si>
    <t>1209078905</t>
  </si>
  <si>
    <t>1203078382</t>
  </si>
  <si>
    <t>1209078908</t>
  </si>
  <si>
    <t>1203078381</t>
  </si>
  <si>
    <t>1209078907</t>
  </si>
  <si>
    <t>1203078380</t>
  </si>
  <si>
    <t>10020883</t>
  </si>
  <si>
    <t>0000GYG003</t>
  </si>
  <si>
    <t>1209078911</t>
  </si>
  <si>
    <t>1203078384</t>
  </si>
  <si>
    <t>1219000510</t>
  </si>
  <si>
    <t>1209079049</t>
  </si>
  <si>
    <t>1209079059</t>
  </si>
  <si>
    <t>1203078532</t>
  </si>
  <si>
    <t>12000714</t>
  </si>
  <si>
    <t>1209079062</t>
  </si>
  <si>
    <t>1203078535</t>
  </si>
  <si>
    <t>12020216</t>
  </si>
  <si>
    <t>1209079064</t>
  </si>
  <si>
    <t>1203078537</t>
  </si>
  <si>
    <t>12020352</t>
  </si>
  <si>
    <t>1209079061</t>
  </si>
  <si>
    <t>1203078534</t>
  </si>
  <si>
    <t>1209079069</t>
  </si>
  <si>
    <t>1203078533</t>
  </si>
  <si>
    <t>1209079091</t>
  </si>
  <si>
    <t>1203078559</t>
  </si>
  <si>
    <t>1209079092</t>
  </si>
  <si>
    <t>1203078560</t>
  </si>
  <si>
    <t>1209079088</t>
  </si>
  <si>
    <t>1203078556</t>
  </si>
  <si>
    <t>1209079087</t>
  </si>
  <si>
    <t>1203078555</t>
  </si>
  <si>
    <t>12020188</t>
  </si>
  <si>
    <t>1209079090</t>
  </si>
  <si>
    <t>1203078558</t>
  </si>
  <si>
    <t>1209079095</t>
  </si>
  <si>
    <t>1203078563</t>
  </si>
  <si>
    <t>1209079063</t>
  </si>
  <si>
    <t>1203078536</t>
  </si>
  <si>
    <t>1209079089</t>
  </si>
  <si>
    <t>1203078557</t>
  </si>
  <si>
    <t>1209079204</t>
  </si>
  <si>
    <t>1203078567</t>
  </si>
  <si>
    <t>1209079203</t>
  </si>
  <si>
    <t>1203078566</t>
  </si>
  <si>
    <t>1209079205</t>
  </si>
  <si>
    <t>1203078675</t>
  </si>
  <si>
    <t>1209079211</t>
  </si>
  <si>
    <t>1203078679</t>
  </si>
  <si>
    <t>13.6.25</t>
  </si>
  <si>
    <t>19th Dec,25</t>
  </si>
  <si>
    <t>3rd Feb,26</t>
  </si>
  <si>
    <t>27th Jan,26, 1st Feb,26</t>
  </si>
  <si>
    <t>10th March, 26</t>
  </si>
  <si>
    <t>9th May,26</t>
  </si>
  <si>
    <t>23th June, 26</t>
  </si>
  <si>
    <t>22th July, 26</t>
  </si>
  <si>
    <t>120 days</t>
  </si>
  <si>
    <t>2nd supply done</t>
  </si>
  <si>
    <t>13.5.25</t>
  </si>
  <si>
    <t>13th Dec</t>
  </si>
  <si>
    <t>17th Jan,26</t>
  </si>
  <si>
    <t xml:space="preserve">7th Jan, 26,  </t>
  </si>
  <si>
    <t>11th Feb, 26</t>
  </si>
  <si>
    <t>One Po received</t>
  </si>
  <si>
    <t>13.5.26</t>
  </si>
  <si>
    <t>28th Feb, 26</t>
  </si>
  <si>
    <t>7th March, 26</t>
  </si>
  <si>
    <t>13.5.27</t>
  </si>
  <si>
    <t>31st March, 26</t>
  </si>
  <si>
    <t>6th March, 26</t>
  </si>
  <si>
    <t xml:space="preserve">Allied Hospital 
</t>
  </si>
  <si>
    <t>13.5.28</t>
  </si>
  <si>
    <t>30th April,26</t>
  </si>
  <si>
    <t xml:space="preserve">5th May, 26, </t>
  </si>
  <si>
    <t>13.5.29</t>
  </si>
  <si>
    <t>waiting for receiving</t>
  </si>
  <si>
    <t>17.5.25</t>
  </si>
  <si>
    <t>29/9, 30/9, 1/10</t>
  </si>
  <si>
    <t>11th Nov, 25</t>
  </si>
  <si>
    <t>26th Nov, 25</t>
  </si>
  <si>
    <t>19th Nov,25</t>
  </si>
  <si>
    <t>Waitinf for budget</t>
  </si>
  <si>
    <t>27/9, 30/9, 1/10</t>
  </si>
  <si>
    <t xml:space="preserve">6th Jan,26,  </t>
  </si>
  <si>
    <t>17th Jan,26/ 3rd Jan,26</t>
  </si>
  <si>
    <t>5000 supplied</t>
  </si>
  <si>
    <t xml:space="preserve">500 supplied </t>
  </si>
  <si>
    <t>31/10, 1/11, 3/11</t>
  </si>
  <si>
    <t xml:space="preserve"> 15/12, 16/12, 18/12 </t>
  </si>
  <si>
    <t>12th Nov, 25</t>
  </si>
  <si>
    <t>3rd Jan, 12/2/2026</t>
  </si>
  <si>
    <t>3600 Packs</t>
  </si>
  <si>
    <t>24.5.25</t>
  </si>
  <si>
    <t>2nd April,26</t>
  </si>
  <si>
    <t>16th May,26</t>
  </si>
  <si>
    <t>7th April, 26th April,26</t>
  </si>
  <si>
    <t>Wiating for DTL</t>
  </si>
  <si>
    <t>23th Feb, 3rd Jan,26</t>
  </si>
  <si>
    <t>9.5.25</t>
  </si>
  <si>
    <t>10th Feb,26</t>
  </si>
  <si>
    <t>28th May,26</t>
  </si>
  <si>
    <t>15th May, 16th May,26</t>
  </si>
  <si>
    <t>13th Mar, 9th April both batches</t>
  </si>
  <si>
    <t>21st Feb, 26</t>
  </si>
  <si>
    <t>15th Feb, 21st Feb,26</t>
  </si>
  <si>
    <t>25th Mar, 26th Feb,26</t>
  </si>
  <si>
    <t>26.5.25</t>
  </si>
  <si>
    <t>25th Sep,25</t>
  </si>
  <si>
    <t>25th Nov,25</t>
  </si>
  <si>
    <t>27th Oct,25</t>
  </si>
  <si>
    <t>26th Jan,26, 1st Nov 25</t>
  </si>
  <si>
    <t>2400 Packs</t>
  </si>
  <si>
    <t>11th Feb,26</t>
  </si>
  <si>
    <t>26th Feb,25</t>
  </si>
  <si>
    <t>2nd supply 26th Feb</t>
  </si>
  <si>
    <t>10th April, 14th March,26</t>
  </si>
  <si>
    <t>2nd supplies delievered</t>
  </si>
  <si>
    <t>19.5.25</t>
  </si>
  <si>
    <t>18th Sep,25</t>
  </si>
  <si>
    <t>3rd Dec, 25</t>
  </si>
  <si>
    <t>29th Sep,25, 11th Oct,25</t>
  </si>
  <si>
    <t>17th Nov, 25, 25th Oct,25</t>
  </si>
  <si>
    <t>7th Jan,26</t>
  </si>
  <si>
    <t>28th Jan, 17th Feb,26</t>
  </si>
  <si>
    <t>4th Sep, 25</t>
  </si>
  <si>
    <t>15th May, 26</t>
  </si>
  <si>
    <t xml:space="preserve">29th April, </t>
  </si>
  <si>
    <t>done</t>
  </si>
  <si>
    <t>480 Packs</t>
  </si>
  <si>
    <t>CC 014 25-26</t>
  </si>
  <si>
    <t>22.5.25</t>
  </si>
  <si>
    <t>29th Dec, 25</t>
  </si>
  <si>
    <t>12th Feb, 26</t>
  </si>
  <si>
    <t>800 Packs</t>
  </si>
  <si>
    <t>CC 015 25-26</t>
  </si>
  <si>
    <t>28.5.25</t>
  </si>
  <si>
    <t>6th Nov,25</t>
  </si>
  <si>
    <t>5th Jan,25</t>
  </si>
  <si>
    <t>17th Dec, 24th Dec</t>
  </si>
  <si>
    <t>CC 016 25-26</t>
  </si>
  <si>
    <t>22th Sep,25</t>
  </si>
  <si>
    <t>6th Nov, 25</t>
  </si>
  <si>
    <t>15th Dec, 20th Dec, 25</t>
  </si>
  <si>
    <t>17th Jan, 26</t>
  </si>
  <si>
    <t>CC 017 25-26</t>
  </si>
  <si>
    <t>27.5.25</t>
  </si>
  <si>
    <t>16th Sep,25</t>
  </si>
  <si>
    <t>29th Oct,25</t>
  </si>
  <si>
    <t>5th Dec, 25</t>
  </si>
  <si>
    <t>6000 Packs</t>
  </si>
  <si>
    <t>CC 019 25-26</t>
  </si>
  <si>
    <t>18th April, 26</t>
  </si>
  <si>
    <t>2nd June, 26</t>
  </si>
  <si>
    <t>11th June,26</t>
  </si>
  <si>
    <t>Stock on printing</t>
  </si>
  <si>
    <t>03.4.26</t>
  </si>
  <si>
    <t xml:space="preserve">We are in PPRA, submitted greviance. </t>
  </si>
  <si>
    <t>CC 028 26-27</t>
  </si>
  <si>
    <t>31st Oct, 2025</t>
  </si>
  <si>
    <t>30th Nov,2025</t>
  </si>
  <si>
    <t>1st April, 26</t>
  </si>
  <si>
    <t>24th July, 2025</t>
  </si>
  <si>
    <t>24th Aug,,2025</t>
  </si>
  <si>
    <t>11th Nov, 2025</t>
  </si>
  <si>
    <t>11th Dec,2025</t>
  </si>
  <si>
    <t>11th April, 26</t>
  </si>
  <si>
    <t>4th Aug, 2025</t>
  </si>
  <si>
    <t>4th Sep,2025</t>
  </si>
  <si>
    <t>13th Dec, 25</t>
  </si>
  <si>
    <t>19th March, 26</t>
  </si>
  <si>
    <t>Payment done</t>
  </si>
  <si>
    <t>10th Jan, 2026</t>
  </si>
  <si>
    <t>10th Feb, 2026</t>
  </si>
  <si>
    <t>14th April,26</t>
  </si>
  <si>
    <t>2nd Marc, 2026</t>
  </si>
  <si>
    <t>2nd April, 2026</t>
  </si>
  <si>
    <t>28th Oct, 25</t>
  </si>
  <si>
    <t>24th Aug, 2026</t>
  </si>
  <si>
    <t>16th Oct, 25</t>
  </si>
  <si>
    <t>1st Dec, 26</t>
  </si>
  <si>
    <t>CC 029 26-27</t>
  </si>
  <si>
    <t>Ayub Teaching Hospital</t>
  </si>
  <si>
    <t>18-07-26</t>
  </si>
  <si>
    <t>Qty Not Menti</t>
  </si>
  <si>
    <t>On Process</t>
  </si>
  <si>
    <t>Not Mentioned</t>
  </si>
  <si>
    <t>Waiting for Techinical</t>
  </si>
  <si>
    <t>CC 030 26-27</t>
  </si>
  <si>
    <t>Khaber Teaching Hospital</t>
  </si>
  <si>
    <t>01.7.26</t>
  </si>
  <si>
    <t>CC 027 26-27</t>
  </si>
  <si>
    <t>RFP for Purchae of surgica dispoables FY 25-26</t>
  </si>
  <si>
    <t>07.01.2025</t>
  </si>
  <si>
    <t>06.30.2026</t>
  </si>
  <si>
    <t>90 days subject to budget availability</t>
  </si>
  <si>
    <t xml:space="preserve">90 days after supply of stocks </t>
  </si>
  <si>
    <t>RFP for Purchae of surgica dispoables FY 25-28</t>
  </si>
  <si>
    <t>RFP for Purchae of surgica dispoables FY 25-30</t>
  </si>
  <si>
    <t>Allied Hospital(WEGO Single bags)</t>
  </si>
  <si>
    <t xml:space="preserve">Within 60 days </t>
  </si>
  <si>
    <t>DTL in process</t>
  </si>
  <si>
    <t>RFP for Purchae of surgica dispoables FY 25-31</t>
  </si>
  <si>
    <t>07.01.2035</t>
  </si>
  <si>
    <t>8700, 8750, 8757</t>
  </si>
  <si>
    <t>within 45 days</t>
  </si>
  <si>
    <t>RFP for Purchae of surgica dispoables FY 25-32</t>
  </si>
  <si>
    <t>RFP for Purchae of surgica dispoables FY 25-33</t>
  </si>
  <si>
    <t>RFP fot Purchae of surgica dispoables FY 25-26</t>
  </si>
  <si>
    <t>7182, 7187</t>
  </si>
  <si>
    <t>27-09-2025</t>
  </si>
  <si>
    <t>within 30 days</t>
  </si>
  <si>
    <t xml:space="preserve">7187, </t>
  </si>
  <si>
    <t xml:space="preserve">7182, </t>
  </si>
  <si>
    <t>30/4/2025</t>
  </si>
  <si>
    <t>25-08-2025</t>
  </si>
  <si>
    <t>Not Scheduled yet</t>
  </si>
  <si>
    <t>07.01-2025</t>
  </si>
  <si>
    <t>17-01-2026</t>
  </si>
  <si>
    <t xml:space="preserve">Within 45 days </t>
  </si>
  <si>
    <t>17/01/2026</t>
  </si>
  <si>
    <t>15-02-2026</t>
  </si>
  <si>
    <t>MC 05 24-25</t>
  </si>
  <si>
    <t xml:space="preserve">3781, 3782, 3783, 3780, </t>
  </si>
  <si>
    <t>30-05-2025</t>
  </si>
  <si>
    <t>29th September 2025</t>
  </si>
  <si>
    <t xml:space="preserve">DTL report received </t>
  </si>
  <si>
    <t>IBTS</t>
  </si>
  <si>
    <t>3781, 3782, 3783, 3780</t>
  </si>
  <si>
    <t>MC</t>
  </si>
  <si>
    <t>30-12-2025</t>
  </si>
  <si>
    <t>within 60 days</t>
  </si>
  <si>
    <t>30000 delivered</t>
  </si>
  <si>
    <t>SBT</t>
  </si>
  <si>
    <t>29-12-2025</t>
  </si>
  <si>
    <t>Aziz Bhatti Shaheed Hosp. Gujrat</t>
  </si>
  <si>
    <t>18-02-2026</t>
  </si>
  <si>
    <t>DH Health AJK</t>
  </si>
  <si>
    <t>MC 24 24-25</t>
  </si>
  <si>
    <t>Bulk Purchase Surgical Disposables</t>
  </si>
  <si>
    <t>07.01.2026</t>
  </si>
  <si>
    <t>30.06.2027</t>
  </si>
  <si>
    <t>RFP fot Purchae of surgica dispoables FY 25-27</t>
  </si>
  <si>
    <t>12.5.25</t>
  </si>
  <si>
    <t>9094...</t>
  </si>
  <si>
    <t>12.11.25</t>
  </si>
  <si>
    <t>24.12.25</t>
  </si>
  <si>
    <t>delivered 21.12.2025</t>
  </si>
  <si>
    <t>14.12.25</t>
  </si>
  <si>
    <t>09.01.26</t>
  </si>
  <si>
    <t>RFP fot Purchae of surgica dispoables FY 25-28</t>
  </si>
  <si>
    <t>8657...</t>
  </si>
  <si>
    <t>deliver 21.2.26 13000 supplied 08.05.2026</t>
  </si>
  <si>
    <t>01.03.26</t>
  </si>
  <si>
    <t>payment pending due late supply</t>
  </si>
  <si>
    <t>RFP fot Purchae of surgica dispoables FY 25-29</t>
  </si>
  <si>
    <t>8430...</t>
  </si>
  <si>
    <t>no</t>
  </si>
  <si>
    <t>supplied 20.5.26</t>
  </si>
  <si>
    <t>23.5.25</t>
  </si>
  <si>
    <t>29.10.25</t>
  </si>
  <si>
    <t>05.12.25</t>
  </si>
  <si>
    <t>suppied 15.6.26</t>
  </si>
  <si>
    <t>HC 014 25-26</t>
  </si>
  <si>
    <t>10.5.25</t>
  </si>
  <si>
    <t>10.11.25</t>
  </si>
  <si>
    <t>08.01.26</t>
  </si>
  <si>
    <t>supplied 08.05.2026</t>
  </si>
  <si>
    <t>30.6.26</t>
  </si>
  <si>
    <t>HC 016 25-26</t>
  </si>
  <si>
    <t>16.8.25</t>
  </si>
  <si>
    <t>27.1.26</t>
  </si>
  <si>
    <t>13.3.26</t>
  </si>
  <si>
    <t>HC 23 25-27</t>
  </si>
  <si>
    <t>23.05.25</t>
  </si>
  <si>
    <t>23.05.26</t>
  </si>
  <si>
    <t>PO awiting</t>
  </si>
  <si>
    <t>waiting of stock</t>
  </si>
  <si>
    <t>23.6.25</t>
  </si>
  <si>
    <t>11.09.2025</t>
  </si>
  <si>
    <t>10.11.2025</t>
  </si>
  <si>
    <t>25.5.26</t>
  </si>
  <si>
    <t>20.05.2025</t>
  </si>
  <si>
    <t>29.12.25</t>
  </si>
  <si>
    <t>13.02.2026</t>
  </si>
  <si>
    <t>supplied 18.3.26</t>
  </si>
  <si>
    <t>will sent on 28.03.26</t>
  </si>
  <si>
    <t>pending due to late supply</t>
  </si>
  <si>
    <t>RFP fot Purchae of surgica dispoables FY 26-27</t>
  </si>
  <si>
    <t>03.04.2026</t>
  </si>
  <si>
    <t>HC 69 25-26</t>
  </si>
  <si>
    <t>HC 70 26-27</t>
  </si>
  <si>
    <t>HC 71 26-27</t>
  </si>
  <si>
    <t>HC 72 26-27</t>
  </si>
  <si>
    <t>HC 73 26-27</t>
  </si>
  <si>
    <t>HC 74 26-27</t>
  </si>
  <si>
    <t>HC 75 26-27</t>
  </si>
  <si>
    <t>HC 76 26-27</t>
  </si>
  <si>
    <t>HP&amp;W centralized tender FY 26-27</t>
  </si>
  <si>
    <t>07.04.2026</t>
  </si>
  <si>
    <t>not awarded due to price</t>
  </si>
  <si>
    <t>HC 77 26-27</t>
  </si>
  <si>
    <t>HC 78 26-27</t>
  </si>
  <si>
    <t>HC 79 26-27</t>
  </si>
  <si>
    <t>HC 80 26-27</t>
  </si>
  <si>
    <t>HC 81 26-27</t>
  </si>
  <si>
    <t>HC 82 26-27</t>
  </si>
  <si>
    <t>HC 87 26-29</t>
  </si>
  <si>
    <t>17.02.2026</t>
  </si>
  <si>
    <t>not listed in SBD</t>
  </si>
  <si>
    <t>HC 96 26-33</t>
  </si>
  <si>
    <t>HC 97 26-34</t>
  </si>
  <si>
    <t>HC 98 26-34</t>
  </si>
  <si>
    <t>HC 99 26-35</t>
  </si>
  <si>
    <t>HC 100 26-35</t>
  </si>
  <si>
    <t>HC 101 26-36</t>
  </si>
  <si>
    <t>HC 102 26-36</t>
  </si>
  <si>
    <t>HC 103 26-37</t>
  </si>
  <si>
    <t>HC 104 26-27</t>
  </si>
  <si>
    <t>1209079327</t>
  </si>
  <si>
    <t>1203078798</t>
  </si>
  <si>
    <t>0020260520</t>
  </si>
  <si>
    <t>1209079571</t>
  </si>
  <si>
    <t>1203079036</t>
  </si>
  <si>
    <t>1209079572</t>
  </si>
  <si>
    <t>1203079037</t>
  </si>
  <si>
    <t>1209079677</t>
  </si>
  <si>
    <t>1203079139</t>
  </si>
  <si>
    <t>1209079682</t>
  </si>
  <si>
    <t>1203079145</t>
  </si>
  <si>
    <t>12000091</t>
  </si>
  <si>
    <t>RBC260330G</t>
  </si>
  <si>
    <t>1210008149</t>
  </si>
  <si>
    <t>1205007970</t>
  </si>
  <si>
    <t>RBC251023G</t>
  </si>
  <si>
    <t>1210008150</t>
  </si>
  <si>
    <t>1205008025</t>
  </si>
  <si>
    <t>RBC250815G</t>
  </si>
  <si>
    <t>12020230</t>
  </si>
  <si>
    <t>1219000779</t>
  </si>
  <si>
    <t>00240801KB</t>
  </si>
  <si>
    <t>1210008183</t>
  </si>
  <si>
    <t>1205008053</t>
  </si>
  <si>
    <t>00240731KB</t>
  </si>
  <si>
    <t>00241011KB</t>
  </si>
  <si>
    <t>1210008184</t>
  </si>
  <si>
    <t>1205008052</t>
  </si>
  <si>
    <t>00241005KB</t>
  </si>
  <si>
    <t>1209079727</t>
  </si>
  <si>
    <t>1203079188</t>
  </si>
  <si>
    <t>1209079708</t>
  </si>
  <si>
    <t>1203079160</t>
  </si>
  <si>
    <t>10020177</t>
  </si>
  <si>
    <t>1209079718</t>
  </si>
  <si>
    <t>1203079178</t>
  </si>
  <si>
    <t>1219000133</t>
  </si>
  <si>
    <t>000023B05F</t>
  </si>
  <si>
    <t>1209079719</t>
  </si>
  <si>
    <t>1203079179</t>
  </si>
  <si>
    <t>1219000134</t>
  </si>
  <si>
    <t>000024A02F</t>
  </si>
  <si>
    <t>1209079728</t>
  </si>
  <si>
    <t>1203079189</t>
  </si>
  <si>
    <t>1209079713</t>
  </si>
  <si>
    <t>1203079173</t>
  </si>
  <si>
    <t>1209079714</t>
  </si>
  <si>
    <t>1203079174</t>
  </si>
  <si>
    <t>1209079721</t>
  </si>
  <si>
    <t>1203079181</t>
  </si>
  <si>
    <t>1209079709</t>
  </si>
  <si>
    <t>1203079163</t>
  </si>
  <si>
    <t>1209079726</t>
  </si>
  <si>
    <t>1203079187</t>
  </si>
  <si>
    <t>0000240958</t>
  </si>
  <si>
    <t>0000250817</t>
  </si>
  <si>
    <t>1219000816</t>
  </si>
  <si>
    <t>1209079720</t>
  </si>
  <si>
    <t>1203079180</t>
  </si>
  <si>
    <t>1209079715</t>
  </si>
  <si>
    <t>1203079175</t>
  </si>
  <si>
    <t>12000761</t>
  </si>
  <si>
    <t>1209079717</t>
  </si>
  <si>
    <t>1203079177</t>
  </si>
  <si>
    <t>12000803</t>
  </si>
  <si>
    <t>GONDAL PHARMACY</t>
  </si>
  <si>
    <t>1209079730</t>
  </si>
  <si>
    <t>1203079191</t>
  </si>
  <si>
    <t>1209079712</t>
  </si>
  <si>
    <t>1203079172</t>
  </si>
  <si>
    <t>12020093</t>
  </si>
  <si>
    <t>1219000744</t>
  </si>
  <si>
    <t>020260514G</t>
  </si>
  <si>
    <t>1209079716</t>
  </si>
  <si>
    <t>1203079176</t>
  </si>
  <si>
    <t>1209079710</t>
  </si>
  <si>
    <t>1203079168</t>
  </si>
  <si>
    <t>1219000818</t>
  </si>
  <si>
    <t>0020220610</t>
  </si>
  <si>
    <t>1209079711</t>
  </si>
  <si>
    <t>1203079171</t>
  </si>
  <si>
    <t>00241012KB</t>
  </si>
  <si>
    <t>1209079729</t>
  </si>
  <si>
    <t>1203079190</t>
  </si>
  <si>
    <t>00241126KB</t>
  </si>
  <si>
    <t>00250120KB</t>
  </si>
  <si>
    <t>00240924KB</t>
  </si>
  <si>
    <t>1210008186</t>
  </si>
  <si>
    <t>1205008051</t>
  </si>
  <si>
    <t>00240923KB</t>
  </si>
  <si>
    <t>00241003KB</t>
  </si>
  <si>
    <t>1209079309</t>
  </si>
  <si>
    <t>1203078780</t>
  </si>
  <si>
    <t>1209079307</t>
  </si>
  <si>
    <t>1203078778</t>
  </si>
  <si>
    <t>1209079308</t>
  </si>
  <si>
    <t>1203078779</t>
  </si>
  <si>
    <t>1209079310</t>
  </si>
  <si>
    <t>1203078781</t>
  </si>
  <si>
    <t>1209079306</t>
  </si>
  <si>
    <t>1203078777</t>
  </si>
  <si>
    <t>12020346</t>
  </si>
  <si>
    <t>1209079311</t>
  </si>
  <si>
    <t>1203078784</t>
  </si>
  <si>
    <t>1209079312</t>
  </si>
  <si>
    <t>1203078786</t>
  </si>
  <si>
    <t>1209079321</t>
  </si>
  <si>
    <t>1203078789</t>
  </si>
  <si>
    <t>12010024</t>
  </si>
  <si>
    <t>1209079326</t>
  </si>
  <si>
    <t>1203078794</t>
  </si>
  <si>
    <t>1209079324</t>
  </si>
  <si>
    <t>1203078790</t>
  </si>
  <si>
    <t>1209079325</t>
  </si>
  <si>
    <t>1203078791</t>
  </si>
  <si>
    <t>1209079328</t>
  </si>
  <si>
    <t>1203078800</t>
  </si>
  <si>
    <t>1209079329</t>
  </si>
  <si>
    <t>1203078801</t>
  </si>
  <si>
    <t>1209079340</t>
  </si>
  <si>
    <t>1203078805</t>
  </si>
  <si>
    <t>1209079341</t>
  </si>
  <si>
    <t>1203078807</t>
  </si>
  <si>
    <t>1209079342</t>
  </si>
  <si>
    <t>1203078808</t>
  </si>
  <si>
    <t>1209079343</t>
  </si>
  <si>
    <t>1203078812</t>
  </si>
  <si>
    <t>1209079430</t>
  </si>
  <si>
    <t>1203078813</t>
  </si>
  <si>
    <t>1209079433</t>
  </si>
  <si>
    <t>1203078906</t>
  </si>
  <si>
    <t>12000065</t>
  </si>
  <si>
    <t>1209079431</t>
  </si>
  <si>
    <t>1203078814</t>
  </si>
  <si>
    <t>1209079432</t>
  </si>
  <si>
    <t>1203078815</t>
  </si>
  <si>
    <t>1209079434</t>
  </si>
  <si>
    <t>1203078907</t>
  </si>
  <si>
    <t>1209079435</t>
  </si>
  <si>
    <t>1203078908</t>
  </si>
  <si>
    <t>1209079436</t>
  </si>
  <si>
    <t>1203078909</t>
  </si>
  <si>
    <t>1209079438</t>
  </si>
  <si>
    <t>1203078911</t>
  </si>
  <si>
    <t>12020355</t>
  </si>
  <si>
    <t>ABWA HOSPITAL RESEARCH CENTER</t>
  </si>
  <si>
    <t>1209079439</t>
  </si>
  <si>
    <t>1203078912</t>
  </si>
  <si>
    <t>1209079459</t>
  </si>
  <si>
    <t>1203078916</t>
  </si>
  <si>
    <t>1209079460</t>
  </si>
  <si>
    <t>1203078917</t>
  </si>
  <si>
    <t>1219000756</t>
  </si>
  <si>
    <t>00PA251010</t>
  </si>
  <si>
    <t>1209079462</t>
  </si>
  <si>
    <t>1203078919</t>
  </si>
  <si>
    <t>1209079452</t>
  </si>
  <si>
    <t>1203078910</t>
  </si>
  <si>
    <t>1219000571</t>
  </si>
  <si>
    <t>0000240098</t>
  </si>
  <si>
    <t>0000250816</t>
  </si>
  <si>
    <t>1209079461</t>
  </si>
  <si>
    <t>1203078918</t>
  </si>
  <si>
    <t>00Z240191B</t>
  </si>
  <si>
    <t>1209079463</t>
  </si>
  <si>
    <t>1203078926</t>
  </si>
  <si>
    <t>12020208</t>
  </si>
  <si>
    <t>1209079464</t>
  </si>
  <si>
    <t>1203078927</t>
  </si>
  <si>
    <t>1219000828</t>
  </si>
  <si>
    <t>12020228</t>
  </si>
  <si>
    <t>1209079465</t>
  </si>
  <si>
    <t>1203078928</t>
  </si>
  <si>
    <t>1209079561</t>
  </si>
  <si>
    <t>1203079019</t>
  </si>
  <si>
    <t>1209079562</t>
  </si>
  <si>
    <t>1203079028</t>
  </si>
  <si>
    <t>1209079573</t>
  </si>
  <si>
    <t>1203079038</t>
  </si>
  <si>
    <t>1209079577</t>
  </si>
  <si>
    <t>1203079040</t>
  </si>
  <si>
    <t>1209079567</t>
  </si>
  <si>
    <t>1203079029</t>
  </si>
  <si>
    <t>1209079578</t>
  </si>
  <si>
    <t>1203079041</t>
  </si>
  <si>
    <t>1209079570</t>
  </si>
  <si>
    <t>1203079035</t>
  </si>
  <si>
    <t>1209079576</t>
  </si>
  <si>
    <t>1203079039</t>
  </si>
  <si>
    <t>203158825S</t>
  </si>
  <si>
    <t>12020341</t>
  </si>
  <si>
    <t>1209079568</t>
  </si>
  <si>
    <t>1203079031</t>
  </si>
  <si>
    <t>1209079569</t>
  </si>
  <si>
    <t>1203079032</t>
  </si>
  <si>
    <t>12000243</t>
  </si>
  <si>
    <t>1209079671</t>
  </si>
  <si>
    <t>1203079132</t>
  </si>
  <si>
    <t>1219000556</t>
  </si>
  <si>
    <t>1209079670</t>
  </si>
  <si>
    <t>1203079131</t>
  </si>
  <si>
    <t>1209079669</t>
  </si>
  <si>
    <t>1203079128</t>
  </si>
  <si>
    <t>1209079673</t>
  </si>
  <si>
    <t>1203079137</t>
  </si>
  <si>
    <t>1209079689</t>
  </si>
  <si>
    <t>1203079150</t>
  </si>
  <si>
    <t>020260515G</t>
  </si>
  <si>
    <t>1209079676</t>
  </si>
  <si>
    <t>1203079138</t>
  </si>
  <si>
    <t>1209079678</t>
  </si>
  <si>
    <t>1203079140</t>
  </si>
  <si>
    <t>1209079679</t>
  </si>
  <si>
    <t>1203079141</t>
  </si>
  <si>
    <t>1209079680</t>
  </si>
  <si>
    <t>1203079142</t>
  </si>
  <si>
    <t>1209079681</t>
  </si>
  <si>
    <t>1203079144</t>
  </si>
  <si>
    <t>1209079872</t>
  </si>
  <si>
    <t>1203079336</t>
  </si>
  <si>
    <t>12020336</t>
  </si>
  <si>
    <t>1209079873</t>
  </si>
  <si>
    <t>1203079337</t>
  </si>
  <si>
    <t>1209079912</t>
  </si>
  <si>
    <t>1203079371</t>
  </si>
  <si>
    <t>1209080176</t>
  </si>
  <si>
    <t>1203079633</t>
  </si>
  <si>
    <t>12080029</t>
  </si>
  <si>
    <t>Emp-Sadaf Siddiqui</t>
  </si>
  <si>
    <t>1209080174</t>
  </si>
  <si>
    <t>1203079630</t>
  </si>
  <si>
    <t>1209080314</t>
  </si>
  <si>
    <t>1203079772</t>
  </si>
  <si>
    <t>1209080310</t>
  </si>
  <si>
    <t>1203079767</t>
  </si>
  <si>
    <t>1209080308</t>
  </si>
  <si>
    <t>1203079765</t>
  </si>
  <si>
    <t>1210008232</t>
  </si>
  <si>
    <t>1205008109</t>
  </si>
  <si>
    <t>1209080315</t>
  </si>
  <si>
    <t>1203079774</t>
  </si>
  <si>
    <t>1209080311</t>
  </si>
  <si>
    <t>1203079768</t>
  </si>
  <si>
    <t>1209080312</t>
  </si>
  <si>
    <t>1203079770</t>
  </si>
  <si>
    <t>1209080313</t>
  </si>
  <si>
    <t>1203079771</t>
  </si>
  <si>
    <t>1209080309</t>
  </si>
  <si>
    <t>1203079766</t>
  </si>
  <si>
    <t>1209079894</t>
  </si>
  <si>
    <t>1203079353</t>
  </si>
  <si>
    <t>1209079895</t>
  </si>
  <si>
    <t>1203079354</t>
  </si>
  <si>
    <t>1209079896</t>
  </si>
  <si>
    <t>1203079355</t>
  </si>
  <si>
    <t>1209079875</t>
  </si>
  <si>
    <t>1203079341</t>
  </si>
  <si>
    <t>1209079879</t>
  </si>
  <si>
    <t>1203079346</t>
  </si>
  <si>
    <t>1209079881</t>
  </si>
  <si>
    <t>1203079348</t>
  </si>
  <si>
    <t>1209079882</t>
  </si>
  <si>
    <t>1203079349</t>
  </si>
  <si>
    <t>1209079883</t>
  </si>
  <si>
    <t>1203079350</t>
  </si>
  <si>
    <t>1209079884</t>
  </si>
  <si>
    <t>1203079352</t>
  </si>
  <si>
    <t>1209079898</t>
  </si>
  <si>
    <t>1203079357</t>
  </si>
  <si>
    <t>1209079880</t>
  </si>
  <si>
    <t>1203079347</t>
  </si>
  <si>
    <t>1209079877</t>
  </si>
  <si>
    <t>1203079343</t>
  </si>
  <si>
    <t>1209079874</t>
  </si>
  <si>
    <t>1203079339</t>
  </si>
  <si>
    <t>1209079876</t>
  </si>
  <si>
    <t>1203079342</t>
  </si>
  <si>
    <t>1209079897</t>
  </si>
  <si>
    <t>1203079356</t>
  </si>
  <si>
    <t>1209079878</t>
  </si>
  <si>
    <t>1203079345</t>
  </si>
  <si>
    <t>1209079871</t>
  </si>
  <si>
    <t>1203079331</t>
  </si>
  <si>
    <t>0000220721</t>
  </si>
  <si>
    <t>1209079902</t>
  </si>
  <si>
    <t>1203079363</t>
  </si>
  <si>
    <t>1209079901</t>
  </si>
  <si>
    <t>1203079361</t>
  </si>
  <si>
    <t>1209079913</t>
  </si>
  <si>
    <t>1203079372</t>
  </si>
  <si>
    <t>1209079917</t>
  </si>
  <si>
    <t>1203079390</t>
  </si>
  <si>
    <t>1209079942</t>
  </si>
  <si>
    <t>1203079612</t>
  </si>
  <si>
    <t>1209079918</t>
  </si>
  <si>
    <t>1203079391</t>
  </si>
  <si>
    <t>1209079943</t>
  </si>
  <si>
    <t>1203079613</t>
  </si>
  <si>
    <t>12000236</t>
  </si>
  <si>
    <t>1209080163</t>
  </si>
  <si>
    <t>1203079619</t>
  </si>
  <si>
    <t>12000280</t>
  </si>
  <si>
    <t>Shahid Surgical</t>
  </si>
  <si>
    <t>1209080172</t>
  </si>
  <si>
    <t>1203079629</t>
  </si>
  <si>
    <t>1209080171</t>
  </si>
  <si>
    <t>1203079620</t>
  </si>
  <si>
    <t>10010534</t>
  </si>
  <si>
    <t>1209080178</t>
  </si>
  <si>
    <t>1203079643</t>
  </si>
  <si>
    <t>1209080177</t>
  </si>
  <si>
    <t>1203079635</t>
  </si>
  <si>
    <t>1209080173</t>
  </si>
  <si>
    <t>1203079634</t>
  </si>
  <si>
    <t>1209080175</t>
  </si>
  <si>
    <t>1203079632</t>
  </si>
  <si>
    <t>1209080304</t>
  </si>
  <si>
    <t>1203079761</t>
  </si>
  <si>
    <t>1209080299</t>
  </si>
  <si>
    <t>1203079758</t>
  </si>
  <si>
    <t>1209080298</t>
  </si>
  <si>
    <t>1203079647</t>
  </si>
  <si>
    <t>12020356</t>
  </si>
  <si>
    <t>HAFEEZ MEMORIAL HEMODIALYSIS CENTER</t>
  </si>
  <si>
    <t>1209080306</t>
  </si>
  <si>
    <t>1203079763</t>
  </si>
  <si>
    <t>1210008229</t>
  </si>
  <si>
    <t>1205008106</t>
  </si>
  <si>
    <t>1012132089</t>
  </si>
  <si>
    <t>1005118166</t>
  </si>
  <si>
    <t xml:space="preserve">           17,806,133 </t>
  </si>
  <si>
    <t xml:space="preserve">           44,351,304 </t>
  </si>
  <si>
    <t xml:space="preserve">           15,279,663 </t>
  </si>
  <si>
    <t xml:space="preserve">           72,267,389 </t>
  </si>
  <si>
    <t xml:space="preserve">         182,168,034 </t>
  </si>
  <si>
    <t xml:space="preserve">             5,500,003 </t>
  </si>
  <si>
    <t xml:space="preserve">           12,058,252 </t>
  </si>
  <si>
    <t xml:space="preserve">    349,430,778 </t>
  </si>
  <si>
    <t xml:space="preserve">           18,969,720 </t>
  </si>
  <si>
    <t xml:space="preserve">             6,818,111 </t>
  </si>
  <si>
    <t xml:space="preserve">               379,000 </t>
  </si>
  <si>
    <t xml:space="preserve">               755,310 </t>
  </si>
  <si>
    <t xml:space="preserve">               902,532 </t>
  </si>
  <si>
    <t xml:space="preserve">-              124,135 </t>
  </si>
  <si>
    <t xml:space="preserve">      33,378,108 </t>
  </si>
  <si>
    <t xml:space="preserve">           13,035,778 </t>
  </si>
  <si>
    <t xml:space="preserve">-           8,526,143 </t>
  </si>
  <si>
    <t xml:space="preserve">           53,938,607 </t>
  </si>
  <si>
    <t xml:space="preserve">           34,944,941 </t>
  </si>
  <si>
    <t xml:space="preserve">         142,555,190 </t>
  </si>
  <si>
    <t xml:space="preserve">           13,419,212 </t>
  </si>
  <si>
    <t xml:space="preserve">    449,942,720 </t>
  </si>
  <si>
    <t xml:space="preserve">             2,200,500 </t>
  </si>
  <si>
    <t xml:space="preserve">           32,201,657 </t>
  </si>
  <si>
    <t xml:space="preserve">           13,988,728 </t>
  </si>
  <si>
    <t xml:space="preserve">             9,717,750 </t>
  </si>
  <si>
    <t xml:space="preserve">             1,593,351 </t>
  </si>
  <si>
    <t xml:space="preserve">           68,957,047 </t>
  </si>
  <si>
    <t xml:space="preserve">           31,488,528 </t>
  </si>
  <si>
    <t xml:space="preserve">           15,968,683 </t>
  </si>
  <si>
    <t xml:space="preserve">    140,154,853 </t>
  </si>
  <si>
    <t xml:space="preserve">           59,529,381 </t>
  </si>
  <si>
    <t xml:space="preserve">           56,640,622 </t>
  </si>
  <si>
    <t xml:space="preserve">           69,597,271 </t>
  </si>
  <si>
    <t xml:space="preserve">         179,125,187 </t>
  </si>
  <si>
    <t xml:space="preserve">         389,315,942 </t>
  </si>
  <si>
    <t xml:space="preserve">         235,908,416 </t>
  </si>
  <si>
    <t xml:space="preserve">           43,584,528 </t>
  </si>
  <si>
    <t xml:space="preserve">  1,033,701,345 </t>
  </si>
  <si>
    <t>1240200997</t>
  </si>
  <si>
    <t>1240201010</t>
  </si>
  <si>
    <t>1240201031</t>
  </si>
  <si>
    <t>1240201034</t>
  </si>
  <si>
    <t>1219000797</t>
  </si>
  <si>
    <t>1219000658</t>
  </si>
  <si>
    <t>0020260510</t>
  </si>
  <si>
    <t>0S20260520</t>
  </si>
  <si>
    <t>0020260525</t>
  </si>
  <si>
    <t>00Z260203D</t>
  </si>
  <si>
    <t>1240201031-i (Insurnce)</t>
  </si>
  <si>
    <t>1240201031-i</t>
  </si>
  <si>
    <t>1240201034 - updated</t>
  </si>
  <si>
    <t>12.02.2026</t>
  </si>
  <si>
    <t>12.05.2026</t>
  </si>
  <si>
    <t>24.04.2026</t>
  </si>
  <si>
    <t>03.07.2026</t>
  </si>
  <si>
    <t>07.05.2026</t>
  </si>
  <si>
    <t>30.08.2026</t>
  </si>
  <si>
    <t>28.07.2026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</si>
</sst>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[$-F400]h:mm:ss\ AM/PM"/>
    <numFmt numFmtId="165" formatCode="_(* #,##0_);_(* \(#,##0\);_(* &quot;-&quot;??_);_(@_)"/>
    <numFmt numFmtId="166" formatCode="[$-409]d\-mmm\-yy;@"/>
    <numFmt numFmtId="167" formatCode="m/d/yyyy;@"/>
    <numFmt numFmtId="168" formatCode="m/d/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242424"/>
      <name val="Aptos Narrow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rgb="FF4472C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9BC2E6"/>
        <bgColor rgb="FFD9E1F2"/>
      </patternFill>
    </fill>
    <fill>
      <patternFill patternType="solid">
        <fgColor rgb="FF9BC2E6"/>
        <bgColor rgb="FFB4C6E7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D9E1F2"/>
      </patternFill>
    </fill>
    <fill>
      <patternFill patternType="solid">
        <fgColor rgb="FFFFFF00"/>
        <bgColor rgb="FFB4C6E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B4C6E7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14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5" borderId="0" xfId="0" applyNumberFormat="1" applyFill="1" applyAlignment="1">
      <alignment horizontal="right" vertical="top"/>
    </xf>
    <xf numFmtId="164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3" fontId="0" fillId="5" borderId="0" xfId="0" applyNumberFormat="1" applyFill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5" borderId="1" xfId="0" applyFill="1" applyBorder="1"/>
    <xf numFmtId="0" fontId="0" fillId="3" borderId="1" xfId="0" applyFill="1" applyBorder="1"/>
    <xf numFmtId="0" fontId="6" fillId="6" borderId="1" xfId="0" applyFont="1" applyFill="1" applyBorder="1"/>
    <xf numFmtId="0" fontId="6" fillId="8" borderId="1" xfId="0" applyFont="1" applyFill="1" applyBorder="1"/>
    <xf numFmtId="0" fontId="0" fillId="0" borderId="1" xfId="0" applyBorder="1"/>
    <xf numFmtId="14" fontId="0" fillId="5" borderId="1" xfId="0" applyNumberFormat="1" applyFill="1" applyBorder="1" applyAlignment="1">
      <alignment horizontal="right" vertical="top"/>
    </xf>
    <xf numFmtId="164" fontId="0" fillId="5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3" fontId="0" fillId="5" borderId="1" xfId="0" applyNumberFormat="1" applyFill="1" applyBorder="1" applyAlignment="1">
      <alignment horizontal="right" vertical="top"/>
    </xf>
    <xf numFmtId="4" fontId="0" fillId="5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4" borderId="1" xfId="0" applyFill="1" applyBorder="1"/>
    <xf numFmtId="0" fontId="0" fillId="3" borderId="0" xfId="0" applyFill="1"/>
    <xf numFmtId="4" fontId="0" fillId="5" borderId="0" xfId="0" applyNumberFormat="1" applyFill="1" applyAlignment="1">
      <alignment horizontal="right" vertical="top"/>
    </xf>
    <xf numFmtId="0" fontId="3" fillId="7" borderId="1" xfId="0" applyFont="1" applyFill="1" applyBorder="1"/>
    <xf numFmtId="0" fontId="0" fillId="6" borderId="1" xfId="0" applyFill="1" applyBorder="1"/>
    <xf numFmtId="14" fontId="4" fillId="7" borderId="1" xfId="0" applyNumberFormat="1" applyFont="1" applyFill="1" applyBorder="1" applyAlignment="1">
      <alignment horizontal="left"/>
    </xf>
    <xf numFmtId="165" fontId="3" fillId="7" borderId="1" xfId="0" applyNumberFormat="1" applyFont="1" applyFill="1" applyBorder="1"/>
    <xf numFmtId="165" fontId="3" fillId="7" borderId="1" xfId="1" applyNumberFormat="1" applyFont="1" applyFill="1" applyBorder="1"/>
    <xf numFmtId="165" fontId="0" fillId="6" borderId="1" xfId="0" applyNumberFormat="1" applyFill="1" applyBorder="1"/>
    <xf numFmtId="0" fontId="3" fillId="8" borderId="1" xfId="0" applyFont="1" applyFill="1" applyBorder="1"/>
    <xf numFmtId="165" fontId="3" fillId="8" borderId="1" xfId="0" applyNumberFormat="1" applyFont="1" applyFill="1" applyBorder="1" applyAlignment="1">
      <alignment wrapText="1"/>
    </xf>
    <xf numFmtId="3" fontId="3" fillId="8" borderId="1" xfId="0" applyNumberFormat="1" applyFont="1" applyFill="1" applyBorder="1" applyAlignment="1">
      <alignment horizontal="right"/>
    </xf>
    <xf numFmtId="165" fontId="0" fillId="6" borderId="1" xfId="1" applyNumberFormat="1" applyFont="1" applyFill="1" applyBorder="1" applyAlignment="1">
      <alignment horizontal="left" indent="1"/>
    </xf>
    <xf numFmtId="3" fontId="0" fillId="6" borderId="1" xfId="0" applyNumberFormat="1" applyFill="1" applyBorder="1"/>
    <xf numFmtId="165" fontId="0" fillId="6" borderId="1" xfId="1" applyNumberFormat="1" applyFont="1" applyFill="1" applyBorder="1"/>
    <xf numFmtId="166" fontId="0" fillId="9" borderId="1" xfId="0" quotePrefix="1" applyNumberFormat="1" applyFill="1" applyBorder="1"/>
    <xf numFmtId="3" fontId="6" fillId="6" borderId="1" xfId="0" applyNumberFormat="1" applyFont="1" applyFill="1" applyBorder="1"/>
    <xf numFmtId="0" fontId="7" fillId="6" borderId="1" xfId="0" applyFont="1" applyFill="1" applyBorder="1"/>
    <xf numFmtId="167" fontId="0" fillId="6" borderId="1" xfId="1" applyNumberFormat="1" applyFont="1" applyFill="1" applyBorder="1"/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wrapText="1"/>
    </xf>
    <xf numFmtId="0" fontId="4" fillId="10" borderId="1" xfId="0" applyFont="1" applyFill="1" applyBorder="1" applyAlignment="1">
      <alignment horizontal="left" wrapText="1"/>
    </xf>
    <xf numFmtId="0" fontId="4" fillId="10" borderId="1" xfId="0" applyFont="1" applyFill="1" applyBorder="1" applyAlignment="1">
      <alignment horizontal="left"/>
    </xf>
    <xf numFmtId="165" fontId="4" fillId="7" borderId="1" xfId="1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3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 wrapText="1"/>
    </xf>
    <xf numFmtId="3" fontId="4" fillId="7" borderId="1" xfId="0" applyNumberFormat="1" applyFont="1" applyFill="1" applyBorder="1" applyAlignment="1">
      <alignment horizontal="left"/>
    </xf>
    <xf numFmtId="165" fontId="4" fillId="10" borderId="1" xfId="1" applyNumberFormat="1" applyFont="1" applyFill="1" applyBorder="1" applyAlignment="1">
      <alignment horizontal="left"/>
    </xf>
    <xf numFmtId="3" fontId="8" fillId="10" borderId="1" xfId="0" applyNumberFormat="1" applyFont="1" applyFill="1" applyBorder="1" applyAlignment="1">
      <alignment horizontal="left"/>
    </xf>
    <xf numFmtId="165" fontId="4" fillId="8" borderId="1" xfId="1" applyNumberFormat="1" applyFont="1" applyFill="1" applyBorder="1" applyAlignment="1">
      <alignment horizontal="left"/>
    </xf>
    <xf numFmtId="14" fontId="4" fillId="8" borderId="1" xfId="0" applyNumberFormat="1" applyFont="1" applyFill="1" applyBorder="1" applyAlignment="1">
      <alignment horizontal="left"/>
    </xf>
    <xf numFmtId="0" fontId="9" fillId="7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0" fillId="11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6" borderId="1" xfId="0" applyFill="1" applyBorder="1" applyAlignment="1">
      <alignment vertical="top"/>
    </xf>
    <xf numFmtId="0" fontId="11" fillId="12" borderId="8" xfId="0" applyFont="1" applyFill="1" applyBorder="1"/>
    <xf numFmtId="0" fontId="11" fillId="12" borderId="9" xfId="0" applyFont="1" applyFill="1" applyBorder="1"/>
    <xf numFmtId="0" fontId="11" fillId="12" borderId="10" xfId="0" applyFont="1" applyFill="1" applyBorder="1"/>
    <xf numFmtId="3" fontId="0" fillId="6" borderId="1" xfId="0" applyNumberFormat="1" applyFill="1" applyBorder="1" applyAlignment="1">
      <alignment horizontal="right" vertical="top"/>
    </xf>
    <xf numFmtId="3" fontId="2" fillId="0" borderId="0" xfId="0" applyNumberFormat="1" applyFont="1"/>
    <xf numFmtId="4" fontId="0" fillId="3" borderId="0" xfId="0" applyNumberFormat="1" applyFill="1" applyAlignment="1">
      <alignment horizontal="right" vertical="top"/>
    </xf>
    <xf numFmtId="0" fontId="0" fillId="2" borderId="11" xfId="0" applyFill="1" applyBorder="1" applyAlignment="1">
      <alignment vertical="top" wrapText="1"/>
    </xf>
    <xf numFmtId="0" fontId="0" fillId="5" borderId="11" xfId="0" applyFill="1" applyBorder="1" applyAlignment="1">
      <alignment vertical="top"/>
    </xf>
    <xf numFmtId="0" fontId="0" fillId="0" borderId="11" xfId="0" applyBorder="1" applyAlignment="1">
      <alignment vertical="top"/>
    </xf>
    <xf numFmtId="0" fontId="0" fillId="4" borderId="11" xfId="0" applyFill="1" applyBorder="1" applyAlignment="1">
      <alignment vertical="top"/>
    </xf>
    <xf numFmtId="0" fontId="0" fillId="4" borderId="12" xfId="0" applyFill="1" applyBorder="1"/>
    <xf numFmtId="0" fontId="0" fillId="5" borderId="0" xfId="0" applyFill="1"/>
    <xf numFmtId="4" fontId="0" fillId="3" borderId="1" xfId="0" applyNumberFormat="1" applyFill="1" applyBorder="1" applyAlignment="1">
      <alignment horizontal="right" vertical="top"/>
    </xf>
    <xf numFmtId="0" fontId="2" fillId="13" borderId="1" xfId="0" applyFont="1" applyFill="1" applyBorder="1"/>
    <xf numFmtId="165" fontId="0" fillId="0" borderId="0" xfId="0" applyNumberFormat="1"/>
    <xf numFmtId="0" fontId="3" fillId="6" borderId="1" xfId="0" applyFont="1" applyFill="1" applyBorder="1"/>
    <xf numFmtId="0" fontId="2" fillId="13" borderId="1" xfId="0" applyFont="1" applyFill="1" applyBorder="1" applyAlignment="1">
      <alignment vertical="top"/>
    </xf>
    <xf numFmtId="0" fontId="2" fillId="13" borderId="1" xfId="0" applyFont="1" applyFill="1" applyBorder="1" applyAlignment="1">
      <alignment vertical="top" wrapText="1"/>
    </xf>
    <xf numFmtId="0" fontId="10" fillId="13" borderId="1" xfId="0" applyFont="1" applyFill="1" applyBorder="1"/>
    <xf numFmtId="4" fontId="3" fillId="8" borderId="1" xfId="0" applyNumberFormat="1" applyFont="1" applyFill="1" applyBorder="1"/>
    <xf numFmtId="43" fontId="3" fillId="7" borderId="1" xfId="1" applyFont="1" applyFill="1" applyBorder="1"/>
    <xf numFmtId="4" fontId="3" fillId="7" borderId="1" xfId="0" applyNumberFormat="1" applyFont="1" applyFill="1" applyBorder="1"/>
    <xf numFmtId="14" fontId="3" fillId="8" borderId="1" xfId="0" applyNumberFormat="1" applyFont="1" applyFill="1" applyBorder="1"/>
    <xf numFmtId="165" fontId="3" fillId="8" borderId="1" xfId="1" applyNumberFormat="1" applyFont="1" applyFill="1" applyBorder="1"/>
    <xf numFmtId="3" fontId="3" fillId="7" borderId="1" xfId="0" applyNumberFormat="1" applyFont="1" applyFill="1" applyBorder="1"/>
    <xf numFmtId="14" fontId="3" fillId="7" borderId="1" xfId="0" applyNumberFormat="1" applyFont="1" applyFill="1" applyBorder="1"/>
    <xf numFmtId="14" fontId="3" fillId="8" borderId="1" xfId="0" applyNumberFormat="1" applyFont="1" applyFill="1" applyBorder="1" applyAlignment="1">
      <alignment horizontal="left"/>
    </xf>
    <xf numFmtId="3" fontId="3" fillId="6" borderId="1" xfId="0" applyNumberFormat="1" applyFont="1" applyFill="1" applyBorder="1"/>
    <xf numFmtId="0" fontId="12" fillId="12" borderId="1" xfId="0" applyFont="1" applyFill="1" applyBorder="1" applyAlignment="1">
      <alignment wrapText="1"/>
    </xf>
    <xf numFmtId="0" fontId="3" fillId="14" borderId="15" xfId="0" applyFont="1" applyFill="1" applyBorder="1"/>
    <xf numFmtId="0" fontId="3" fillId="14" borderId="13" xfId="0" applyFont="1" applyFill="1" applyBorder="1"/>
    <xf numFmtId="165" fontId="3" fillId="14" borderId="13" xfId="0" applyNumberFormat="1" applyFont="1" applyFill="1" applyBorder="1"/>
    <xf numFmtId="0" fontId="3" fillId="0" borderId="0" xfId="0" applyFont="1"/>
    <xf numFmtId="0" fontId="3" fillId="14" borderId="13" xfId="0" applyFont="1" applyFill="1" applyBorder="1" applyAlignment="1">
      <alignment vertical="center" wrapText="1"/>
    </xf>
    <xf numFmtId="0" fontId="3" fillId="15" borderId="15" xfId="0" applyFont="1" applyFill="1" applyBorder="1"/>
    <xf numFmtId="0" fontId="3" fillId="15" borderId="13" xfId="0" applyFont="1" applyFill="1" applyBorder="1"/>
    <xf numFmtId="0" fontId="3" fillId="14" borderId="0" xfId="0" applyFont="1" applyFill="1"/>
    <xf numFmtId="14" fontId="0" fillId="0" borderId="0" xfId="0" applyNumberFormat="1"/>
    <xf numFmtId="0" fontId="3" fillId="15" borderId="17" xfId="0" applyFont="1" applyFill="1" applyBorder="1"/>
    <xf numFmtId="0" fontId="3" fillId="14" borderId="17" xfId="0" applyFont="1" applyFill="1" applyBorder="1"/>
    <xf numFmtId="0" fontId="3" fillId="14" borderId="13" xfId="0" applyFont="1" applyFill="1" applyBorder="1" applyAlignment="1">
      <alignment wrapText="1"/>
    </xf>
    <xf numFmtId="0" fontId="13" fillId="14" borderId="13" xfId="0" applyFont="1" applyFill="1" applyBorder="1" applyAlignment="1">
      <alignment wrapText="1"/>
    </xf>
    <xf numFmtId="15" fontId="3" fillId="14" borderId="13" xfId="0" applyNumberFormat="1" applyFont="1" applyFill="1" applyBorder="1"/>
    <xf numFmtId="168" fontId="3" fillId="14" borderId="13" xfId="0" applyNumberFormat="1" applyFont="1" applyFill="1" applyBorder="1" applyAlignment="1">
      <alignment horizontal="right"/>
    </xf>
    <xf numFmtId="165" fontId="3" fillId="14" borderId="13" xfId="1" applyNumberFormat="1" applyFont="1" applyFill="1" applyBorder="1"/>
    <xf numFmtId="0" fontId="3" fillId="14" borderId="13" xfId="0" applyFont="1" applyFill="1" applyBorder="1" applyAlignment="1">
      <alignment horizontal="right"/>
    </xf>
    <xf numFmtId="168" fontId="0" fillId="0" borderId="0" xfId="0" applyNumberFormat="1" applyAlignment="1">
      <alignment horizontal="right"/>
    </xf>
    <xf numFmtId="0" fontId="3" fillId="16" borderId="1" xfId="0" applyFont="1" applyFill="1" applyBorder="1"/>
    <xf numFmtId="0" fontId="0" fillId="0" borderId="0" xfId="0" applyAlignment="1">
      <alignment wrapText="1"/>
    </xf>
    <xf numFmtId="0" fontId="3" fillId="17" borderId="14" xfId="0" applyFont="1" applyFill="1" applyBorder="1"/>
    <xf numFmtId="0" fontId="3" fillId="16" borderId="14" xfId="0" applyFont="1" applyFill="1" applyBorder="1"/>
    <xf numFmtId="0" fontId="8" fillId="0" borderId="0" xfId="0" applyFont="1"/>
    <xf numFmtId="0" fontId="13" fillId="15" borderId="13" xfId="0" applyFont="1" applyFill="1" applyBorder="1" applyAlignment="1">
      <alignment wrapText="1"/>
    </xf>
    <xf numFmtId="168" fontId="3" fillId="15" borderId="13" xfId="0" applyNumberFormat="1" applyFont="1" applyFill="1" applyBorder="1" applyAlignment="1">
      <alignment horizontal="right"/>
    </xf>
    <xf numFmtId="165" fontId="3" fillId="15" borderId="13" xfId="1" applyNumberFormat="1" applyFont="1" applyFill="1" applyBorder="1"/>
    <xf numFmtId="3" fontId="3" fillId="15" borderId="13" xfId="0" applyNumberFormat="1" applyFont="1" applyFill="1" applyBorder="1" applyAlignment="1">
      <alignment horizontal="right"/>
    </xf>
    <xf numFmtId="0" fontId="3" fillId="15" borderId="13" xfId="0" applyFont="1" applyFill="1" applyBorder="1" applyAlignment="1">
      <alignment wrapText="1"/>
    </xf>
    <xf numFmtId="3" fontId="3" fillId="14" borderId="13" xfId="0" applyNumberFormat="1" applyFont="1" applyFill="1" applyBorder="1" applyAlignment="1">
      <alignment horizontal="right"/>
    </xf>
    <xf numFmtId="168" fontId="3" fillId="15" borderId="13" xfId="0" applyNumberFormat="1" applyFont="1" applyFill="1" applyBorder="1" applyAlignment="1">
      <alignment horizontal="right" vertical="top"/>
    </xf>
    <xf numFmtId="0" fontId="13" fillId="18" borderId="13" xfId="0" applyFont="1" applyFill="1" applyBorder="1" applyAlignment="1">
      <alignment wrapText="1"/>
    </xf>
    <xf numFmtId="0" fontId="3" fillId="18" borderId="13" xfId="0" applyFont="1" applyFill="1" applyBorder="1" applyAlignment="1">
      <alignment wrapText="1"/>
    </xf>
    <xf numFmtId="0" fontId="3" fillId="15" borderId="13" xfId="0" applyFont="1" applyFill="1" applyBorder="1" applyAlignment="1">
      <alignment horizontal="right"/>
    </xf>
    <xf numFmtId="0" fontId="3" fillId="19" borderId="13" xfId="0" applyFont="1" applyFill="1" applyBorder="1"/>
    <xf numFmtId="0" fontId="3" fillId="20" borderId="13" xfId="0" applyFont="1" applyFill="1" applyBorder="1"/>
    <xf numFmtId="165" fontId="3" fillId="14" borderId="0" xfId="1" applyNumberFormat="1" applyFont="1" applyFill="1"/>
    <xf numFmtId="168" fontId="3" fillId="14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  <xf numFmtId="165" fontId="0" fillId="0" borderId="0" xfId="1" applyNumberFormat="1" applyFont="1"/>
    <xf numFmtId="0" fontId="0" fillId="0" borderId="0" xfId="0" applyAlignment="1">
      <alignment horizontal="right"/>
    </xf>
    <xf numFmtId="0" fontId="14" fillId="0" borderId="0" xfId="0" applyFont="1" applyAlignment="1">
      <alignment wrapText="1"/>
    </xf>
    <xf numFmtId="0" fontId="5" fillId="21" borderId="19" xfId="0" applyFont="1" applyFill="1" applyBorder="1" applyAlignment="1">
      <alignment wrapText="1"/>
    </xf>
    <xf numFmtId="0" fontId="5" fillId="21" borderId="20" xfId="0" applyFont="1" applyFill="1" applyBorder="1" applyAlignment="1">
      <alignment wrapText="1"/>
    </xf>
    <xf numFmtId="0" fontId="5" fillId="21" borderId="0" xfId="0" applyFont="1" applyFill="1" applyAlignment="1">
      <alignment wrapText="1"/>
    </xf>
    <xf numFmtId="0" fontId="5" fillId="21" borderId="21" xfId="0" applyFont="1" applyFill="1" applyBorder="1" applyAlignment="1">
      <alignment wrapText="1"/>
    </xf>
    <xf numFmtId="4" fontId="3" fillId="14" borderId="13" xfId="0" applyNumberFormat="1" applyFont="1" applyFill="1" applyBorder="1"/>
    <xf numFmtId="14" fontId="3" fillId="3" borderId="13" xfId="0" applyNumberFormat="1" applyFont="1" applyFill="1" applyBorder="1" applyAlignment="1">
      <alignment horizontal="center"/>
    </xf>
    <xf numFmtId="0" fontId="3" fillId="0" borderId="16" xfId="0" applyFont="1" applyBorder="1"/>
    <xf numFmtId="0" fontId="3" fillId="0" borderId="16" xfId="0" applyFont="1" applyBorder="1" applyAlignment="1">
      <alignment wrapText="1"/>
    </xf>
    <xf numFmtId="0" fontId="3" fillId="15" borderId="16" xfId="0" applyFont="1" applyFill="1" applyBorder="1" applyAlignment="1">
      <alignment wrapText="1"/>
    </xf>
    <xf numFmtId="0" fontId="3" fillId="14" borderId="16" xfId="0" applyFont="1" applyFill="1" applyBorder="1" applyAlignment="1">
      <alignment wrapText="1"/>
    </xf>
    <xf numFmtId="0" fontId="3" fillId="22" borderId="13" xfId="0" applyFont="1" applyFill="1" applyBorder="1"/>
    <xf numFmtId="0" fontId="3" fillId="4" borderId="13" xfId="0" applyFont="1" applyFill="1" applyBorder="1"/>
    <xf numFmtId="3" fontId="13" fillId="0" borderId="22" xfId="0" applyNumberFormat="1" applyFont="1" applyBorder="1"/>
    <xf numFmtId="0" fontId="3" fillId="3" borderId="13" xfId="0" applyFont="1" applyFill="1" applyBorder="1"/>
    <xf numFmtId="0" fontId="3" fillId="15" borderId="16" xfId="0" applyFont="1" applyFill="1" applyBorder="1"/>
    <xf numFmtId="3" fontId="3" fillId="0" borderId="22" xfId="0" applyNumberFormat="1" applyFont="1" applyBorder="1"/>
    <xf numFmtId="0" fontId="3" fillId="15" borderId="18" xfId="0" applyFont="1" applyFill="1" applyBorder="1"/>
    <xf numFmtId="0" fontId="3" fillId="23" borderId="22" xfId="0" applyFont="1" applyFill="1" applyBorder="1"/>
    <xf numFmtId="0" fontId="7" fillId="23" borderId="22" xfId="0" applyFont="1" applyFill="1" applyBorder="1"/>
    <xf numFmtId="0" fontId="3" fillId="15" borderId="17" xfId="0" applyFont="1" applyFill="1" applyBorder="1" applyAlignment="1">
      <alignment wrapText="1"/>
    </xf>
    <xf numFmtId="0" fontId="0" fillId="0" borderId="0" xfId="0" applyAlignment="1">
      <alignment horizontal="right" vertical="top"/>
    </xf>
    <xf numFmtId="0" fontId="0" fillId="5" borderId="0" xfId="0" applyFill="1" applyBorder="1"/>
    <xf numFmtId="0" fontId="2" fillId="13" borderId="23" xfId="0" applyFont="1" applyFill="1" applyBorder="1" applyAlignment="1">
      <alignment vertical="top"/>
    </xf>
    <xf numFmtId="0" fontId="2" fillId="13" borderId="24" xfId="0" applyFont="1" applyFill="1" applyBorder="1" applyAlignment="1">
      <alignment vertical="top"/>
    </xf>
    <xf numFmtId="0" fontId="2" fillId="13" borderId="25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39"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B4C6E7"/>
          <bgColor rgb="FFB4C6E7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alignment horizontal="right"/>
    </dxf>
    <dxf>
      <alignment horizontal="right"/>
    </dxf>
    <dxf>
      <alignment horizontal="right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solid"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numFmt numFmtId="19" formatCode="m/d/yyyy"/>
      <fill>
        <patternFill patternType="solid">
          <fgColor rgb="FFB4C6E7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numFmt numFmtId="19" formatCode="m/d/yyyy"/>
      <fill>
        <patternFill patternType="solid">
          <fgColor rgb="FFB4C6E7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KTOP/DASHBOARD%20DETAILS/EXPORT-TSCL%20MB%2051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ffice%20Docs%20Updated\Material%20Codes%20Sent%20by%20Osama%20Bh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5"/>
      <sheetName val="Sheet6"/>
      <sheetName val="Sheet2"/>
      <sheetName val="Sheet3"/>
    </sheetNames>
    <sheetDataSet>
      <sheetData sheetId="0"/>
      <sheetData sheetId="1"/>
      <sheetData sheetId="2"/>
      <sheetData sheetId="3"/>
      <sheetData sheetId="4">
        <row r="1">
          <cell r="A1" t="str">
            <v>12010044</v>
          </cell>
          <cell r="B1" t="str">
            <v>Sanbe</v>
          </cell>
        </row>
        <row r="2">
          <cell r="A2" t="str">
            <v>10080008</v>
          </cell>
          <cell r="B2" t="str">
            <v>IBLHC</v>
          </cell>
        </row>
        <row r="3">
          <cell r="A3" t="str">
            <v>10160025</v>
          </cell>
          <cell r="B3" t="str">
            <v>ADMD</v>
          </cell>
        </row>
        <row r="4">
          <cell r="A4" t="str">
            <v>10160020</v>
          </cell>
          <cell r="B4" t="str">
            <v>TG</v>
          </cell>
        </row>
        <row r="5">
          <cell r="A5" t="str">
            <v>10160039</v>
          </cell>
          <cell r="B5" t="str">
            <v>Yingmed</v>
          </cell>
        </row>
        <row r="6">
          <cell r="A6" t="str">
            <v>10240200</v>
          </cell>
          <cell r="B6" t="str">
            <v>JJ Sons</v>
          </cell>
        </row>
        <row r="7">
          <cell r="A7" t="str">
            <v>10160209</v>
          </cell>
          <cell r="B7" t="str">
            <v>Shenli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 Codes"/>
      <sheetName val="IBL Ops"/>
      <sheetName val="MJN Price"/>
    </sheetNames>
    <sheetDataSet>
      <sheetData sheetId="0">
        <row r="1">
          <cell r="B1" t="str">
            <v>Material</v>
          </cell>
          <cell r="C1" t="str">
            <v>Material Description</v>
          </cell>
          <cell r="D1" t="str">
            <v>B/L</v>
          </cell>
        </row>
        <row r="2">
          <cell r="B2">
            <v>1219000001</v>
          </cell>
          <cell r="C2" t="str">
            <v>Enfagrow A+3 400gm</v>
          </cell>
          <cell r="D2" t="str">
            <v>MJN &amp; CHG</v>
          </cell>
        </row>
        <row r="3">
          <cell r="B3">
            <v>1219000002</v>
          </cell>
          <cell r="C3" t="str">
            <v>Enfagrow A+3 800gm</v>
          </cell>
          <cell r="D3" t="str">
            <v>MJN &amp; CHG</v>
          </cell>
        </row>
        <row r="4">
          <cell r="B4">
            <v>1219000003</v>
          </cell>
          <cell r="C4" t="str">
            <v>Enfagrow A+4 400gm</v>
          </cell>
          <cell r="D4" t="str">
            <v>MJN &amp; CHG</v>
          </cell>
        </row>
        <row r="5">
          <cell r="B5">
            <v>1219000004</v>
          </cell>
          <cell r="C5" t="str">
            <v>Enfagrow A+4 800gm</v>
          </cell>
          <cell r="D5" t="str">
            <v>MJN &amp; CHG</v>
          </cell>
        </row>
        <row r="6">
          <cell r="B6">
            <v>1219000005</v>
          </cell>
          <cell r="C6" t="str">
            <v>Enfamama A+ Choco 400gm</v>
          </cell>
          <cell r="D6" t="str">
            <v>BP STAL-THUND</v>
          </cell>
        </row>
        <row r="7">
          <cell r="B7">
            <v>1219000006</v>
          </cell>
          <cell r="C7" t="str">
            <v>Enfamama A+ Vanilla 400gm</v>
          </cell>
          <cell r="D7" t="str">
            <v>BP STAL-THUND</v>
          </cell>
        </row>
        <row r="8">
          <cell r="B8">
            <v>1219000007</v>
          </cell>
          <cell r="C8" t="str">
            <v>Enfamil A+  A.R. 400gm</v>
          </cell>
          <cell r="D8" t="str">
            <v>MJN &amp; CHG</v>
          </cell>
        </row>
        <row r="9">
          <cell r="B9">
            <v>1219000008</v>
          </cell>
          <cell r="C9" t="str">
            <v>Enfamil A+ Premature 400gm</v>
          </cell>
          <cell r="D9" t="str">
            <v>MJN &amp; CHG</v>
          </cell>
        </row>
        <row r="10">
          <cell r="B10">
            <v>1219000009</v>
          </cell>
          <cell r="C10" t="str">
            <v>Enfamil A+1 PWD 400gm</v>
          </cell>
          <cell r="D10" t="str">
            <v>MJN &amp; CHG</v>
          </cell>
        </row>
        <row r="11">
          <cell r="B11">
            <v>1219000010</v>
          </cell>
          <cell r="C11" t="str">
            <v>Enfamil A+1 PWD 800g</v>
          </cell>
          <cell r="D11" t="str">
            <v>MJN &amp; CHG</v>
          </cell>
        </row>
        <row r="12">
          <cell r="B12">
            <v>1219000011</v>
          </cell>
          <cell r="C12" t="str">
            <v>Enfamil A+2 800gm</v>
          </cell>
          <cell r="D12" t="str">
            <v>MJN &amp; CHG</v>
          </cell>
        </row>
        <row r="13">
          <cell r="B13">
            <v>1219000012</v>
          </cell>
          <cell r="C13" t="str">
            <v>Enfamil A+2 PWD 400gm</v>
          </cell>
          <cell r="D13" t="str">
            <v>MJN &amp; CHG</v>
          </cell>
        </row>
        <row r="14">
          <cell r="B14">
            <v>1219000013</v>
          </cell>
          <cell r="C14" t="str">
            <v>Enfamil O-Lac 400gm</v>
          </cell>
          <cell r="D14" t="str">
            <v>MJN &amp; CHG</v>
          </cell>
        </row>
        <row r="15">
          <cell r="B15">
            <v>1219000014</v>
          </cell>
          <cell r="C15" t="str">
            <v>Protien Free Diet -1 400gm</v>
          </cell>
          <cell r="D15" t="str">
            <v>MJN &amp; CHG</v>
          </cell>
        </row>
        <row r="16">
          <cell r="B16">
            <v>1219000015</v>
          </cell>
          <cell r="C16" t="str">
            <v>Sustagen School 6+ Choc 400gm</v>
          </cell>
          <cell r="D16" t="str">
            <v>BP STAL-THUND</v>
          </cell>
        </row>
        <row r="17">
          <cell r="B17">
            <v>1219000016</v>
          </cell>
          <cell r="C17" t="str">
            <v>Sustagen School 6+ Vanilla 400gm</v>
          </cell>
          <cell r="D17" t="str">
            <v>BP STAL-THUND</v>
          </cell>
        </row>
        <row r="18">
          <cell r="B18">
            <v>1219000017</v>
          </cell>
          <cell r="C18" t="str">
            <v>Beneprotein 227gm</v>
          </cell>
          <cell r="D18" t="str">
            <v>NHS</v>
          </cell>
        </row>
        <row r="19">
          <cell r="B19">
            <v>1219000018</v>
          </cell>
          <cell r="C19" t="str">
            <v>Peptamen 430 gm</v>
          </cell>
          <cell r="D19" t="str">
            <v>NHS</v>
          </cell>
        </row>
        <row r="20">
          <cell r="B20">
            <v>1219000019</v>
          </cell>
          <cell r="C20" t="str">
            <v>Resource Optimum 400gm</v>
          </cell>
          <cell r="D20" t="str">
            <v>NHS</v>
          </cell>
        </row>
        <row r="21">
          <cell r="B21">
            <v>1219000020</v>
          </cell>
          <cell r="C21" t="str">
            <v>Nova source Renal - 237 ml</v>
          </cell>
          <cell r="D21" t="str">
            <v>NHS</v>
          </cell>
        </row>
        <row r="22">
          <cell r="B22">
            <v>1219000021</v>
          </cell>
          <cell r="C22" t="str">
            <v>Resource Junior</v>
          </cell>
          <cell r="D22" t="str">
            <v>NHS</v>
          </cell>
        </row>
        <row r="23">
          <cell r="B23">
            <v>1219000022</v>
          </cell>
          <cell r="C23" t="str">
            <v>Vigo Essential Tablets 30's</v>
          </cell>
          <cell r="D23" t="str">
            <v>BP STAL-THUND</v>
          </cell>
        </row>
        <row r="24">
          <cell r="B24">
            <v>1219000023</v>
          </cell>
          <cell r="C24" t="str">
            <v>Isocal Powder 425 gm</v>
          </cell>
          <cell r="D24" t="str">
            <v>NHS</v>
          </cell>
        </row>
        <row r="25">
          <cell r="B25">
            <v>1219000024</v>
          </cell>
          <cell r="C25" t="str">
            <v>Isocal Powder 850 gm</v>
          </cell>
          <cell r="D25" t="str">
            <v>NHS</v>
          </cell>
        </row>
        <row r="26">
          <cell r="B26">
            <v>1219000025</v>
          </cell>
          <cell r="C26" t="str">
            <v>Resource Diabetes 400gm</v>
          </cell>
          <cell r="D26" t="str">
            <v>NHS</v>
          </cell>
        </row>
        <row r="27">
          <cell r="B27">
            <v>1219000026</v>
          </cell>
          <cell r="C27" t="str">
            <v>Sustain Maximum Weight Van 2lb</v>
          </cell>
          <cell r="D27" t="str">
            <v>MDD</v>
          </cell>
        </row>
        <row r="28">
          <cell r="B28">
            <v>1219000027</v>
          </cell>
          <cell r="C28" t="str">
            <v>Sustain Maximum Weight Choc 2lb</v>
          </cell>
          <cell r="D28" t="str">
            <v>MDD</v>
          </cell>
        </row>
        <row r="29">
          <cell r="B29">
            <v>1219000028</v>
          </cell>
          <cell r="C29" t="str">
            <v>Sustain Maximum Weight Choc 1lb</v>
          </cell>
          <cell r="D29" t="str">
            <v>MDD</v>
          </cell>
        </row>
        <row r="30">
          <cell r="B30">
            <v>1219000030</v>
          </cell>
          <cell r="C30" t="str">
            <v>Prep Up Wheat - Milk -Honey 175gm</v>
          </cell>
          <cell r="D30" t="str">
            <v>MJN &amp; CHG</v>
          </cell>
        </row>
        <row r="31">
          <cell r="B31">
            <v>1219000031</v>
          </cell>
          <cell r="C31" t="str">
            <v>Prep Up Wheat - Milk 175gm</v>
          </cell>
          <cell r="D31" t="str">
            <v>MJN &amp; CHG</v>
          </cell>
        </row>
        <row r="32">
          <cell r="B32">
            <v>1219000032</v>
          </cell>
          <cell r="C32" t="str">
            <v>Prep Up - Rice - Milk 175gm</v>
          </cell>
          <cell r="D32" t="str">
            <v>MJN &amp; CHG</v>
          </cell>
        </row>
        <row r="33">
          <cell r="B33">
            <v>1219000033</v>
          </cell>
          <cell r="C33" t="str">
            <v>Prep Up Cereal Sachet - Rice 40gm</v>
          </cell>
          <cell r="D33" t="str">
            <v>MJN &amp; CHG</v>
          </cell>
        </row>
        <row r="34">
          <cell r="B34">
            <v>1219000034</v>
          </cell>
          <cell r="C34" t="str">
            <v>Prep Up Wheat - Milk -Fruit 175gm</v>
          </cell>
          <cell r="D34" t="str">
            <v>MJN &amp; CHG</v>
          </cell>
        </row>
        <row r="35">
          <cell r="B35">
            <v>1219000035</v>
          </cell>
          <cell r="C35" t="str">
            <v>Prep Up - Rice - 175Gm</v>
          </cell>
          <cell r="D35" t="str">
            <v>MJN &amp; CHG</v>
          </cell>
        </row>
        <row r="36">
          <cell r="B36">
            <v>1219000036</v>
          </cell>
          <cell r="C36" t="str">
            <v>Prep Up Wheat Milk Fruit 25gm Sachet</v>
          </cell>
          <cell r="D36" t="str">
            <v>MJN &amp; CHG</v>
          </cell>
        </row>
        <row r="37">
          <cell r="B37">
            <v>1219000037</v>
          </cell>
          <cell r="C37" t="str">
            <v>Ez-Colic 7.5 ML</v>
          </cell>
          <cell r="D37" t="str">
            <v>Dominator</v>
          </cell>
        </row>
        <row r="38">
          <cell r="B38">
            <v>1219000038</v>
          </cell>
          <cell r="C38" t="str">
            <v>Pregna Essential Tablet 30's</v>
          </cell>
          <cell r="D38" t="str">
            <v>BP STAL-THUND</v>
          </cell>
        </row>
        <row r="39">
          <cell r="B39">
            <v>1219000039</v>
          </cell>
          <cell r="C39" t="str">
            <v>22001-Dspsable Anasthesia Msk Infant # 1</v>
          </cell>
          <cell r="D39" t="str">
            <v>CC</v>
          </cell>
        </row>
        <row r="40">
          <cell r="B40">
            <v>1219000040</v>
          </cell>
          <cell r="C40" t="str">
            <v>220020-Eco Anatomical Face Mask # 0</v>
          </cell>
          <cell r="D40" t="str">
            <v>CC</v>
          </cell>
        </row>
        <row r="41">
          <cell r="B41">
            <v>1219000041</v>
          </cell>
          <cell r="C41" t="str">
            <v>220021-Eco Anatomical Face Mask # 1</v>
          </cell>
          <cell r="D41" t="str">
            <v>CC</v>
          </cell>
        </row>
        <row r="42">
          <cell r="B42">
            <v>1219000042</v>
          </cell>
          <cell r="C42" t="str">
            <v>220022-Eco Anatomical Face Mask # 2</v>
          </cell>
          <cell r="D42" t="str">
            <v>CC</v>
          </cell>
        </row>
        <row r="43">
          <cell r="B43">
            <v>1219000043</v>
          </cell>
          <cell r="C43" t="str">
            <v>220023-Eco Anatomical Face Mask # 3</v>
          </cell>
          <cell r="D43" t="str">
            <v>CC</v>
          </cell>
        </row>
        <row r="44">
          <cell r="B44">
            <v>1219000044</v>
          </cell>
          <cell r="C44" t="str">
            <v>220024-Eco Anatomical Face Mask # 4</v>
          </cell>
          <cell r="D44" t="str">
            <v>CC</v>
          </cell>
        </row>
        <row r="45">
          <cell r="B45">
            <v>1219000045</v>
          </cell>
          <cell r="C45" t="str">
            <v>220025-Eco Anatomical Face Mask # 5</v>
          </cell>
          <cell r="D45" t="str">
            <v>CC</v>
          </cell>
        </row>
        <row r="46">
          <cell r="B46">
            <v>1219000046</v>
          </cell>
          <cell r="C46" t="str">
            <v>22002-Dspsable Anasthesia Mask Child # 2</v>
          </cell>
          <cell r="D46" t="str">
            <v>CC</v>
          </cell>
        </row>
        <row r="47">
          <cell r="B47">
            <v>1219000047</v>
          </cell>
          <cell r="C47" t="str">
            <v>22003-Dspsable Anasthesia Mask Adult # 3</v>
          </cell>
          <cell r="D47" t="str">
            <v>CC</v>
          </cell>
        </row>
        <row r="48">
          <cell r="B48">
            <v>1219000048</v>
          </cell>
          <cell r="C48" t="str">
            <v>22004-Dspsable Anasthesia Mask Adult # 4</v>
          </cell>
          <cell r="D48" t="str">
            <v>CC</v>
          </cell>
        </row>
        <row r="49">
          <cell r="B49">
            <v>1219000049</v>
          </cell>
          <cell r="C49" t="str">
            <v>22005-Dspsable Anasthesia Mask Adult # 5</v>
          </cell>
          <cell r="D49" t="str">
            <v>CC</v>
          </cell>
        </row>
        <row r="50">
          <cell r="B50">
            <v>1219000051</v>
          </cell>
          <cell r="C50" t="str">
            <v>221200-Breathing Bag 2Ltrs</v>
          </cell>
          <cell r="D50" t="str">
            <v>CC</v>
          </cell>
        </row>
        <row r="51">
          <cell r="B51">
            <v>1219000050</v>
          </cell>
          <cell r="C51" t="str">
            <v>221100-Rebreathing Bag 1Ltr</v>
          </cell>
          <cell r="D51" t="str">
            <v>CC</v>
          </cell>
        </row>
        <row r="52">
          <cell r="B52">
            <v>1219000052</v>
          </cell>
          <cell r="C52" t="str">
            <v>221421-Oxygen Mask Adult + oxy tubing</v>
          </cell>
          <cell r="D52" t="str">
            <v>CC</v>
          </cell>
        </row>
        <row r="53">
          <cell r="B53">
            <v>1219000100</v>
          </cell>
          <cell r="C53" t="str">
            <v>221050- REBREATHING BAG 0.5L ID CONECTOR</v>
          </cell>
          <cell r="D53" t="str">
            <v>CC</v>
          </cell>
        </row>
        <row r="54">
          <cell r="B54">
            <v>1219000054</v>
          </cell>
          <cell r="C54" t="str">
            <v>221471-Oxygen Mask Peads + 1.8m Oxy</v>
          </cell>
          <cell r="D54" t="str">
            <v>CC</v>
          </cell>
        </row>
        <row r="55">
          <cell r="B55">
            <v>1219000055</v>
          </cell>
          <cell r="C55" t="str">
            <v>22150GS-Disposable Catheter Mount</v>
          </cell>
          <cell r="D55" t="str">
            <v>CC</v>
          </cell>
        </row>
        <row r="56">
          <cell r="B56">
            <v>1219000068</v>
          </cell>
          <cell r="C56" t="str">
            <v>22AT1610GS-Ayres T Circuit 1.6M Fresh</v>
          </cell>
          <cell r="D56" t="str">
            <v>CC</v>
          </cell>
        </row>
        <row r="57">
          <cell r="B57">
            <v>1219000057</v>
          </cell>
          <cell r="C57" t="str">
            <v>221582A-Nasal Cannula Adult</v>
          </cell>
          <cell r="D57" t="str">
            <v>CC</v>
          </cell>
        </row>
        <row r="58">
          <cell r="B58">
            <v>1219000058</v>
          </cell>
          <cell r="C58" t="str">
            <v>221601-Nasal Cannula Peads</v>
          </cell>
          <cell r="D58" t="str">
            <v>CC</v>
          </cell>
        </row>
        <row r="59">
          <cell r="B59">
            <v>1219000059</v>
          </cell>
          <cell r="C59" t="str">
            <v>221602-Nasal Cannula Infant</v>
          </cell>
          <cell r="D59" t="str">
            <v>CC</v>
          </cell>
        </row>
        <row r="60">
          <cell r="B60">
            <v>1219000060</v>
          </cell>
          <cell r="C60" t="str">
            <v>222610-Adult Venturi Mask</v>
          </cell>
          <cell r="D60" t="str">
            <v>CC</v>
          </cell>
        </row>
        <row r="61">
          <cell r="B61">
            <v>1219000061</v>
          </cell>
          <cell r="C61" t="str">
            <v>222832-Bacterial Filter / Viral</v>
          </cell>
          <cell r="D61" t="str">
            <v>CC</v>
          </cell>
        </row>
        <row r="62">
          <cell r="B62">
            <v>1219000062</v>
          </cell>
          <cell r="C62" t="str">
            <v>222833-Hmef Filter Slim Line Peads</v>
          </cell>
          <cell r="D62" t="str">
            <v>CC</v>
          </cell>
        </row>
        <row r="63">
          <cell r="B63">
            <v>1219000063</v>
          </cell>
          <cell r="C63" t="str">
            <v>222835-Filter Combination Hme</v>
          </cell>
          <cell r="D63" t="str">
            <v>CC</v>
          </cell>
        </row>
        <row r="64">
          <cell r="B64">
            <v>1219000064</v>
          </cell>
          <cell r="C64" t="str">
            <v>227723-Nebulizer W/T Piece Mouth P &amp; T</v>
          </cell>
          <cell r="D64" t="str">
            <v>CC</v>
          </cell>
        </row>
        <row r="65">
          <cell r="B65">
            <v>1219000065</v>
          </cell>
          <cell r="C65" t="str">
            <v>227762-Nebulizer Mask Adult</v>
          </cell>
          <cell r="D65" t="str">
            <v>CC</v>
          </cell>
        </row>
        <row r="66">
          <cell r="B66">
            <v>1219000066</v>
          </cell>
          <cell r="C66" t="str">
            <v>227772-Nebulizer Mask Peads</v>
          </cell>
          <cell r="D66" t="str">
            <v>CC</v>
          </cell>
        </row>
        <row r="67">
          <cell r="B67">
            <v>1219000067</v>
          </cell>
          <cell r="C67" t="str">
            <v>22AT1610APLGS-Ayres T Piece Paed Circuit</v>
          </cell>
          <cell r="D67" t="str">
            <v>CC</v>
          </cell>
        </row>
        <row r="68">
          <cell r="B68">
            <v>1219000083</v>
          </cell>
          <cell r="C68" t="str">
            <v>22WTD1822FF10M-1.8M Prlel Adlt Circuit 2</v>
          </cell>
          <cell r="D68" t="str">
            <v>CC</v>
          </cell>
        </row>
        <row r="69">
          <cell r="B69">
            <v>1219000069</v>
          </cell>
          <cell r="C69" t="str">
            <v>22B1622APL-AM-Delux Bain Circuit 1.6</v>
          </cell>
          <cell r="D69" t="str">
            <v>CC</v>
          </cell>
        </row>
        <row r="70">
          <cell r="B70">
            <v>1219000070</v>
          </cell>
          <cell r="C70" t="str">
            <v>22LMA10-Laryngeal Mask Size #01</v>
          </cell>
          <cell r="D70" t="str">
            <v>CC</v>
          </cell>
        </row>
        <row r="71">
          <cell r="B71">
            <v>1219000071</v>
          </cell>
          <cell r="C71" t="str">
            <v>22LMA15-Dspsble Laryngeal Mask Size 1.5</v>
          </cell>
          <cell r="D71" t="str">
            <v>CC</v>
          </cell>
        </row>
        <row r="72">
          <cell r="B72">
            <v>1219000072</v>
          </cell>
          <cell r="C72" t="str">
            <v>22LMA20-Laryngeal Mask Size #02</v>
          </cell>
          <cell r="D72" t="str">
            <v>CC</v>
          </cell>
        </row>
        <row r="73">
          <cell r="B73">
            <v>1219000073</v>
          </cell>
          <cell r="C73" t="str">
            <v>22LMA25-Dspsable Laryngeal Mask Size 2.5</v>
          </cell>
          <cell r="D73" t="str">
            <v>CC</v>
          </cell>
        </row>
        <row r="74">
          <cell r="B74">
            <v>1219000074</v>
          </cell>
          <cell r="C74" t="str">
            <v>22LMA30-Laryngeal Mask Size #03</v>
          </cell>
          <cell r="D74" t="str">
            <v>CC</v>
          </cell>
        </row>
        <row r="75">
          <cell r="B75">
            <v>1219000075</v>
          </cell>
          <cell r="C75" t="str">
            <v>22LMA40-Laryngeal Mask Size #04</v>
          </cell>
          <cell r="D75" t="str">
            <v>CC</v>
          </cell>
        </row>
        <row r="76">
          <cell r="B76">
            <v>1219000076</v>
          </cell>
          <cell r="C76" t="str">
            <v>22LMA50-Laryngeal Mask Size #05</v>
          </cell>
          <cell r="D76" t="str">
            <v>CC</v>
          </cell>
        </row>
        <row r="77">
          <cell r="B77">
            <v>1219000077</v>
          </cell>
          <cell r="C77" t="str">
            <v>22MAM1822APL-Mepleson A Magil 1.8M</v>
          </cell>
          <cell r="D77" t="str">
            <v>CC</v>
          </cell>
        </row>
        <row r="78">
          <cell r="B78">
            <v>1219000078</v>
          </cell>
          <cell r="C78" t="str">
            <v>22MC1622APL-Mepleson C Bagging System</v>
          </cell>
          <cell r="D78" t="str">
            <v>CC</v>
          </cell>
        </row>
        <row r="79">
          <cell r="B79">
            <v>1219000079</v>
          </cell>
          <cell r="C79" t="str">
            <v>22P1575-T- Piece 22M/15F (T Connector)</v>
          </cell>
          <cell r="D79" t="str">
            <v>CC</v>
          </cell>
        </row>
        <row r="80">
          <cell r="B80">
            <v>1219000082</v>
          </cell>
          <cell r="C80" t="str">
            <v>22UN3025XAPLGS-Uniflow Circuit With APL,</v>
          </cell>
          <cell r="D80" t="str">
            <v>CC</v>
          </cell>
        </row>
        <row r="81">
          <cell r="B81">
            <v>1219000081</v>
          </cell>
          <cell r="C81" t="str">
            <v>22PP161522FF-AM Parallel Double 1.6 M</v>
          </cell>
          <cell r="D81" t="str">
            <v>CC</v>
          </cell>
        </row>
        <row r="82">
          <cell r="B82">
            <v>1219000056</v>
          </cell>
          <cell r="C82" t="str">
            <v>22150XGS-Extendable Catheter Mount</v>
          </cell>
          <cell r="D82" t="str">
            <v>CC</v>
          </cell>
        </row>
        <row r="83">
          <cell r="B83">
            <v>1219000053</v>
          </cell>
          <cell r="C83" t="str">
            <v>221425-High Concentration Mask</v>
          </cell>
          <cell r="D83" t="str">
            <v>CC</v>
          </cell>
        </row>
        <row r="84">
          <cell r="B84">
            <v>1219000084</v>
          </cell>
          <cell r="C84" t="str">
            <v>22XPEG2022FF152US-Extendble Basic System</v>
          </cell>
          <cell r="D84" t="str">
            <v>CC</v>
          </cell>
        </row>
        <row r="85">
          <cell r="B85">
            <v>1219000085</v>
          </cell>
          <cell r="C85" t="str">
            <v>Kari Fusion (I.V Infusion Set)</v>
          </cell>
          <cell r="D85" t="str">
            <v>MDD</v>
          </cell>
        </row>
        <row r="86">
          <cell r="B86">
            <v>1219000086</v>
          </cell>
          <cell r="C86" t="str">
            <v>Kari Flex (Blood Transfusion Set)</v>
          </cell>
          <cell r="D86" t="str">
            <v>MDD</v>
          </cell>
        </row>
        <row r="87">
          <cell r="B87">
            <v>1219000087</v>
          </cell>
          <cell r="C87" t="str">
            <v>LS Kari Fusion</v>
          </cell>
          <cell r="D87" t="str">
            <v>MDD</v>
          </cell>
        </row>
        <row r="88">
          <cell r="B88">
            <v>1219000088</v>
          </cell>
          <cell r="C88" t="str">
            <v>LL Kari Fusion</v>
          </cell>
          <cell r="D88" t="str">
            <v>MDD</v>
          </cell>
        </row>
        <row r="89">
          <cell r="B89">
            <v>1219000089</v>
          </cell>
          <cell r="C89" t="str">
            <v>Enfagrow A+3 sachet 40g</v>
          </cell>
          <cell r="D89" t="str">
            <v>MJN &amp; CHG</v>
          </cell>
        </row>
        <row r="90">
          <cell r="B90">
            <v>1219000090</v>
          </cell>
          <cell r="C90" t="str">
            <v>EnfaMama VanIlla (Sachet 50g)</v>
          </cell>
          <cell r="D90" t="str">
            <v>BP STAL-THUND</v>
          </cell>
        </row>
        <row r="91">
          <cell r="B91">
            <v>1219000091</v>
          </cell>
          <cell r="C91" t="str">
            <v>Essential Scarless Cream 4 Oz</v>
          </cell>
          <cell r="D91" t="str">
            <v>BP STAL-THUND</v>
          </cell>
        </row>
        <row r="92">
          <cell r="B92">
            <v>1219000092</v>
          </cell>
          <cell r="C92" t="str">
            <v>Ez-Colic 2.5 ML SAMPLES</v>
          </cell>
          <cell r="D92" t="str">
            <v>Dominator</v>
          </cell>
        </row>
        <row r="93">
          <cell r="B93">
            <v>1219000093</v>
          </cell>
          <cell r="C93" t="str">
            <v>22010-Disposable Anaesthesia Mask Size 0</v>
          </cell>
          <cell r="D93" t="str">
            <v>CC</v>
          </cell>
        </row>
        <row r="94">
          <cell r="B94">
            <v>1219000094</v>
          </cell>
          <cell r="C94" t="str">
            <v>22011-Disposable Anaesthesia Mask Size 1</v>
          </cell>
          <cell r="D94" t="str">
            <v>CC</v>
          </cell>
        </row>
        <row r="95">
          <cell r="B95">
            <v>1219000095</v>
          </cell>
          <cell r="C95" t="str">
            <v>221000-Guedel Airway 0</v>
          </cell>
          <cell r="D95" t="str">
            <v>CC</v>
          </cell>
        </row>
        <row r="96">
          <cell r="B96">
            <v>1219000096</v>
          </cell>
          <cell r="C96" t="str">
            <v>221001-Guedel Airway 1</v>
          </cell>
          <cell r="D96" t="str">
            <v>CC</v>
          </cell>
        </row>
        <row r="97">
          <cell r="B97">
            <v>1219000097</v>
          </cell>
          <cell r="C97" t="str">
            <v>221002-Guedel Airway 2</v>
          </cell>
          <cell r="D97" t="str">
            <v>CC</v>
          </cell>
        </row>
        <row r="98">
          <cell r="B98">
            <v>1219000098</v>
          </cell>
          <cell r="C98" t="str">
            <v>221003-Guedel Airway 3</v>
          </cell>
          <cell r="D98" t="str">
            <v>CC</v>
          </cell>
        </row>
        <row r="99">
          <cell r="B99">
            <v>1219000099</v>
          </cell>
          <cell r="C99" t="str">
            <v>221004-Guedel Airway 4</v>
          </cell>
          <cell r="D99" t="str">
            <v>CC</v>
          </cell>
        </row>
        <row r="100">
          <cell r="B100">
            <v>1219000080</v>
          </cell>
          <cell r="C100" t="str">
            <v>22PEG1622FM-AM Basic Breathing System-AA</v>
          </cell>
          <cell r="D100" t="str">
            <v>CC</v>
          </cell>
        </row>
        <row r="101">
          <cell r="B101">
            <v>1219000101</v>
          </cell>
          <cell r="C101" t="str">
            <v>221575-Tracky T Piece</v>
          </cell>
          <cell r="D101" t="str">
            <v>CC</v>
          </cell>
        </row>
        <row r="102">
          <cell r="B102">
            <v>1219000102</v>
          </cell>
          <cell r="C102" t="str">
            <v>224318-Hmef Filter Straigt Peads</v>
          </cell>
          <cell r="D102" t="str">
            <v>CC</v>
          </cell>
        </row>
        <row r="103">
          <cell r="B103">
            <v>1219000103</v>
          </cell>
          <cell r="C103" t="str">
            <v>22B1622APL-Delux Bain Circuit</v>
          </cell>
          <cell r="D103" t="str">
            <v>CC</v>
          </cell>
        </row>
        <row r="104">
          <cell r="B104">
            <v>1219000104</v>
          </cell>
          <cell r="C104" t="str">
            <v>22MAM1822APLGS-Mepleson A Magil 1.8M</v>
          </cell>
          <cell r="D104" t="str">
            <v>CC</v>
          </cell>
        </row>
        <row r="105">
          <cell r="B105">
            <v>1219000105</v>
          </cell>
          <cell r="C105" t="str">
            <v>22XP1622FF-AM-Extendable Circuit 1.6M</v>
          </cell>
          <cell r="D105" t="str">
            <v>CC</v>
          </cell>
        </row>
        <row r="106">
          <cell r="B106">
            <v>1219000112</v>
          </cell>
          <cell r="C106" t="str">
            <v>Prp-up Scht-Wht Milk Fruit-Comercial-Box</v>
          </cell>
          <cell r="D106" t="str">
            <v>BP STAL-THUND</v>
          </cell>
        </row>
        <row r="107">
          <cell r="B107">
            <v>1219000113</v>
          </cell>
          <cell r="C107" t="str">
            <v>PrepUp Wht-Mlk-Fruit 175g combo with BIB</v>
          </cell>
          <cell r="D107" t="str">
            <v>MJN &amp; CHG</v>
          </cell>
        </row>
        <row r="108">
          <cell r="B108">
            <v>1219000114</v>
          </cell>
          <cell r="C108" t="str">
            <v>PrepUp Wht-Mlk-Hony 175g combo with BIB</v>
          </cell>
          <cell r="D108" t="str">
            <v>MJN &amp; CHG</v>
          </cell>
        </row>
        <row r="109">
          <cell r="B109">
            <v>1219000116</v>
          </cell>
          <cell r="C109" t="str">
            <v>Vigo Essentials Samples</v>
          </cell>
          <cell r="D109" t="str">
            <v>BP STAL-THUND</v>
          </cell>
        </row>
        <row r="110">
          <cell r="B110">
            <v>1219000119</v>
          </cell>
          <cell r="C110" t="str">
            <v>KARIFUSION WITH LATEX</v>
          </cell>
          <cell r="D110" t="str">
            <v>MDD</v>
          </cell>
        </row>
        <row r="111">
          <cell r="B111">
            <v>1219000120</v>
          </cell>
          <cell r="C111" t="str">
            <v>KARIFUSION WITHOUT LATEX</v>
          </cell>
          <cell r="D111" t="str">
            <v>MDD</v>
          </cell>
        </row>
        <row r="112">
          <cell r="B112">
            <v>1219000121</v>
          </cell>
          <cell r="C112" t="str">
            <v>Oxygen Face Mask-Adult</v>
          </cell>
          <cell r="D112" t="str">
            <v>MDD</v>
          </cell>
        </row>
        <row r="113">
          <cell r="B113">
            <v>1219000122</v>
          </cell>
          <cell r="C113" t="str">
            <v>Oxygen Face Mask-Pediatric</v>
          </cell>
          <cell r="D113" t="str">
            <v>MDD</v>
          </cell>
        </row>
        <row r="114">
          <cell r="B114">
            <v>1219000125</v>
          </cell>
          <cell r="C114" t="str">
            <v>Nebulizer Face Mask-Adult</v>
          </cell>
          <cell r="D114" t="str">
            <v>MDD</v>
          </cell>
        </row>
        <row r="115">
          <cell r="B115">
            <v>1219000126</v>
          </cell>
          <cell r="C115" t="str">
            <v>Nebulizer Face Mask-Pediatric</v>
          </cell>
          <cell r="D115" t="str">
            <v>MDD</v>
          </cell>
        </row>
        <row r="116">
          <cell r="B116">
            <v>1219000127</v>
          </cell>
          <cell r="C116" t="str">
            <v>Nasal Oxygen Cannula-Adult</v>
          </cell>
          <cell r="D116" t="str">
            <v>MDD</v>
          </cell>
        </row>
        <row r="117">
          <cell r="B117">
            <v>1219000128</v>
          </cell>
          <cell r="C117" t="str">
            <v>Urine Bag "T-Connector" (Sterile)-2000ml</v>
          </cell>
          <cell r="D117" t="str">
            <v>MDD</v>
          </cell>
        </row>
        <row r="118">
          <cell r="B118">
            <v>1219000130</v>
          </cell>
          <cell r="C118" t="str">
            <v>Feeding Tube-4 FG</v>
          </cell>
          <cell r="D118" t="str">
            <v>MDD</v>
          </cell>
        </row>
        <row r="119">
          <cell r="B119">
            <v>1219000132</v>
          </cell>
          <cell r="C119" t="str">
            <v>Feeding Tube-5 FG</v>
          </cell>
          <cell r="D119" t="str">
            <v>MDD</v>
          </cell>
        </row>
        <row r="120">
          <cell r="B120">
            <v>1219000133</v>
          </cell>
          <cell r="C120" t="str">
            <v>Feeding Tube-6 FG</v>
          </cell>
          <cell r="D120" t="str">
            <v>MDD</v>
          </cell>
        </row>
        <row r="121">
          <cell r="B121">
            <v>1219000134</v>
          </cell>
          <cell r="C121" t="str">
            <v>Feeding Tube-8 FG</v>
          </cell>
          <cell r="D121" t="str">
            <v>MDD</v>
          </cell>
        </row>
        <row r="122">
          <cell r="B122">
            <v>1219000135</v>
          </cell>
          <cell r="C122" t="str">
            <v>Feeding Tube-10 FG</v>
          </cell>
          <cell r="D122" t="str">
            <v>MDD</v>
          </cell>
        </row>
        <row r="123">
          <cell r="B123">
            <v>1219000137</v>
          </cell>
          <cell r="C123" t="str">
            <v>Suction Catheter "Thumb Control" Size 5</v>
          </cell>
          <cell r="D123" t="str">
            <v>MDD</v>
          </cell>
        </row>
        <row r="124">
          <cell r="B124">
            <v>1219000138</v>
          </cell>
          <cell r="C124" t="str">
            <v>Suction Catheter "Thumb Control" Size 6</v>
          </cell>
          <cell r="D124" t="str">
            <v>MDD</v>
          </cell>
        </row>
        <row r="125">
          <cell r="B125">
            <v>1219000139</v>
          </cell>
          <cell r="C125" t="str">
            <v>Suction Catheter "Thumb Control" Size 8</v>
          </cell>
          <cell r="D125" t="str">
            <v>MDD</v>
          </cell>
        </row>
        <row r="126">
          <cell r="B126">
            <v>1219000140</v>
          </cell>
          <cell r="C126" t="str">
            <v>Suction Catheter "Thumb Control" Size 10</v>
          </cell>
          <cell r="D126" t="str">
            <v>MDD</v>
          </cell>
        </row>
        <row r="127">
          <cell r="B127">
            <v>1219000142</v>
          </cell>
          <cell r="C127" t="str">
            <v>Suction Catheter "Thumb Control" Size 12</v>
          </cell>
          <cell r="D127" t="str">
            <v>MDD</v>
          </cell>
        </row>
        <row r="128">
          <cell r="B128">
            <v>1219000143</v>
          </cell>
          <cell r="C128" t="str">
            <v>Suction Catheter "Thumb Control" Size 14</v>
          </cell>
          <cell r="D128" t="str">
            <v>MDD</v>
          </cell>
        </row>
        <row r="129">
          <cell r="B129">
            <v>1219000145</v>
          </cell>
          <cell r="C129" t="str">
            <v>Suction Catheter "Thumb Control" Size 16</v>
          </cell>
          <cell r="D129" t="str">
            <v>MDD</v>
          </cell>
        </row>
        <row r="130">
          <cell r="B130">
            <v>1219000146</v>
          </cell>
          <cell r="C130" t="str">
            <v>Suction Catheter "Thumb Control" Size 18</v>
          </cell>
          <cell r="D130" t="str">
            <v>MDD</v>
          </cell>
        </row>
        <row r="131">
          <cell r="B131">
            <v>1219000147</v>
          </cell>
          <cell r="C131" t="str">
            <v>Suction Catheter "Thumb Control" Size 20</v>
          </cell>
          <cell r="D131" t="str">
            <v>MDD</v>
          </cell>
        </row>
        <row r="132">
          <cell r="B132">
            <v>1219000160</v>
          </cell>
          <cell r="C132" t="str">
            <v>Sustagen Schol 6+ 3shrink wrap pack-Van</v>
          </cell>
          <cell r="D132" t="str">
            <v>BP STAL-THUND</v>
          </cell>
        </row>
        <row r="133">
          <cell r="B133">
            <v>1219000161</v>
          </cell>
          <cell r="C133" t="str">
            <v>Sustagen Schol 6+ 3shrink wrap pack-Choc</v>
          </cell>
          <cell r="D133" t="str">
            <v>BP STAL-THUND</v>
          </cell>
        </row>
        <row r="134">
          <cell r="B134">
            <v>1219000163</v>
          </cell>
          <cell r="C134" t="str">
            <v>PrepUp Wht-Mlk-Fruit with teether</v>
          </cell>
          <cell r="D134" t="str">
            <v>MJN &amp; CHG</v>
          </cell>
        </row>
        <row r="135">
          <cell r="B135">
            <v>1219000164</v>
          </cell>
          <cell r="C135" t="str">
            <v>PrepUp Wht-Mlk-Honey with teether</v>
          </cell>
          <cell r="D135" t="str">
            <v>MJN &amp; CHG</v>
          </cell>
        </row>
        <row r="136">
          <cell r="B136">
            <v>1219000165</v>
          </cell>
          <cell r="C136" t="str">
            <v>PrepUp Wht-Mlk- with teether</v>
          </cell>
          <cell r="D136" t="str">
            <v>MJN &amp; CHG</v>
          </cell>
        </row>
        <row r="137">
          <cell r="B137">
            <v>1219000166</v>
          </cell>
          <cell r="C137" t="str">
            <v>PrepUp Rice-Mlk- with teether</v>
          </cell>
          <cell r="D137" t="str">
            <v>MJN &amp; CHG</v>
          </cell>
        </row>
        <row r="138">
          <cell r="B138">
            <v>1219000167</v>
          </cell>
          <cell r="C138" t="str">
            <v>PrepUp Wht-Mlk-Fruit with Spoon</v>
          </cell>
          <cell r="D138" t="str">
            <v>MJN &amp; CHG</v>
          </cell>
        </row>
        <row r="139">
          <cell r="B139">
            <v>1219000168</v>
          </cell>
          <cell r="C139" t="str">
            <v>PrepUp Wht-Mlk-Honey with Spoon</v>
          </cell>
          <cell r="D139" t="str">
            <v>MJN &amp; CHG</v>
          </cell>
        </row>
        <row r="140">
          <cell r="B140">
            <v>1219000169</v>
          </cell>
          <cell r="C140" t="str">
            <v>PrepUp Wht-Mlk- with spoon</v>
          </cell>
          <cell r="D140" t="str">
            <v>MJN &amp; CHG</v>
          </cell>
        </row>
        <row r="141">
          <cell r="B141">
            <v>1219000170</v>
          </cell>
          <cell r="C141" t="str">
            <v>PrepUp Rice-Mlk- with spoon</v>
          </cell>
          <cell r="D141" t="str">
            <v>MJN &amp; CHG</v>
          </cell>
        </row>
        <row r="142">
          <cell r="B142">
            <v>1219000174</v>
          </cell>
          <cell r="C142" t="str">
            <v>Renu MultiPlus 60ml</v>
          </cell>
          <cell r="D142" t="str">
            <v xml:space="preserve">BL &amp; AVNG </v>
          </cell>
        </row>
        <row r="143">
          <cell r="B143">
            <v>1219000175</v>
          </cell>
          <cell r="C143" t="str">
            <v>Renu MultiPlus 120ml</v>
          </cell>
          <cell r="D143" t="str">
            <v xml:space="preserve">BL &amp; AVNG </v>
          </cell>
        </row>
        <row r="144">
          <cell r="B144">
            <v>1219000176</v>
          </cell>
          <cell r="C144" t="str">
            <v>Renu MultiPlus 360ml</v>
          </cell>
          <cell r="D144" t="str">
            <v xml:space="preserve">BL &amp; AVNG </v>
          </cell>
        </row>
        <row r="145">
          <cell r="B145">
            <v>1219000192</v>
          </cell>
          <cell r="C145" t="str">
            <v>22XP161522101L-PeadCircit 1M limb+1L Bag</v>
          </cell>
          <cell r="D145" t="str">
            <v>CC</v>
          </cell>
        </row>
        <row r="146">
          <cell r="B146">
            <v>1219000193</v>
          </cell>
          <cell r="C146" t="str">
            <v>Soflens 59 -0.50</v>
          </cell>
          <cell r="D146" t="str">
            <v xml:space="preserve">BL &amp; AVNG </v>
          </cell>
        </row>
        <row r="147">
          <cell r="B147">
            <v>1219000194</v>
          </cell>
          <cell r="C147" t="str">
            <v>Biotrue Multi-Purpose Solution 60ml</v>
          </cell>
          <cell r="D147" t="str">
            <v xml:space="preserve">BL &amp; AVNG </v>
          </cell>
        </row>
        <row r="148">
          <cell r="B148">
            <v>1219000195</v>
          </cell>
          <cell r="C148" t="str">
            <v>Biotrue Multi-Purpose Solution 300ml</v>
          </cell>
          <cell r="D148" t="str">
            <v xml:space="preserve">BL &amp; AVNG </v>
          </cell>
        </row>
        <row r="149">
          <cell r="B149">
            <v>1219000196</v>
          </cell>
          <cell r="C149" t="str">
            <v>Boston Simplus Solution 120ml</v>
          </cell>
          <cell r="D149" t="str">
            <v xml:space="preserve">BL &amp; AVNG </v>
          </cell>
        </row>
        <row r="150">
          <cell r="B150">
            <v>1219000200</v>
          </cell>
          <cell r="C150" t="str">
            <v>ULTRA -12.00</v>
          </cell>
          <cell r="D150" t="str">
            <v xml:space="preserve">BL &amp; AVNG </v>
          </cell>
        </row>
        <row r="151">
          <cell r="B151">
            <v>1219000202</v>
          </cell>
          <cell r="C151" t="str">
            <v>Soflens 59 -0.75</v>
          </cell>
          <cell r="D151" t="str">
            <v xml:space="preserve">BL &amp; AVNG </v>
          </cell>
        </row>
        <row r="152">
          <cell r="B152">
            <v>1219000203</v>
          </cell>
          <cell r="C152" t="str">
            <v>ULTRA -10.50</v>
          </cell>
          <cell r="D152" t="str">
            <v xml:space="preserve">BL &amp; AVNG </v>
          </cell>
        </row>
        <row r="153">
          <cell r="B153">
            <v>1219000258</v>
          </cell>
          <cell r="C153" t="str">
            <v>Soflens 59 -1.00</v>
          </cell>
          <cell r="D153" t="str">
            <v xml:space="preserve">BL &amp; AVNG </v>
          </cell>
        </row>
        <row r="154">
          <cell r="B154">
            <v>1219000259</v>
          </cell>
          <cell r="C154" t="str">
            <v>Soflens 59 -1.25</v>
          </cell>
          <cell r="D154" t="str">
            <v xml:space="preserve">BL &amp; AVNG </v>
          </cell>
        </row>
        <row r="155">
          <cell r="B155">
            <v>1219000260</v>
          </cell>
          <cell r="C155" t="str">
            <v>Soflens 59 -1.50</v>
          </cell>
          <cell r="D155" t="str">
            <v xml:space="preserve">BL &amp; AVNG </v>
          </cell>
        </row>
        <row r="156">
          <cell r="B156">
            <v>1219000261</v>
          </cell>
          <cell r="C156" t="str">
            <v>Soflens 59 -1.75</v>
          </cell>
          <cell r="D156" t="str">
            <v xml:space="preserve">BL &amp; AVNG </v>
          </cell>
        </row>
        <row r="157">
          <cell r="B157">
            <v>1219000262</v>
          </cell>
          <cell r="C157" t="str">
            <v>Soflens 59 -2.00</v>
          </cell>
          <cell r="D157" t="str">
            <v xml:space="preserve">BL &amp; AVNG </v>
          </cell>
        </row>
        <row r="158">
          <cell r="B158">
            <v>1219000263</v>
          </cell>
          <cell r="C158" t="str">
            <v>Soflens 59 -2.25</v>
          </cell>
          <cell r="D158" t="str">
            <v xml:space="preserve">BL &amp; AVNG </v>
          </cell>
        </row>
        <row r="159">
          <cell r="B159">
            <v>1219000264</v>
          </cell>
          <cell r="C159" t="str">
            <v>Soflens 59 -2.50</v>
          </cell>
          <cell r="D159" t="str">
            <v xml:space="preserve">BL &amp; AVNG </v>
          </cell>
        </row>
        <row r="160">
          <cell r="B160">
            <v>1219000265</v>
          </cell>
          <cell r="C160" t="str">
            <v>Soflens 59 -2.75</v>
          </cell>
          <cell r="D160" t="str">
            <v xml:space="preserve">BL &amp; AVNG </v>
          </cell>
        </row>
        <row r="161">
          <cell r="B161">
            <v>1219000266</v>
          </cell>
          <cell r="C161" t="str">
            <v>Soflens 59 -3.00</v>
          </cell>
          <cell r="D161" t="str">
            <v xml:space="preserve">BL &amp; AVNG </v>
          </cell>
        </row>
        <row r="162">
          <cell r="B162">
            <v>1219000267</v>
          </cell>
          <cell r="C162" t="str">
            <v>Soflens 59 -3.25</v>
          </cell>
          <cell r="D162" t="str">
            <v xml:space="preserve">BL &amp; AVNG </v>
          </cell>
        </row>
        <row r="163">
          <cell r="B163">
            <v>1219000268</v>
          </cell>
          <cell r="C163" t="str">
            <v>Soflens 59 -3.50</v>
          </cell>
          <cell r="D163" t="str">
            <v xml:space="preserve">BL &amp; AVNG </v>
          </cell>
        </row>
        <row r="164">
          <cell r="B164">
            <v>1219000269</v>
          </cell>
          <cell r="C164" t="str">
            <v>Soflens 59 -3.75</v>
          </cell>
          <cell r="D164" t="str">
            <v xml:space="preserve">BL &amp; AVNG </v>
          </cell>
        </row>
        <row r="165">
          <cell r="B165">
            <v>1219000270</v>
          </cell>
          <cell r="C165" t="str">
            <v>Soflens 59 -4.00</v>
          </cell>
          <cell r="D165" t="str">
            <v xml:space="preserve">BL &amp; AVNG </v>
          </cell>
        </row>
        <row r="166">
          <cell r="B166">
            <v>1219000271</v>
          </cell>
          <cell r="C166" t="str">
            <v>Soflens 59 -4.25</v>
          </cell>
          <cell r="D166" t="str">
            <v xml:space="preserve">BL &amp; AVNG </v>
          </cell>
        </row>
        <row r="167">
          <cell r="B167">
            <v>1219000272</v>
          </cell>
          <cell r="C167" t="str">
            <v>Soflens 59 -4.50</v>
          </cell>
          <cell r="D167" t="str">
            <v xml:space="preserve">BL &amp; AVNG </v>
          </cell>
        </row>
        <row r="168">
          <cell r="B168">
            <v>1219000273</v>
          </cell>
          <cell r="C168" t="str">
            <v>Soflens 59 -4.75</v>
          </cell>
          <cell r="D168" t="str">
            <v xml:space="preserve">BL &amp; AVNG </v>
          </cell>
        </row>
        <row r="169">
          <cell r="B169">
            <v>1219000274</v>
          </cell>
          <cell r="C169" t="str">
            <v>Soflens 59 -5.00</v>
          </cell>
          <cell r="D169" t="str">
            <v xml:space="preserve">BL &amp; AVNG </v>
          </cell>
        </row>
        <row r="170">
          <cell r="B170">
            <v>1219000275</v>
          </cell>
          <cell r="C170" t="str">
            <v>Soflens 59 -5.25</v>
          </cell>
          <cell r="D170" t="str">
            <v xml:space="preserve">BL &amp; AVNG </v>
          </cell>
        </row>
        <row r="171">
          <cell r="B171">
            <v>1219000276</v>
          </cell>
          <cell r="C171" t="str">
            <v>Soflens 59 -5.50</v>
          </cell>
          <cell r="D171" t="str">
            <v xml:space="preserve">BL &amp; AVNG </v>
          </cell>
        </row>
        <row r="172">
          <cell r="B172">
            <v>1219000277</v>
          </cell>
          <cell r="C172" t="str">
            <v>Soflens 59 -5.75</v>
          </cell>
          <cell r="D172" t="str">
            <v xml:space="preserve">BL &amp; AVNG </v>
          </cell>
        </row>
        <row r="173">
          <cell r="B173">
            <v>1219000278</v>
          </cell>
          <cell r="C173" t="str">
            <v>Soflens 59 -6.00</v>
          </cell>
          <cell r="D173" t="str">
            <v xml:space="preserve">BL &amp; AVNG </v>
          </cell>
        </row>
        <row r="174">
          <cell r="B174">
            <v>1219000279</v>
          </cell>
          <cell r="C174" t="str">
            <v>Soflens 59 -6.50</v>
          </cell>
          <cell r="D174" t="str">
            <v xml:space="preserve">BL &amp; AVNG </v>
          </cell>
        </row>
        <row r="175">
          <cell r="B175">
            <v>1219000280</v>
          </cell>
          <cell r="C175" t="str">
            <v>Soflens 59 -7.00</v>
          </cell>
          <cell r="D175" t="str">
            <v xml:space="preserve">BL &amp; AVNG </v>
          </cell>
        </row>
        <row r="176">
          <cell r="B176">
            <v>1219000281</v>
          </cell>
          <cell r="C176" t="str">
            <v>Soflens 59 -7.50</v>
          </cell>
          <cell r="D176" t="str">
            <v xml:space="preserve">BL &amp; AVNG </v>
          </cell>
        </row>
        <row r="177">
          <cell r="B177">
            <v>1219000282</v>
          </cell>
          <cell r="C177" t="str">
            <v>Soflens 59 -8.00</v>
          </cell>
          <cell r="D177" t="str">
            <v xml:space="preserve">BL &amp; AVNG </v>
          </cell>
        </row>
        <row r="178">
          <cell r="B178">
            <v>1219000283</v>
          </cell>
          <cell r="C178" t="str">
            <v>Soflens 59 -8.50</v>
          </cell>
          <cell r="D178" t="str">
            <v xml:space="preserve">BL &amp; AVNG </v>
          </cell>
        </row>
        <row r="179">
          <cell r="B179">
            <v>1219000284</v>
          </cell>
          <cell r="C179" t="str">
            <v>Soflens 59 -9.00</v>
          </cell>
          <cell r="D179" t="str">
            <v xml:space="preserve">BL &amp; AVNG </v>
          </cell>
        </row>
        <row r="180">
          <cell r="B180">
            <v>1219000285</v>
          </cell>
          <cell r="C180" t="str">
            <v>Soflens Daily Dispisible -0.25</v>
          </cell>
          <cell r="D180" t="str">
            <v xml:space="preserve">BL &amp; AVNG </v>
          </cell>
        </row>
        <row r="181">
          <cell r="B181">
            <v>1219000286</v>
          </cell>
          <cell r="C181" t="str">
            <v>Soflens Daily Dispisible -0.50</v>
          </cell>
          <cell r="D181" t="str">
            <v xml:space="preserve">BL &amp; AVNG </v>
          </cell>
        </row>
        <row r="182">
          <cell r="B182">
            <v>1219000287</v>
          </cell>
          <cell r="C182" t="str">
            <v>Soflens Daily Dispisible -0.75</v>
          </cell>
          <cell r="D182" t="str">
            <v xml:space="preserve">BL &amp; AVNG </v>
          </cell>
        </row>
        <row r="183">
          <cell r="B183">
            <v>1219000288</v>
          </cell>
          <cell r="C183" t="str">
            <v>Soflens Daily Dispisible -1.00</v>
          </cell>
          <cell r="D183" t="str">
            <v xml:space="preserve">BL &amp; AVNG </v>
          </cell>
        </row>
        <row r="184">
          <cell r="B184">
            <v>1219000289</v>
          </cell>
          <cell r="C184" t="str">
            <v>Soflens Daily Dispisible -1.25</v>
          </cell>
          <cell r="D184" t="str">
            <v xml:space="preserve">BL &amp; AVNG </v>
          </cell>
        </row>
        <row r="185">
          <cell r="B185">
            <v>1219000290</v>
          </cell>
          <cell r="C185" t="str">
            <v>Soflens Daily Dispisible -1.50</v>
          </cell>
          <cell r="D185" t="str">
            <v xml:space="preserve">BL &amp; AVNG </v>
          </cell>
        </row>
        <row r="186">
          <cell r="B186">
            <v>1219000291</v>
          </cell>
          <cell r="C186" t="str">
            <v>Soflens Daily Dispisible -1.75</v>
          </cell>
          <cell r="D186" t="str">
            <v xml:space="preserve">BL &amp; AVNG </v>
          </cell>
        </row>
        <row r="187">
          <cell r="B187">
            <v>1219000292</v>
          </cell>
          <cell r="C187" t="str">
            <v>Soflens Daily Dispisible -2.00</v>
          </cell>
          <cell r="D187" t="str">
            <v xml:space="preserve">BL &amp; AVNG </v>
          </cell>
        </row>
        <row r="188">
          <cell r="B188">
            <v>1219000293</v>
          </cell>
          <cell r="C188" t="str">
            <v>Soflens Daily Dispisible -2.25</v>
          </cell>
          <cell r="D188" t="str">
            <v xml:space="preserve">BL &amp; AVNG </v>
          </cell>
        </row>
        <row r="189">
          <cell r="B189">
            <v>1219000294</v>
          </cell>
          <cell r="C189" t="str">
            <v>Soflens Daily Dispisible -2.50</v>
          </cell>
          <cell r="D189" t="str">
            <v xml:space="preserve">BL &amp; AVNG </v>
          </cell>
        </row>
        <row r="190">
          <cell r="B190">
            <v>1219000295</v>
          </cell>
          <cell r="C190" t="str">
            <v>Soflens Daily Dispisible -2.75</v>
          </cell>
          <cell r="D190" t="str">
            <v xml:space="preserve">BL &amp; AVNG </v>
          </cell>
        </row>
        <row r="191">
          <cell r="B191">
            <v>1219000296</v>
          </cell>
          <cell r="C191" t="str">
            <v>Soflens Daily Dispisible -3.00</v>
          </cell>
          <cell r="D191" t="str">
            <v xml:space="preserve">BL &amp; AVNG </v>
          </cell>
        </row>
        <row r="192">
          <cell r="B192">
            <v>1219000297</v>
          </cell>
          <cell r="C192" t="str">
            <v>Soflens Daily Dispisible -3.25</v>
          </cell>
          <cell r="D192" t="str">
            <v xml:space="preserve">BL &amp; AVNG </v>
          </cell>
        </row>
        <row r="193">
          <cell r="B193">
            <v>1219000298</v>
          </cell>
          <cell r="C193" t="str">
            <v>Soflens Daily Dispisible -3.50</v>
          </cell>
          <cell r="D193" t="str">
            <v xml:space="preserve">BL &amp; AVNG </v>
          </cell>
        </row>
        <row r="194">
          <cell r="B194">
            <v>1219000299</v>
          </cell>
          <cell r="C194" t="str">
            <v>Soflens Daily Dispisible -3.75</v>
          </cell>
          <cell r="D194" t="str">
            <v xml:space="preserve">BL &amp; AVNG </v>
          </cell>
        </row>
        <row r="195">
          <cell r="B195">
            <v>1219000300</v>
          </cell>
          <cell r="C195" t="str">
            <v>Soflens Daily Dispisible -4.00</v>
          </cell>
          <cell r="D195" t="str">
            <v xml:space="preserve">BL &amp; AVNG </v>
          </cell>
        </row>
        <row r="196">
          <cell r="B196">
            <v>1219000301</v>
          </cell>
          <cell r="C196" t="str">
            <v>Soflens Daily Dispisible -4.25</v>
          </cell>
          <cell r="D196" t="str">
            <v xml:space="preserve">BL &amp; AVNG </v>
          </cell>
        </row>
        <row r="197">
          <cell r="B197">
            <v>1219000302</v>
          </cell>
          <cell r="C197" t="str">
            <v>Soflens Daily Dispisible -4.50</v>
          </cell>
          <cell r="D197" t="str">
            <v xml:space="preserve">BL &amp; AVNG </v>
          </cell>
        </row>
        <row r="198">
          <cell r="B198">
            <v>1219000303</v>
          </cell>
          <cell r="C198" t="str">
            <v>Soflens Daily Dispisible -4.75</v>
          </cell>
          <cell r="D198" t="str">
            <v xml:space="preserve">BL &amp; AVNG </v>
          </cell>
        </row>
        <row r="199">
          <cell r="B199">
            <v>1219000304</v>
          </cell>
          <cell r="C199" t="str">
            <v>Soflens Daily Dispisible -5.00</v>
          </cell>
          <cell r="D199" t="str">
            <v xml:space="preserve">BL &amp; AVNG </v>
          </cell>
        </row>
        <row r="200">
          <cell r="B200">
            <v>1219000305</v>
          </cell>
          <cell r="C200" t="str">
            <v>Soflens Daily Dispisible -5.25</v>
          </cell>
          <cell r="D200" t="str">
            <v xml:space="preserve">BL &amp; AVNG </v>
          </cell>
        </row>
        <row r="201">
          <cell r="B201">
            <v>1219000306</v>
          </cell>
          <cell r="C201" t="str">
            <v>Soflens Daily Dispisible -5.50</v>
          </cell>
          <cell r="D201" t="str">
            <v xml:space="preserve">BL &amp; AVNG </v>
          </cell>
        </row>
        <row r="202">
          <cell r="B202">
            <v>1219000307</v>
          </cell>
          <cell r="C202" t="str">
            <v>Soflens Daily Dispisible -5.75</v>
          </cell>
          <cell r="D202" t="str">
            <v xml:space="preserve">BL &amp; AVNG </v>
          </cell>
        </row>
        <row r="203">
          <cell r="B203">
            <v>1219000308</v>
          </cell>
          <cell r="C203" t="str">
            <v>Soflens Daily Dispisible -6.00</v>
          </cell>
          <cell r="D203" t="str">
            <v xml:space="preserve">BL &amp; AVNG </v>
          </cell>
        </row>
        <row r="204">
          <cell r="B204">
            <v>1219000309</v>
          </cell>
          <cell r="C204" t="str">
            <v>Soflens Daily Dispisible -6.25</v>
          </cell>
          <cell r="D204" t="str">
            <v xml:space="preserve">BL &amp; AVNG </v>
          </cell>
        </row>
        <row r="205">
          <cell r="B205">
            <v>1219000310</v>
          </cell>
          <cell r="C205" t="str">
            <v>Soflens Daily Dispisible -6.50</v>
          </cell>
          <cell r="D205" t="str">
            <v xml:space="preserve">BL &amp; AVNG </v>
          </cell>
        </row>
        <row r="206">
          <cell r="B206">
            <v>1219000311</v>
          </cell>
          <cell r="C206" t="str">
            <v>Soflens Daily Dispisible -7.00</v>
          </cell>
          <cell r="D206" t="str">
            <v xml:space="preserve">BL &amp; AVNG </v>
          </cell>
        </row>
        <row r="207">
          <cell r="B207">
            <v>1219000312</v>
          </cell>
          <cell r="C207" t="str">
            <v>Soflens Daily Dispisible -7.50</v>
          </cell>
          <cell r="D207" t="str">
            <v xml:space="preserve">BL &amp; AVNG </v>
          </cell>
        </row>
        <row r="208">
          <cell r="B208">
            <v>1219000313</v>
          </cell>
          <cell r="C208" t="str">
            <v>Soflens Daily Dispisible -8.00</v>
          </cell>
          <cell r="D208" t="str">
            <v xml:space="preserve">BL &amp; AVNG </v>
          </cell>
        </row>
        <row r="209">
          <cell r="B209">
            <v>1219000314</v>
          </cell>
          <cell r="C209" t="str">
            <v>Soflens Daily Dispisible -8.50</v>
          </cell>
          <cell r="D209" t="str">
            <v xml:space="preserve">BL &amp; AVNG </v>
          </cell>
        </row>
        <row r="210">
          <cell r="B210">
            <v>1219000315</v>
          </cell>
          <cell r="C210" t="str">
            <v>Soflens Daily Dispisible -9.00</v>
          </cell>
          <cell r="D210" t="str">
            <v xml:space="preserve">BL &amp; AVNG </v>
          </cell>
        </row>
        <row r="211">
          <cell r="B211">
            <v>1219000316</v>
          </cell>
          <cell r="C211" t="str">
            <v>ULTRA -0.25</v>
          </cell>
          <cell r="D211" t="str">
            <v xml:space="preserve">BL &amp; AVNG </v>
          </cell>
        </row>
        <row r="212">
          <cell r="B212">
            <v>1219000317</v>
          </cell>
          <cell r="C212" t="str">
            <v>ULTRA -0.50</v>
          </cell>
          <cell r="D212" t="str">
            <v xml:space="preserve">BL &amp; AVNG </v>
          </cell>
        </row>
        <row r="213">
          <cell r="B213">
            <v>1219000318</v>
          </cell>
          <cell r="C213" t="str">
            <v>ULTRA -0.75</v>
          </cell>
          <cell r="D213" t="str">
            <v xml:space="preserve">BL &amp; AVNG </v>
          </cell>
        </row>
        <row r="214">
          <cell r="B214">
            <v>1219000319</v>
          </cell>
          <cell r="C214" t="str">
            <v>ULTRA -1.00</v>
          </cell>
          <cell r="D214" t="str">
            <v xml:space="preserve">BL &amp; AVNG </v>
          </cell>
        </row>
        <row r="215">
          <cell r="B215">
            <v>1219000320</v>
          </cell>
          <cell r="C215" t="str">
            <v>ULTRA -1.25</v>
          </cell>
          <cell r="D215" t="str">
            <v xml:space="preserve">BL &amp; AVNG </v>
          </cell>
        </row>
        <row r="216">
          <cell r="B216">
            <v>1219000321</v>
          </cell>
          <cell r="C216" t="str">
            <v>ULTRA -1.50</v>
          </cell>
          <cell r="D216" t="str">
            <v xml:space="preserve">BL &amp; AVNG </v>
          </cell>
        </row>
        <row r="217">
          <cell r="B217">
            <v>1219000322</v>
          </cell>
          <cell r="C217" t="str">
            <v>ULTRA -1.75</v>
          </cell>
          <cell r="D217" t="str">
            <v xml:space="preserve">BL &amp; AVNG </v>
          </cell>
        </row>
        <row r="218">
          <cell r="B218">
            <v>1219000323</v>
          </cell>
          <cell r="C218" t="str">
            <v>ULTRA -2.00</v>
          </cell>
          <cell r="D218" t="str">
            <v xml:space="preserve">BL &amp; AVNG </v>
          </cell>
        </row>
        <row r="219">
          <cell r="B219">
            <v>1219000324</v>
          </cell>
          <cell r="C219" t="str">
            <v>ULTRA -2.25</v>
          </cell>
          <cell r="D219" t="str">
            <v xml:space="preserve">BL &amp; AVNG </v>
          </cell>
        </row>
        <row r="220">
          <cell r="B220">
            <v>1219000325</v>
          </cell>
          <cell r="C220" t="str">
            <v>ULTRA -2.50</v>
          </cell>
          <cell r="D220" t="str">
            <v xml:space="preserve">BL &amp; AVNG </v>
          </cell>
        </row>
        <row r="221">
          <cell r="B221">
            <v>1219000326</v>
          </cell>
          <cell r="C221" t="str">
            <v>ULTRA -2.75</v>
          </cell>
          <cell r="D221" t="str">
            <v xml:space="preserve">BL &amp; AVNG </v>
          </cell>
        </row>
        <row r="222">
          <cell r="B222">
            <v>1219000327</v>
          </cell>
          <cell r="C222" t="str">
            <v>ULTRA -3.00</v>
          </cell>
          <cell r="D222" t="str">
            <v xml:space="preserve">BL &amp; AVNG </v>
          </cell>
        </row>
        <row r="223">
          <cell r="B223">
            <v>1219000328</v>
          </cell>
          <cell r="C223" t="str">
            <v>ULTRA -3.25</v>
          </cell>
          <cell r="D223" t="str">
            <v xml:space="preserve">BL &amp; AVNG </v>
          </cell>
        </row>
        <row r="224">
          <cell r="B224">
            <v>1219000329</v>
          </cell>
          <cell r="C224" t="str">
            <v>ULTRA -3.50</v>
          </cell>
          <cell r="D224" t="str">
            <v xml:space="preserve">BL &amp; AVNG </v>
          </cell>
        </row>
        <row r="225">
          <cell r="B225">
            <v>1219000330</v>
          </cell>
          <cell r="C225" t="str">
            <v>ULTRA -3.75</v>
          </cell>
          <cell r="D225" t="str">
            <v xml:space="preserve">BL &amp; AVNG </v>
          </cell>
        </row>
        <row r="226">
          <cell r="B226">
            <v>1219000331</v>
          </cell>
          <cell r="C226" t="str">
            <v>ULTRA -4.00</v>
          </cell>
          <cell r="D226" t="str">
            <v xml:space="preserve">BL &amp; AVNG </v>
          </cell>
        </row>
        <row r="227">
          <cell r="B227">
            <v>1219000332</v>
          </cell>
          <cell r="C227" t="str">
            <v>ULTRA -4.25</v>
          </cell>
          <cell r="D227" t="str">
            <v xml:space="preserve">BL &amp; AVNG </v>
          </cell>
        </row>
        <row r="228">
          <cell r="B228">
            <v>1219000333</v>
          </cell>
          <cell r="C228" t="str">
            <v>ULTRA -4.50</v>
          </cell>
          <cell r="D228" t="str">
            <v xml:space="preserve">BL &amp; AVNG </v>
          </cell>
        </row>
        <row r="229">
          <cell r="B229">
            <v>1219000334</v>
          </cell>
          <cell r="C229" t="str">
            <v>ULTRA -4.75</v>
          </cell>
          <cell r="D229" t="str">
            <v xml:space="preserve">BL &amp; AVNG </v>
          </cell>
        </row>
        <row r="230">
          <cell r="B230">
            <v>1219000335</v>
          </cell>
          <cell r="C230" t="str">
            <v>ULTRA -5.00</v>
          </cell>
          <cell r="D230" t="str">
            <v xml:space="preserve">BL &amp; AVNG </v>
          </cell>
        </row>
        <row r="231">
          <cell r="B231">
            <v>1219000336</v>
          </cell>
          <cell r="C231" t="str">
            <v>ULTRA -5.25</v>
          </cell>
          <cell r="D231" t="str">
            <v xml:space="preserve">BL &amp; AVNG </v>
          </cell>
        </row>
        <row r="232">
          <cell r="B232">
            <v>1219000337</v>
          </cell>
          <cell r="C232" t="str">
            <v>ULTRA -5.50</v>
          </cell>
          <cell r="D232" t="str">
            <v xml:space="preserve">BL &amp; AVNG </v>
          </cell>
        </row>
        <row r="233">
          <cell r="B233">
            <v>1219000338</v>
          </cell>
          <cell r="C233" t="str">
            <v>ULTRA -5.75</v>
          </cell>
          <cell r="D233" t="str">
            <v xml:space="preserve">BL &amp; AVNG </v>
          </cell>
        </row>
        <row r="234">
          <cell r="B234">
            <v>1219000339</v>
          </cell>
          <cell r="C234" t="str">
            <v>ULTRA -6.00</v>
          </cell>
          <cell r="D234" t="str">
            <v xml:space="preserve">BL &amp; AVNG </v>
          </cell>
        </row>
        <row r="235">
          <cell r="B235">
            <v>1219000340</v>
          </cell>
          <cell r="C235" t="str">
            <v>ULTRA -6.50</v>
          </cell>
          <cell r="D235" t="str">
            <v xml:space="preserve">BL &amp; AVNG </v>
          </cell>
        </row>
        <row r="236">
          <cell r="B236">
            <v>1219000341</v>
          </cell>
          <cell r="C236" t="str">
            <v>ULTRA -7.00</v>
          </cell>
          <cell r="D236" t="str">
            <v xml:space="preserve">BL &amp; AVNG </v>
          </cell>
        </row>
        <row r="237">
          <cell r="B237">
            <v>1219000342</v>
          </cell>
          <cell r="C237" t="str">
            <v>ULTRA -7.50</v>
          </cell>
          <cell r="D237" t="str">
            <v xml:space="preserve">BL &amp; AVNG </v>
          </cell>
        </row>
        <row r="238">
          <cell r="B238">
            <v>1219000343</v>
          </cell>
          <cell r="C238" t="str">
            <v>ULTRA -8.00</v>
          </cell>
          <cell r="D238" t="str">
            <v xml:space="preserve">BL &amp; AVNG </v>
          </cell>
        </row>
        <row r="239">
          <cell r="B239">
            <v>1219000344</v>
          </cell>
          <cell r="C239" t="str">
            <v>ULTRA -8.50</v>
          </cell>
          <cell r="D239" t="str">
            <v xml:space="preserve">BL &amp; AVNG </v>
          </cell>
        </row>
        <row r="240">
          <cell r="B240">
            <v>1219000345</v>
          </cell>
          <cell r="C240" t="str">
            <v>ULTRA -9.00</v>
          </cell>
          <cell r="D240" t="str">
            <v xml:space="preserve">BL &amp; AVNG </v>
          </cell>
        </row>
        <row r="241">
          <cell r="B241">
            <v>1219000346</v>
          </cell>
          <cell r="C241" t="str">
            <v>ULTRA -9.50</v>
          </cell>
          <cell r="D241" t="str">
            <v xml:space="preserve">BL &amp; AVNG </v>
          </cell>
        </row>
        <row r="242">
          <cell r="B242">
            <v>1219000347</v>
          </cell>
          <cell r="C242" t="str">
            <v>ULTRA -11.00</v>
          </cell>
          <cell r="D242" t="str">
            <v xml:space="preserve">BL &amp; AVNG </v>
          </cell>
        </row>
        <row r="243">
          <cell r="B243">
            <v>1219000348</v>
          </cell>
          <cell r="C243" t="str">
            <v>ULTRA -11.50</v>
          </cell>
          <cell r="D243" t="str">
            <v xml:space="preserve">BL &amp; AVNG </v>
          </cell>
        </row>
        <row r="244">
          <cell r="B244">
            <v>1219000350</v>
          </cell>
          <cell r="C244" t="str">
            <v>ULTRA -10.00</v>
          </cell>
          <cell r="D244" t="str">
            <v xml:space="preserve">BL &amp; AVNG </v>
          </cell>
        </row>
        <row r="245">
          <cell r="B245">
            <v>1219000390</v>
          </cell>
          <cell r="C245" t="str">
            <v>Soflens Natural Colors PLANO INDIA</v>
          </cell>
          <cell r="D245" t="str">
            <v xml:space="preserve">BL &amp; AVNG </v>
          </cell>
        </row>
        <row r="246">
          <cell r="B246">
            <v>1219000394</v>
          </cell>
          <cell r="C246" t="str">
            <v>Soflens Natural Colors -1.50 INDIA</v>
          </cell>
          <cell r="D246" t="str">
            <v xml:space="preserve">BL &amp; AVNG </v>
          </cell>
        </row>
        <row r="247">
          <cell r="B247">
            <v>1219000395</v>
          </cell>
          <cell r="C247" t="str">
            <v>Soflens Natural Colors -2.00 INDIA</v>
          </cell>
          <cell r="D247" t="str">
            <v xml:space="preserve">BL &amp; AVNG </v>
          </cell>
        </row>
        <row r="248">
          <cell r="B248">
            <v>1219000396</v>
          </cell>
          <cell r="C248" t="str">
            <v>Soflens Natural Colors -2.50 INDIA</v>
          </cell>
          <cell r="D248" t="str">
            <v xml:space="preserve">BL &amp; AVNG </v>
          </cell>
        </row>
        <row r="249">
          <cell r="B249">
            <v>1219000397</v>
          </cell>
          <cell r="C249" t="str">
            <v>Soflens Natural Colors -3.00 INDIA</v>
          </cell>
          <cell r="D249" t="str">
            <v xml:space="preserve">BL &amp; AVNG </v>
          </cell>
        </row>
        <row r="250">
          <cell r="B250">
            <v>1219000398</v>
          </cell>
          <cell r="C250" t="str">
            <v>Soflens Natural Colors -3.50 INDIA</v>
          </cell>
          <cell r="D250" t="str">
            <v xml:space="preserve">BL &amp; AVNG </v>
          </cell>
        </row>
        <row r="251">
          <cell r="B251">
            <v>1219000399</v>
          </cell>
          <cell r="C251" t="str">
            <v>Soflens Natural Colors -4.00 INDIA</v>
          </cell>
          <cell r="D251" t="str">
            <v xml:space="preserve">BL &amp; AVNG </v>
          </cell>
        </row>
        <row r="252">
          <cell r="B252">
            <v>1219000400</v>
          </cell>
          <cell r="C252" t="str">
            <v>Soflens Natural Colors -5.00 INDIA</v>
          </cell>
          <cell r="D252" t="str">
            <v xml:space="preserve">BL &amp; AVNG </v>
          </cell>
        </row>
        <row r="253">
          <cell r="B253">
            <v>1219000401</v>
          </cell>
          <cell r="C253" t="str">
            <v>Soflens Natural Colors -5.50 INDIA</v>
          </cell>
          <cell r="D253" t="str">
            <v xml:space="preserve">BL &amp; AVNG </v>
          </cell>
        </row>
        <row r="254">
          <cell r="B254">
            <v>1219000402</v>
          </cell>
          <cell r="C254" t="str">
            <v>Soflens Natural Colors -6.00 INDIA</v>
          </cell>
          <cell r="D254" t="str">
            <v xml:space="preserve">BL &amp; AVNG </v>
          </cell>
        </row>
        <row r="255">
          <cell r="B255">
            <v>1219000403</v>
          </cell>
          <cell r="C255" t="str">
            <v>Soflens Natural Colors PLANO JADE</v>
          </cell>
          <cell r="D255" t="str">
            <v xml:space="preserve">BL &amp; AVNG </v>
          </cell>
        </row>
        <row r="256">
          <cell r="B256">
            <v>1219000404</v>
          </cell>
          <cell r="C256" t="str">
            <v>Soflens Natural Colors -0.50 JADE</v>
          </cell>
          <cell r="D256" t="str">
            <v xml:space="preserve">BL &amp; AVNG </v>
          </cell>
        </row>
        <row r="257">
          <cell r="B257">
            <v>1219000405</v>
          </cell>
          <cell r="C257" t="str">
            <v>Soflens Natural Colors -1.00 JADE</v>
          </cell>
          <cell r="D257" t="str">
            <v xml:space="preserve">BL &amp; AVNG </v>
          </cell>
        </row>
        <row r="258">
          <cell r="B258">
            <v>1219000406</v>
          </cell>
          <cell r="C258" t="str">
            <v>Soflens Natural Colors -1.50 JADE</v>
          </cell>
          <cell r="D258" t="str">
            <v xml:space="preserve">BL &amp; AVNG </v>
          </cell>
        </row>
        <row r="259">
          <cell r="B259">
            <v>1219000407</v>
          </cell>
          <cell r="C259" t="str">
            <v>Soflens Natural Colors -2.00 JADE</v>
          </cell>
          <cell r="D259" t="str">
            <v xml:space="preserve">BL &amp; AVNG </v>
          </cell>
        </row>
        <row r="260">
          <cell r="B260">
            <v>1219000408</v>
          </cell>
          <cell r="C260" t="str">
            <v>Soflens Natural Colors -4.50 INDIA</v>
          </cell>
          <cell r="D260" t="str">
            <v xml:space="preserve">BL &amp; AVNG </v>
          </cell>
        </row>
        <row r="261">
          <cell r="B261">
            <v>1219000409</v>
          </cell>
          <cell r="C261" t="str">
            <v>Soflens Natural Colors -3.00 JADE</v>
          </cell>
          <cell r="D261" t="str">
            <v xml:space="preserve">BL &amp; AVNG </v>
          </cell>
        </row>
        <row r="262">
          <cell r="B262">
            <v>1219000410</v>
          </cell>
          <cell r="C262" t="str">
            <v>Soflens Natural Colors -3.50 JADE</v>
          </cell>
          <cell r="D262" t="str">
            <v xml:space="preserve">BL &amp; AVNG </v>
          </cell>
        </row>
        <row r="263">
          <cell r="B263">
            <v>1219000411</v>
          </cell>
          <cell r="C263" t="str">
            <v>Soflens Natural Colors -4.00 JADE</v>
          </cell>
          <cell r="D263" t="str">
            <v xml:space="preserve">BL &amp; AVNG </v>
          </cell>
        </row>
        <row r="264">
          <cell r="B264">
            <v>1219000412</v>
          </cell>
          <cell r="C264" t="str">
            <v>Soflens Natural Colors -4.50 JADE</v>
          </cell>
          <cell r="D264" t="str">
            <v xml:space="preserve">BL &amp; AVNG </v>
          </cell>
        </row>
        <row r="265">
          <cell r="B265">
            <v>1219000413</v>
          </cell>
          <cell r="C265" t="str">
            <v>Soflens Natural Colors -5.00 JADE</v>
          </cell>
          <cell r="D265" t="str">
            <v xml:space="preserve">BL &amp; AVNG </v>
          </cell>
        </row>
        <row r="266">
          <cell r="B266">
            <v>1219000414</v>
          </cell>
          <cell r="C266" t="str">
            <v>Soflens Natural Colors -5.50 JADE</v>
          </cell>
          <cell r="D266" t="str">
            <v xml:space="preserve">BL &amp; AVNG </v>
          </cell>
        </row>
        <row r="267">
          <cell r="B267">
            <v>1219000415</v>
          </cell>
          <cell r="C267" t="str">
            <v>Soflens Natural Colors -6.00 JADE</v>
          </cell>
          <cell r="D267" t="str">
            <v xml:space="preserve">BL &amp; AVNG </v>
          </cell>
        </row>
        <row r="268">
          <cell r="B268">
            <v>1219000416</v>
          </cell>
          <cell r="C268" t="str">
            <v>Soflens Natural Colors PLANO PACIFIC</v>
          </cell>
          <cell r="D268" t="str">
            <v xml:space="preserve">BL &amp; AVNG </v>
          </cell>
        </row>
        <row r="269">
          <cell r="B269">
            <v>1219000417</v>
          </cell>
          <cell r="C269" t="str">
            <v>Soflens Natural Colors -0.50 PACIFIC</v>
          </cell>
          <cell r="D269" t="str">
            <v xml:space="preserve">BL &amp; AVNG </v>
          </cell>
        </row>
        <row r="270">
          <cell r="B270">
            <v>1219000418</v>
          </cell>
          <cell r="C270" t="str">
            <v>Soflens Natural Colors -1.00 PACIFIC</v>
          </cell>
          <cell r="D270" t="str">
            <v xml:space="preserve">BL &amp; AVNG </v>
          </cell>
        </row>
        <row r="271">
          <cell r="B271">
            <v>1219000419</v>
          </cell>
          <cell r="C271" t="str">
            <v>Soflens Natural Colors -1.50 PACIFIC</v>
          </cell>
          <cell r="D271" t="str">
            <v xml:space="preserve">BL &amp; AVNG </v>
          </cell>
        </row>
        <row r="272">
          <cell r="B272">
            <v>1219000420</v>
          </cell>
          <cell r="C272" t="str">
            <v>Soflens Natural Colors -2.00 PACIFIC</v>
          </cell>
          <cell r="D272" t="str">
            <v xml:space="preserve">BL &amp; AVNG </v>
          </cell>
        </row>
        <row r="273">
          <cell r="B273">
            <v>1219000421</v>
          </cell>
          <cell r="C273" t="str">
            <v>Soflens Natural Colors -2.50 PACIFIC</v>
          </cell>
          <cell r="D273" t="str">
            <v xml:space="preserve">BL &amp; AVNG </v>
          </cell>
        </row>
        <row r="274">
          <cell r="B274">
            <v>1219000422</v>
          </cell>
          <cell r="C274" t="str">
            <v>Soflens Natural Colors -3.00 PACIFIC</v>
          </cell>
          <cell r="D274" t="str">
            <v xml:space="preserve">BL &amp; AVNG </v>
          </cell>
        </row>
        <row r="275">
          <cell r="B275">
            <v>1219000423</v>
          </cell>
          <cell r="C275" t="str">
            <v>Soflens Natural Colors -3.50 PACIFIC</v>
          </cell>
          <cell r="D275" t="str">
            <v xml:space="preserve">BL &amp; AVNG </v>
          </cell>
        </row>
        <row r="276">
          <cell r="B276">
            <v>1219000424</v>
          </cell>
          <cell r="C276" t="str">
            <v>Soflens Natural Colors -4.00 PACIFIC</v>
          </cell>
          <cell r="D276" t="str">
            <v xml:space="preserve">BL &amp; AVNG </v>
          </cell>
        </row>
        <row r="277">
          <cell r="B277">
            <v>1219000425</v>
          </cell>
          <cell r="C277" t="str">
            <v>Soflens Natural Colors -4.50 PACIFIC</v>
          </cell>
          <cell r="D277" t="str">
            <v xml:space="preserve">BL &amp; AVNG </v>
          </cell>
        </row>
        <row r="278">
          <cell r="B278">
            <v>1219000427</v>
          </cell>
          <cell r="C278" t="str">
            <v>Soflens Natural Colors -5.00 PACIFIC</v>
          </cell>
          <cell r="D278" t="str">
            <v xml:space="preserve">BL &amp; AVNG </v>
          </cell>
        </row>
        <row r="279">
          <cell r="B279">
            <v>1219000428</v>
          </cell>
          <cell r="C279" t="str">
            <v>Soflens Natural Colors -5.50 PACIFIC</v>
          </cell>
          <cell r="D279" t="str">
            <v xml:space="preserve">BL &amp; AVNG </v>
          </cell>
        </row>
        <row r="280">
          <cell r="B280">
            <v>1219000429</v>
          </cell>
          <cell r="C280" t="str">
            <v>Soflens Natural Colors -6.00 PACIFIC</v>
          </cell>
          <cell r="D280" t="str">
            <v xml:space="preserve">BL &amp; AVNG </v>
          </cell>
        </row>
        <row r="281">
          <cell r="B281">
            <v>1219000430</v>
          </cell>
          <cell r="C281" t="str">
            <v>Soflens Natural Colors PLANO PLATINUM</v>
          </cell>
          <cell r="D281" t="str">
            <v xml:space="preserve">BL &amp; AVNG </v>
          </cell>
        </row>
        <row r="282">
          <cell r="B282">
            <v>1219000431</v>
          </cell>
          <cell r="C282" t="str">
            <v>Soflens Natural Colors -0.50 PLATINUM</v>
          </cell>
          <cell r="D282" t="str">
            <v xml:space="preserve">BL &amp; AVNG </v>
          </cell>
        </row>
        <row r="283">
          <cell r="B283">
            <v>1219000432</v>
          </cell>
          <cell r="C283" t="str">
            <v>Soflens Natural Colors -1.00 PLATINUM</v>
          </cell>
          <cell r="D283" t="str">
            <v xml:space="preserve">BL &amp; AVNG </v>
          </cell>
        </row>
        <row r="284">
          <cell r="B284">
            <v>1219000433</v>
          </cell>
          <cell r="C284" t="str">
            <v>Soflens Natural Colors -1.50 PLATINUM</v>
          </cell>
          <cell r="D284" t="str">
            <v xml:space="preserve">BL &amp; AVNG </v>
          </cell>
        </row>
        <row r="285">
          <cell r="B285">
            <v>1219000434</v>
          </cell>
          <cell r="C285" t="str">
            <v>Soflens Natural Colors -2.00 PLATINUM</v>
          </cell>
          <cell r="D285" t="str">
            <v xml:space="preserve">BL &amp; AVNG </v>
          </cell>
        </row>
        <row r="286">
          <cell r="B286">
            <v>1219000435</v>
          </cell>
          <cell r="C286" t="str">
            <v>Soflens Natural Colors -3.00 PLATINUM</v>
          </cell>
          <cell r="D286" t="str">
            <v xml:space="preserve">BL &amp; AVNG </v>
          </cell>
        </row>
        <row r="287">
          <cell r="B287">
            <v>1219000436</v>
          </cell>
          <cell r="C287" t="str">
            <v>Soflens Natural Colors -3.50 PLATINUM</v>
          </cell>
          <cell r="D287" t="str">
            <v xml:space="preserve">BL &amp; AVNG </v>
          </cell>
        </row>
        <row r="288">
          <cell r="B288">
            <v>1219000437</v>
          </cell>
          <cell r="C288" t="str">
            <v>Soflens Natural Colors -4.00 PLATINUM</v>
          </cell>
          <cell r="D288" t="str">
            <v xml:space="preserve">BL &amp; AVNG </v>
          </cell>
        </row>
        <row r="289">
          <cell r="B289">
            <v>1219000438</v>
          </cell>
          <cell r="C289" t="str">
            <v>Soflens Natural Colors -4.50 PLATINUM</v>
          </cell>
          <cell r="D289" t="str">
            <v xml:space="preserve">BL &amp; AVNG </v>
          </cell>
        </row>
        <row r="290">
          <cell r="B290">
            <v>1219000439</v>
          </cell>
          <cell r="C290" t="str">
            <v>Soflens Natural Colors -5.00 PLATINUM</v>
          </cell>
          <cell r="D290" t="str">
            <v xml:space="preserve">BL &amp; AVNG </v>
          </cell>
        </row>
        <row r="291">
          <cell r="B291">
            <v>1219000440</v>
          </cell>
          <cell r="C291" t="str">
            <v>Soflens Natural Colors -5.50 PLATINUM</v>
          </cell>
          <cell r="D291" t="str">
            <v xml:space="preserve">BL &amp; AVNG </v>
          </cell>
        </row>
        <row r="292">
          <cell r="B292">
            <v>1219000441</v>
          </cell>
          <cell r="C292" t="str">
            <v>Soflens Natural Colors -6.00 PLATINUM</v>
          </cell>
          <cell r="D292" t="str">
            <v xml:space="preserve">BL &amp; AVNG </v>
          </cell>
        </row>
        <row r="293">
          <cell r="B293">
            <v>1219000442</v>
          </cell>
          <cell r="C293" t="str">
            <v>Soflens Natural Colors PLANO INDIGO</v>
          </cell>
          <cell r="D293" t="str">
            <v xml:space="preserve">BL &amp; AVNG </v>
          </cell>
        </row>
        <row r="294">
          <cell r="B294">
            <v>1219000444</v>
          </cell>
          <cell r="C294" t="str">
            <v>Soflens Natural Colors -0.50 INDIGO</v>
          </cell>
          <cell r="D294" t="str">
            <v xml:space="preserve">BL &amp; AVNG </v>
          </cell>
        </row>
        <row r="295">
          <cell r="B295">
            <v>1219000445</v>
          </cell>
          <cell r="C295" t="str">
            <v>Soflens Natural Colors -1.00 INDIGO</v>
          </cell>
          <cell r="D295" t="str">
            <v xml:space="preserve">BL &amp; AVNG </v>
          </cell>
        </row>
        <row r="296">
          <cell r="B296">
            <v>1219000446</v>
          </cell>
          <cell r="C296" t="str">
            <v>Soflens Natural Colors -2.00 INDIGO</v>
          </cell>
          <cell r="D296" t="str">
            <v xml:space="preserve">BL &amp; AVNG </v>
          </cell>
        </row>
        <row r="297">
          <cell r="B297">
            <v>1219000447</v>
          </cell>
          <cell r="C297" t="str">
            <v>Soflens Natural Colors -2.50 INDIGO</v>
          </cell>
          <cell r="D297" t="str">
            <v xml:space="preserve">BL &amp; AVNG </v>
          </cell>
        </row>
        <row r="298">
          <cell r="B298">
            <v>1219000448</v>
          </cell>
          <cell r="C298" t="str">
            <v>Soflens Natural Colors -3.00 INDIGO</v>
          </cell>
          <cell r="D298" t="str">
            <v xml:space="preserve">BL &amp; AVNG </v>
          </cell>
        </row>
        <row r="299">
          <cell r="B299">
            <v>1219000449</v>
          </cell>
          <cell r="C299" t="str">
            <v>Soflens Natural Colors -3.50 INDIGO</v>
          </cell>
          <cell r="D299" t="str">
            <v xml:space="preserve">BL &amp; AVNG </v>
          </cell>
        </row>
        <row r="300">
          <cell r="B300">
            <v>1219000450</v>
          </cell>
          <cell r="C300" t="str">
            <v>Soflens Natural Colors -4.00 INDIGO</v>
          </cell>
          <cell r="D300" t="str">
            <v xml:space="preserve">BL &amp; AVNG </v>
          </cell>
        </row>
        <row r="301">
          <cell r="B301">
            <v>1219000451</v>
          </cell>
          <cell r="C301" t="str">
            <v>Soflens Natural Colors -4.50 INDIGO</v>
          </cell>
          <cell r="D301" t="str">
            <v xml:space="preserve">BL &amp; AVNG </v>
          </cell>
        </row>
        <row r="302">
          <cell r="B302">
            <v>1219000452</v>
          </cell>
          <cell r="C302" t="str">
            <v>Soflens Natural Colors -5.00 INDIGO</v>
          </cell>
          <cell r="D302" t="str">
            <v xml:space="preserve">BL &amp; AVNG </v>
          </cell>
        </row>
        <row r="303">
          <cell r="B303">
            <v>1219000453</v>
          </cell>
          <cell r="C303" t="str">
            <v>Soflens Natural Colors -5.50 INDIGO</v>
          </cell>
          <cell r="D303" t="str">
            <v xml:space="preserve">BL &amp; AVNG </v>
          </cell>
        </row>
        <row r="304">
          <cell r="B304">
            <v>1219000454</v>
          </cell>
          <cell r="C304" t="str">
            <v>Soflens Natural Colors -6.00 INDIGO</v>
          </cell>
          <cell r="D304" t="str">
            <v xml:space="preserve">BL &amp; AVNG </v>
          </cell>
        </row>
        <row r="305">
          <cell r="B305">
            <v>1219000455</v>
          </cell>
          <cell r="C305" t="str">
            <v>Soflens Natural Colors -2.50 PLATINUM</v>
          </cell>
          <cell r="D305" t="str">
            <v xml:space="preserve">BL &amp; AVNG </v>
          </cell>
        </row>
        <row r="306">
          <cell r="B306">
            <v>1219000457</v>
          </cell>
          <cell r="C306" t="str">
            <v>Soflens Natural Colors -0.50 INDIA</v>
          </cell>
          <cell r="D306" t="str">
            <v xml:space="preserve">BL &amp; AVNG </v>
          </cell>
        </row>
        <row r="307">
          <cell r="B307">
            <v>1219000458</v>
          </cell>
          <cell r="C307" t="str">
            <v>Soflens Natural Colors -1.00 INDIA</v>
          </cell>
          <cell r="D307" t="str">
            <v xml:space="preserve">BL &amp; AVNG </v>
          </cell>
        </row>
        <row r="308">
          <cell r="B308">
            <v>1219000460</v>
          </cell>
          <cell r="C308" t="str">
            <v>Soflens Natural Colors -2.50 JADE</v>
          </cell>
          <cell r="D308" t="str">
            <v xml:space="preserve">BL &amp; AVNG </v>
          </cell>
        </row>
        <row r="309">
          <cell r="B309">
            <v>1219000462</v>
          </cell>
          <cell r="C309" t="str">
            <v>Soflens 59 -0.50</v>
          </cell>
          <cell r="D309" t="str">
            <v xml:space="preserve">BL &amp; AVNG </v>
          </cell>
        </row>
        <row r="310">
          <cell r="B310">
            <v>1219000463</v>
          </cell>
          <cell r="C310" t="str">
            <v>Soflens 59 -0.75</v>
          </cell>
          <cell r="D310" t="str">
            <v xml:space="preserve">BL &amp; AVNG </v>
          </cell>
        </row>
        <row r="311">
          <cell r="B311">
            <v>1219000464</v>
          </cell>
          <cell r="C311" t="str">
            <v>ULTRA -12.00</v>
          </cell>
          <cell r="D311" t="str">
            <v xml:space="preserve">BL &amp; AVNG </v>
          </cell>
        </row>
        <row r="312">
          <cell r="B312">
            <v>1219000465</v>
          </cell>
          <cell r="C312" t="str">
            <v>Soflens Natural Colors -1.50 INDIGO</v>
          </cell>
          <cell r="D312" t="str">
            <v xml:space="preserve">BL &amp; AVNG </v>
          </cell>
        </row>
        <row r="313">
          <cell r="B313">
            <v>1219000472</v>
          </cell>
          <cell r="C313" t="str">
            <v>Soflens Daily Dispisible -2.25</v>
          </cell>
          <cell r="D313" t="str">
            <v xml:space="preserve">BL &amp; AVNG </v>
          </cell>
        </row>
        <row r="314">
          <cell r="B314">
            <v>1219000473</v>
          </cell>
          <cell r="C314" t="str">
            <v>Soflens Daily Dispisible -3.25</v>
          </cell>
          <cell r="D314" t="str">
            <v xml:space="preserve">BL &amp; AVNG </v>
          </cell>
        </row>
        <row r="315">
          <cell r="B315">
            <v>1219000476</v>
          </cell>
          <cell r="C315" t="str">
            <v>Soflens Daily Dispisible -4.50</v>
          </cell>
          <cell r="D315" t="str">
            <v xml:space="preserve">BL &amp; AVNG </v>
          </cell>
        </row>
        <row r="316">
          <cell r="B316">
            <v>1219000477</v>
          </cell>
          <cell r="C316" t="str">
            <v>Soflens Daily Dispisible -4.75</v>
          </cell>
          <cell r="D316" t="str">
            <v xml:space="preserve">BL &amp; AVNG </v>
          </cell>
        </row>
        <row r="317">
          <cell r="B317">
            <v>1219000478</v>
          </cell>
          <cell r="C317" t="str">
            <v>Soflens Daily Dispisible -4.75</v>
          </cell>
          <cell r="D317" t="str">
            <v xml:space="preserve">BL &amp; AVNG </v>
          </cell>
        </row>
        <row r="318">
          <cell r="B318">
            <v>1219000480</v>
          </cell>
          <cell r="C318" t="str">
            <v>Soflens Daily Dispisible -5.75</v>
          </cell>
          <cell r="D318" t="str">
            <v xml:space="preserve">BL &amp; AVNG </v>
          </cell>
        </row>
        <row r="319">
          <cell r="B319">
            <v>1219000481</v>
          </cell>
          <cell r="C319" t="str">
            <v>Soflens Daily Dispisible -5.75</v>
          </cell>
          <cell r="D319" t="str">
            <v xml:space="preserve">BL &amp; AVNG </v>
          </cell>
        </row>
        <row r="320">
          <cell r="B320">
            <v>1219000482</v>
          </cell>
          <cell r="C320" t="str">
            <v>Soflens Daily Dispisible -6.00</v>
          </cell>
          <cell r="D320" t="str">
            <v xml:space="preserve">BL &amp; AVNG </v>
          </cell>
        </row>
        <row r="321">
          <cell r="B321">
            <v>1219000494</v>
          </cell>
          <cell r="C321" t="str">
            <v>Soflens Natural Colors -2.50 JADE</v>
          </cell>
          <cell r="D321" t="str">
            <v xml:space="preserve">BL &amp; AVNG </v>
          </cell>
        </row>
        <row r="322">
          <cell r="B322">
            <v>1219000499</v>
          </cell>
          <cell r="C322" t="str">
            <v>Soflens Natural Colors -4.50 PACIFIC</v>
          </cell>
          <cell r="D322" t="str">
            <v xml:space="preserve">BL &amp; AVNG </v>
          </cell>
        </row>
        <row r="323">
          <cell r="B323">
            <v>1219000506</v>
          </cell>
          <cell r="C323" t="str">
            <v>Prepup Wheat Milk Honey-S</v>
          </cell>
          <cell r="D323" t="str">
            <v>MJN &amp; CHG</v>
          </cell>
        </row>
        <row r="324">
          <cell r="B324">
            <v>1219000507</v>
          </cell>
          <cell r="C324" t="str">
            <v>Prepup Rice Milk-S</v>
          </cell>
          <cell r="D324" t="str">
            <v>MJN &amp; CHG</v>
          </cell>
        </row>
        <row r="325">
          <cell r="B325">
            <v>1219000508</v>
          </cell>
          <cell r="C325" t="str">
            <v>Prepup Wheat Milk - S</v>
          </cell>
          <cell r="D325" t="str">
            <v>MJN &amp; CHG</v>
          </cell>
        </row>
        <row r="326">
          <cell r="B326">
            <v>1219000509</v>
          </cell>
          <cell r="C326" t="str">
            <v>WEGO Blood Bag-Single CPDA-1 -16G Needle</v>
          </cell>
          <cell r="D326" t="str">
            <v>MDD</v>
          </cell>
        </row>
        <row r="327">
          <cell r="B327">
            <v>1219000510</v>
          </cell>
          <cell r="C327" t="str">
            <v>WEGO Blood Bag-Double CPDA-1 -16G Needle</v>
          </cell>
          <cell r="D327" t="str">
            <v>MDD</v>
          </cell>
        </row>
        <row r="328">
          <cell r="B328">
            <v>1219000511</v>
          </cell>
          <cell r="C328" t="str">
            <v>WEGO Blood Bag-Triple CPDA-1 -16G Needle</v>
          </cell>
          <cell r="D328" t="str">
            <v>MDD</v>
          </cell>
        </row>
        <row r="329">
          <cell r="B329">
            <v>1219000512</v>
          </cell>
          <cell r="C329" t="str">
            <v>WEGO Blood Bag-Quad CPDA-1 -16G Needle</v>
          </cell>
          <cell r="D329" t="str">
            <v>MDD</v>
          </cell>
        </row>
        <row r="330">
          <cell r="B330">
            <v>1219000513</v>
          </cell>
          <cell r="C330" t="str">
            <v>Essential Plus</v>
          </cell>
          <cell r="D330" t="str">
            <v>BP STAL-THUND</v>
          </cell>
        </row>
        <row r="331">
          <cell r="B331">
            <v>1219000516</v>
          </cell>
          <cell r="C331" t="str">
            <v>Teruflex Triple Blood Bag 450ml</v>
          </cell>
          <cell r="D331" t="str">
            <v>MDD</v>
          </cell>
        </row>
        <row r="332">
          <cell r="B332">
            <v>1219000518</v>
          </cell>
          <cell r="C332" t="str">
            <v>Enfgrw-3 800g w-t bg</v>
          </cell>
          <cell r="D332" t="str">
            <v>MJN &amp; CHG</v>
          </cell>
        </row>
        <row r="333">
          <cell r="B333">
            <v>1219000520</v>
          </cell>
          <cell r="C333" t="str">
            <v>Enfgrw-4 800g w-t bg</v>
          </cell>
          <cell r="D333" t="str">
            <v>MJN &amp; CHG</v>
          </cell>
        </row>
        <row r="334">
          <cell r="B334">
            <v>1219000522</v>
          </cell>
          <cell r="C334" t="str">
            <v>Esential-Plus Samples</v>
          </cell>
          <cell r="D334" t="str">
            <v>BP STAL-THUND</v>
          </cell>
        </row>
        <row r="335">
          <cell r="B335">
            <v>1219000524</v>
          </cell>
          <cell r="C335" t="str">
            <v>Medeco Insulin Syringe- Single- 8mm</v>
          </cell>
          <cell r="D335" t="str">
            <v>HC</v>
          </cell>
        </row>
        <row r="336">
          <cell r="B336">
            <v>1219000525</v>
          </cell>
          <cell r="C336" t="str">
            <v>2/3 ML SYRINGE- 23 G X1.25</v>
          </cell>
          <cell r="D336" t="str">
            <v>CC</v>
          </cell>
        </row>
        <row r="337">
          <cell r="B337">
            <v>1219000526</v>
          </cell>
          <cell r="C337" t="str">
            <v>5 ML SYRINGE- 23 G X1.25</v>
          </cell>
          <cell r="D337" t="str">
            <v>CC</v>
          </cell>
        </row>
        <row r="338">
          <cell r="B338">
            <v>1219000527</v>
          </cell>
          <cell r="C338" t="str">
            <v>Medeco Standard Syringe 2/3ml 23G x 1''</v>
          </cell>
          <cell r="D338" t="str">
            <v>CC</v>
          </cell>
        </row>
        <row r="339">
          <cell r="B339">
            <v>1219000528</v>
          </cell>
          <cell r="C339" t="str">
            <v>Medeco Standard Syringe 5 ml 23G x 1''</v>
          </cell>
          <cell r="D339" t="str">
            <v>CC</v>
          </cell>
        </row>
        <row r="340">
          <cell r="B340">
            <v>1219000529</v>
          </cell>
          <cell r="C340" t="str">
            <v>Medeco AD Syringe 0.5ml 24G 1'</v>
          </cell>
          <cell r="D340" t="str">
            <v>CC</v>
          </cell>
        </row>
        <row r="341">
          <cell r="B341">
            <v>1219000531</v>
          </cell>
          <cell r="C341" t="str">
            <v>Medeco AD Syringe 0.5ml 24G 3/4</v>
          </cell>
          <cell r="D341" t="str">
            <v>CC</v>
          </cell>
        </row>
        <row r="342">
          <cell r="B342">
            <v>1219000532</v>
          </cell>
          <cell r="C342" t="str">
            <v>MEDECO Re Use Prevention Syringe 2/3ml</v>
          </cell>
          <cell r="D342" t="str">
            <v>CC</v>
          </cell>
        </row>
        <row r="343">
          <cell r="B343">
            <v>1219000533</v>
          </cell>
          <cell r="C343" t="str">
            <v>MEDECO Re Use Prevention Syringe 5ml</v>
          </cell>
          <cell r="D343" t="str">
            <v>CC</v>
          </cell>
        </row>
        <row r="344">
          <cell r="B344">
            <v>1219000534</v>
          </cell>
          <cell r="C344" t="str">
            <v>BCG 0.05 3/8 26G</v>
          </cell>
          <cell r="D344" t="str">
            <v>CC</v>
          </cell>
        </row>
        <row r="345">
          <cell r="B345">
            <v>1219000535</v>
          </cell>
          <cell r="C345" t="str">
            <v>Hollow Fiber Dialyzer (low flux, 1.4㎡)</v>
          </cell>
          <cell r="D345" t="str">
            <v>CC</v>
          </cell>
        </row>
        <row r="346">
          <cell r="B346">
            <v>1219000536</v>
          </cell>
          <cell r="C346" t="str">
            <v>Hollow Fiber Dialyzer (low flux, 1.6㎡)</v>
          </cell>
          <cell r="D346" t="str">
            <v>CC</v>
          </cell>
        </row>
        <row r="347">
          <cell r="B347">
            <v>1219000537</v>
          </cell>
          <cell r="C347" t="str">
            <v>Hollow Fiber Dialyzer (low flux, 1.8㎡)</v>
          </cell>
          <cell r="D347" t="str">
            <v>CC</v>
          </cell>
        </row>
        <row r="348">
          <cell r="B348">
            <v>1219000538</v>
          </cell>
          <cell r="C348" t="str">
            <v>Hollow Fiber Dialyzer (low flux, 2.0㎡)</v>
          </cell>
          <cell r="D348" t="str">
            <v>CC</v>
          </cell>
        </row>
        <row r="349">
          <cell r="B349">
            <v>1219000539</v>
          </cell>
          <cell r="C349" t="str">
            <v>Blood Tubing</v>
          </cell>
          <cell r="D349" t="str">
            <v>CC</v>
          </cell>
        </row>
        <row r="350">
          <cell r="B350">
            <v>1219000540</v>
          </cell>
          <cell r="C350" t="str">
            <v>Fistula Needle Pair, BE, FW 15G</v>
          </cell>
          <cell r="D350" t="str">
            <v>CC</v>
          </cell>
        </row>
        <row r="351">
          <cell r="B351">
            <v>1219000541</v>
          </cell>
          <cell r="C351" t="str">
            <v>Fistula Needle Pair, BE, FW 16G</v>
          </cell>
          <cell r="D351" t="str">
            <v>CC</v>
          </cell>
        </row>
        <row r="352">
          <cell r="B352">
            <v>1219000696</v>
          </cell>
          <cell r="C352" t="str">
            <v>V-18 LF Hollow Fiber Dialyzer (1.8M2)</v>
          </cell>
          <cell r="D352" t="str">
            <v>CC</v>
          </cell>
        </row>
        <row r="353">
          <cell r="B353">
            <v>1219000543</v>
          </cell>
          <cell r="C353" t="str">
            <v>PROTIEX ORIGINAL 6</v>
          </cell>
          <cell r="D353" t="str">
            <v>HC</v>
          </cell>
        </row>
        <row r="354">
          <cell r="B354">
            <v>1219000544</v>
          </cell>
          <cell r="C354" t="str">
            <v>PROTIEX SURGICAL GLOVES-POWDERED 6.5</v>
          </cell>
          <cell r="D354" t="str">
            <v>HC</v>
          </cell>
        </row>
        <row r="355">
          <cell r="B355">
            <v>1219000545</v>
          </cell>
          <cell r="C355" t="str">
            <v>PROTIEX SURGICAL GLOVES-POWDERED 7.0</v>
          </cell>
          <cell r="D355" t="str">
            <v>HC</v>
          </cell>
        </row>
        <row r="356">
          <cell r="B356">
            <v>1219000546</v>
          </cell>
          <cell r="C356" t="str">
            <v>PROTIEX SURGICAL GLOVES-POWDERED 7.5</v>
          </cell>
          <cell r="D356" t="str">
            <v>HC</v>
          </cell>
        </row>
        <row r="357">
          <cell r="B357">
            <v>1219000547</v>
          </cell>
          <cell r="C357" t="str">
            <v>PROTIEX SURGICAL GLOVES-POWDERED 8.0</v>
          </cell>
          <cell r="D357" t="str">
            <v>HC</v>
          </cell>
        </row>
        <row r="358">
          <cell r="B358">
            <v>1219000548</v>
          </cell>
          <cell r="C358" t="str">
            <v>PROTIEX SURGICAL GLOVES-POWDERED 8.5</v>
          </cell>
          <cell r="D358" t="str">
            <v>HC</v>
          </cell>
        </row>
        <row r="359">
          <cell r="B359">
            <v>1219000549</v>
          </cell>
          <cell r="C359" t="str">
            <v>PROTIEX SURGICAL GLOVES- POWDER FREE 6.0</v>
          </cell>
          <cell r="D359" t="str">
            <v>HC</v>
          </cell>
        </row>
        <row r="360">
          <cell r="B360">
            <v>1219000550</v>
          </cell>
          <cell r="C360" t="str">
            <v>PROTIEX SURGICAL GLOVES- POWDER FREE 6.5</v>
          </cell>
          <cell r="D360" t="str">
            <v>HC</v>
          </cell>
        </row>
        <row r="361">
          <cell r="B361">
            <v>1219000551</v>
          </cell>
          <cell r="C361" t="str">
            <v>PROTIEX SURGICAL GLOVES- POWDER FREE 7.0</v>
          </cell>
          <cell r="D361" t="str">
            <v>HC</v>
          </cell>
        </row>
        <row r="362">
          <cell r="B362">
            <v>1219000552</v>
          </cell>
          <cell r="C362" t="str">
            <v>PROTIEX SURGICAL GLOVES- POWDER FREE 7.5</v>
          </cell>
          <cell r="D362" t="str">
            <v>HC</v>
          </cell>
        </row>
        <row r="363">
          <cell r="B363">
            <v>1219000553</v>
          </cell>
          <cell r="C363" t="str">
            <v>PROTIEX SURGICAL GLOVES- POWDER FREE 8.0</v>
          </cell>
          <cell r="D363" t="str">
            <v>HC</v>
          </cell>
        </row>
        <row r="364">
          <cell r="B364">
            <v>1219000554</v>
          </cell>
          <cell r="C364" t="str">
            <v>PROTIEX SURGICAL GLOVES- POWDER FREE 8.5</v>
          </cell>
          <cell r="D364" t="str">
            <v>HC</v>
          </cell>
        </row>
        <row r="365">
          <cell r="B365">
            <v>1219000555</v>
          </cell>
          <cell r="C365" t="str">
            <v>PROTIEX EXAMI GLOVES-POWDERED (MEDIUM)</v>
          </cell>
          <cell r="D365" t="str">
            <v>HC</v>
          </cell>
        </row>
        <row r="366">
          <cell r="B366">
            <v>1219000556</v>
          </cell>
          <cell r="C366" t="str">
            <v>PROTIEX EXAMI GLOVES-POWDERED (SMALL)</v>
          </cell>
          <cell r="D366" t="str">
            <v>HC</v>
          </cell>
        </row>
        <row r="367">
          <cell r="B367">
            <v>1219000558</v>
          </cell>
          <cell r="C367" t="str">
            <v>PROTIEX EXAMI GLOVES-POWDERED (LARGE)</v>
          </cell>
          <cell r="D367" t="str">
            <v>HC</v>
          </cell>
        </row>
        <row r="368">
          <cell r="B368">
            <v>1219000560</v>
          </cell>
          <cell r="C368" t="str">
            <v>PROTiEX Examination Gloves-Powder Free-S</v>
          </cell>
          <cell r="D368" t="str">
            <v>HC</v>
          </cell>
        </row>
        <row r="369">
          <cell r="B369">
            <v>1219000561</v>
          </cell>
          <cell r="C369" t="str">
            <v>PROTiEX Examination Gloves-Powder Free-M</v>
          </cell>
          <cell r="D369" t="str">
            <v>HC</v>
          </cell>
        </row>
        <row r="370">
          <cell r="B370">
            <v>1219000562</v>
          </cell>
          <cell r="C370" t="str">
            <v>PROTiEX Examination Gloves-Powder Free-L</v>
          </cell>
          <cell r="D370" t="str">
            <v>HC</v>
          </cell>
        </row>
        <row r="371">
          <cell r="B371">
            <v>1219000563</v>
          </cell>
          <cell r="C371" t="str">
            <v>PROTiEX Examination Gloves-Small*</v>
          </cell>
          <cell r="D371" t="str">
            <v>HC</v>
          </cell>
        </row>
        <row r="372">
          <cell r="B372">
            <v>1219000564</v>
          </cell>
          <cell r="C372" t="str">
            <v>PROTiEX Examination Gloves-Medium*</v>
          </cell>
          <cell r="D372" t="str">
            <v>HC</v>
          </cell>
        </row>
        <row r="373">
          <cell r="B373">
            <v>1219000565</v>
          </cell>
          <cell r="C373" t="str">
            <v>PROTiEX Examination Gloves-Large*</v>
          </cell>
          <cell r="D373" t="str">
            <v>HC</v>
          </cell>
        </row>
        <row r="374">
          <cell r="B374">
            <v>1219000566</v>
          </cell>
          <cell r="C374" t="str">
            <v>Protiex Nitrile Exam Gloves PF (Large)</v>
          </cell>
          <cell r="D374" t="str">
            <v>HC</v>
          </cell>
        </row>
        <row r="375">
          <cell r="B375">
            <v>1219000567</v>
          </cell>
          <cell r="C375" t="str">
            <v>Protiex Nitrile Exam Gloves PF (Medium)</v>
          </cell>
          <cell r="D375" t="str">
            <v>HC</v>
          </cell>
        </row>
        <row r="376">
          <cell r="B376">
            <v>1219000568</v>
          </cell>
          <cell r="C376" t="str">
            <v>Protiex Nitrile Exam Gloves PF (Small)</v>
          </cell>
          <cell r="D376" t="str">
            <v>HC</v>
          </cell>
        </row>
        <row r="377">
          <cell r="B377">
            <v>1219000569</v>
          </cell>
          <cell r="C377" t="str">
            <v>Medeco IV Cannula-14G (without stopper)</v>
          </cell>
          <cell r="D377" t="str">
            <v>HC</v>
          </cell>
        </row>
        <row r="378">
          <cell r="B378">
            <v>1219000570</v>
          </cell>
          <cell r="C378" t="str">
            <v>Medeco IV CANNULA 16G</v>
          </cell>
          <cell r="D378" t="str">
            <v>HC</v>
          </cell>
        </row>
        <row r="379">
          <cell r="B379">
            <v>1219000571</v>
          </cell>
          <cell r="C379" t="str">
            <v>Medeco IV CANNULA 18G</v>
          </cell>
          <cell r="D379" t="str">
            <v>HC</v>
          </cell>
        </row>
        <row r="380">
          <cell r="B380">
            <v>1219000572</v>
          </cell>
          <cell r="C380" t="str">
            <v>Medeco IV CANNULA 20G</v>
          </cell>
          <cell r="D380" t="str">
            <v>HC</v>
          </cell>
        </row>
        <row r="381">
          <cell r="B381">
            <v>1219000573</v>
          </cell>
          <cell r="C381" t="str">
            <v>Medeco IV CANNULA 22G</v>
          </cell>
          <cell r="D381" t="str">
            <v>HC</v>
          </cell>
        </row>
        <row r="382">
          <cell r="B382">
            <v>1219000574</v>
          </cell>
          <cell r="C382" t="str">
            <v>Medeco IV CANNULA 24G</v>
          </cell>
          <cell r="D382" t="str">
            <v>HC</v>
          </cell>
        </row>
        <row r="383">
          <cell r="B383">
            <v>1219000575</v>
          </cell>
          <cell r="C383" t="str">
            <v>Medeco I.V. Cannula with Stopper-14G</v>
          </cell>
          <cell r="D383" t="str">
            <v>HC</v>
          </cell>
        </row>
        <row r="384">
          <cell r="B384">
            <v>1219000576</v>
          </cell>
          <cell r="C384" t="str">
            <v>Medeco I.V. Cannula with Stopper-16G</v>
          </cell>
          <cell r="D384" t="str">
            <v>HC</v>
          </cell>
        </row>
        <row r="385">
          <cell r="B385">
            <v>1219000577</v>
          </cell>
          <cell r="C385" t="str">
            <v>Medeco I.V. Cannula with Stopper-18G</v>
          </cell>
          <cell r="D385" t="str">
            <v>HC</v>
          </cell>
        </row>
        <row r="386">
          <cell r="B386">
            <v>1219000578</v>
          </cell>
          <cell r="C386" t="str">
            <v>Medeco I.V. Cannula with Stopper-20G</v>
          </cell>
          <cell r="D386" t="str">
            <v>HC</v>
          </cell>
        </row>
        <row r="387">
          <cell r="B387">
            <v>1219000579</v>
          </cell>
          <cell r="C387" t="str">
            <v>Medeco I.V. Cannula with Stopper-22G</v>
          </cell>
          <cell r="D387" t="str">
            <v>HC</v>
          </cell>
        </row>
        <row r="388">
          <cell r="B388">
            <v>1219000580</v>
          </cell>
          <cell r="C388" t="str">
            <v>Medeco I.V. Cannula with Stopper-24G</v>
          </cell>
          <cell r="D388" t="str">
            <v>HC</v>
          </cell>
        </row>
        <row r="389">
          <cell r="B389">
            <v>1219000581</v>
          </cell>
          <cell r="C389" t="str">
            <v>Medeco I.V. Cannula with Stopper-26G</v>
          </cell>
          <cell r="D389" t="str">
            <v>HC</v>
          </cell>
        </row>
        <row r="390">
          <cell r="B390">
            <v>1219000583</v>
          </cell>
          <cell r="C390" t="str">
            <v>Medeset IV Set without Y-Port-150cm</v>
          </cell>
          <cell r="D390" t="str">
            <v>HC</v>
          </cell>
        </row>
        <row r="391">
          <cell r="B391">
            <v>1219000584</v>
          </cell>
          <cell r="C391" t="str">
            <v>Medeset IV Set with Y-Port-150cm</v>
          </cell>
          <cell r="D391" t="str">
            <v>HC</v>
          </cell>
        </row>
        <row r="392">
          <cell r="B392">
            <v>1219000585</v>
          </cell>
          <cell r="C392" t="str">
            <v>Medeset IV Set-PE Basic-120cm</v>
          </cell>
          <cell r="D392" t="str">
            <v>HC</v>
          </cell>
        </row>
        <row r="393">
          <cell r="B393">
            <v>1219000586</v>
          </cell>
          <cell r="C393" t="str">
            <v>Searle Flo IV Set-PE Basic-120cm</v>
          </cell>
          <cell r="D393" t="str">
            <v>HC</v>
          </cell>
        </row>
        <row r="394">
          <cell r="B394">
            <v>1219000587</v>
          </cell>
          <cell r="C394" t="str">
            <v>Canderel 18mg 100 Tab</v>
          </cell>
          <cell r="D394" t="str">
            <v>CND</v>
          </cell>
        </row>
        <row r="395">
          <cell r="B395">
            <v>1219000588</v>
          </cell>
          <cell r="C395" t="str">
            <v>Canderel 18mg 200 Tab</v>
          </cell>
          <cell r="D395" t="str">
            <v>CND</v>
          </cell>
        </row>
        <row r="396">
          <cell r="B396">
            <v>1219000589</v>
          </cell>
          <cell r="C396" t="str">
            <v>Canderel 36mg Sachet 50</v>
          </cell>
          <cell r="D396" t="str">
            <v>CND</v>
          </cell>
        </row>
        <row r="397">
          <cell r="B397">
            <v>1219000590</v>
          </cell>
          <cell r="C397" t="str">
            <v>Canderel Jar 125g</v>
          </cell>
          <cell r="D397" t="str">
            <v>CND</v>
          </cell>
        </row>
        <row r="398">
          <cell r="B398">
            <v>1219000591</v>
          </cell>
          <cell r="C398" t="str">
            <v>Canderel Pouch 100g</v>
          </cell>
          <cell r="D398" t="str">
            <v>CND</v>
          </cell>
        </row>
        <row r="399">
          <cell r="B399">
            <v>1219000592</v>
          </cell>
          <cell r="C399" t="str">
            <v>Canderel Healthy Sugar Sticks 50</v>
          </cell>
          <cell r="D399" t="str">
            <v>CND</v>
          </cell>
        </row>
        <row r="400">
          <cell r="B400">
            <v>1219000593</v>
          </cell>
          <cell r="C400" t="str">
            <v>SVW-Lemon-500ml</v>
          </cell>
          <cell r="D400" t="str">
            <v>CND</v>
          </cell>
        </row>
        <row r="401">
          <cell r="B401">
            <v>1219000594</v>
          </cell>
          <cell r="C401" t="str">
            <v>SVW-Lyechee-500ml</v>
          </cell>
          <cell r="D401" t="str">
            <v>CND</v>
          </cell>
        </row>
        <row r="402">
          <cell r="B402">
            <v>1219000595</v>
          </cell>
          <cell r="C402" t="str">
            <v>SVW-Orange-500ml</v>
          </cell>
          <cell r="D402" t="str">
            <v>CND</v>
          </cell>
        </row>
        <row r="403">
          <cell r="B403">
            <v>1219000596</v>
          </cell>
          <cell r="C403" t="str">
            <v>SVW-Lemon-300ml</v>
          </cell>
          <cell r="D403" t="str">
            <v>CND</v>
          </cell>
        </row>
        <row r="404">
          <cell r="B404">
            <v>1219000597</v>
          </cell>
          <cell r="C404" t="str">
            <v>SVW-Lyechee-300ml</v>
          </cell>
          <cell r="D404" t="str">
            <v>CND</v>
          </cell>
        </row>
        <row r="405">
          <cell r="B405">
            <v>1219000598</v>
          </cell>
          <cell r="C405" t="str">
            <v>SVW-Orange-300ml</v>
          </cell>
          <cell r="D405" t="str">
            <v>CND</v>
          </cell>
        </row>
        <row r="406">
          <cell r="B406">
            <v>1219000600</v>
          </cell>
          <cell r="C406" t="str">
            <v>WEGO Infusion Set</v>
          </cell>
          <cell r="D406" t="str">
            <v>MDD</v>
          </cell>
        </row>
        <row r="407">
          <cell r="B407">
            <v>1219000602</v>
          </cell>
          <cell r="C407" t="str">
            <v>Canderel Jar 125g Promo Pack</v>
          </cell>
          <cell r="D407" t="str">
            <v>Cnd</v>
          </cell>
        </row>
        <row r="408">
          <cell r="B408">
            <v>1219000603</v>
          </cell>
          <cell r="C408" t="str">
            <v>Protiex Surgical Gloves-Powered 6.0</v>
          </cell>
          <cell r="D408" t="str">
            <v>HC</v>
          </cell>
        </row>
        <row r="409">
          <cell r="B409">
            <v>1219000606</v>
          </cell>
          <cell r="C409" t="str">
            <v>Canderel 25 Tab Sample Pack</v>
          </cell>
          <cell r="D409" t="str">
            <v>CND</v>
          </cell>
        </row>
        <row r="410">
          <cell r="B410">
            <v>1219000608</v>
          </cell>
          <cell r="C410" t="str">
            <v>Vita Active 20's</v>
          </cell>
          <cell r="D410" t="str">
            <v>BP STAL-THUND</v>
          </cell>
        </row>
        <row r="411">
          <cell r="B411">
            <v>1219000609</v>
          </cell>
          <cell r="C411" t="str">
            <v>Vita Active 2's - Sample Pack</v>
          </cell>
          <cell r="D411" t="str">
            <v>BP STAL-THUND</v>
          </cell>
        </row>
        <row r="412">
          <cell r="B412">
            <v>1219000542</v>
          </cell>
          <cell r="C412" t="str">
            <v>Fistula Needle Pair, BE, FW 17G</v>
          </cell>
          <cell r="D412" t="str">
            <v>CC</v>
          </cell>
        </row>
        <row r="413">
          <cell r="B413">
            <v>1219000611</v>
          </cell>
          <cell r="C413" t="str">
            <v>Blood Tubing 8mm</v>
          </cell>
          <cell r="D413" t="str">
            <v>CC</v>
          </cell>
        </row>
        <row r="414">
          <cell r="B414">
            <v>1219000614</v>
          </cell>
          <cell r="C414" t="str">
            <v>Prepup Super Offer Rise Milk&amp;Wht Milk</v>
          </cell>
          <cell r="D414" t="str">
            <v>MJN &amp; CHG</v>
          </cell>
        </row>
        <row r="415">
          <cell r="B415">
            <v>1219000615</v>
          </cell>
          <cell r="C415" t="str">
            <v>Prepup Super Offer wht milk&amp;wht Mlk Hony</v>
          </cell>
          <cell r="D415" t="str">
            <v>MJN &amp; CHG</v>
          </cell>
        </row>
        <row r="416">
          <cell r="B416">
            <v>1219000616</v>
          </cell>
          <cell r="C416" t="str">
            <v>Prepup Super Offer wht mlk hony&amp;wht Milk</v>
          </cell>
          <cell r="D416" t="str">
            <v>MJN &amp; CHG</v>
          </cell>
        </row>
        <row r="417">
          <cell r="B417">
            <v>1219000622</v>
          </cell>
          <cell r="C417" t="str">
            <v>REMAC Tablet</v>
          </cell>
          <cell r="D417" t="str">
            <v xml:space="preserve">BL &amp; AVNG </v>
          </cell>
        </row>
        <row r="418">
          <cell r="B418">
            <v>1219000623</v>
          </cell>
          <cell r="C418" t="str">
            <v>REMAC Tab Sample</v>
          </cell>
          <cell r="D418" t="str">
            <v xml:space="preserve">BL &amp; AVNG </v>
          </cell>
        </row>
        <row r="419">
          <cell r="B419">
            <v>1219000624</v>
          </cell>
          <cell r="C419" t="str">
            <v>REMAC Syrup</v>
          </cell>
          <cell r="D419" t="str">
            <v xml:space="preserve">BL &amp; AVNG </v>
          </cell>
        </row>
        <row r="420">
          <cell r="B420">
            <v>1219000625</v>
          </cell>
          <cell r="C420" t="str">
            <v>REMAC Syrup Sample</v>
          </cell>
          <cell r="D420" t="str">
            <v xml:space="preserve">BL &amp; AVNG </v>
          </cell>
        </row>
        <row r="421">
          <cell r="B421">
            <v>1219000626</v>
          </cell>
          <cell r="C421" t="str">
            <v>REMAC Plus Tablet</v>
          </cell>
          <cell r="D421" t="str">
            <v xml:space="preserve">BL &amp; AVNG </v>
          </cell>
        </row>
        <row r="422">
          <cell r="B422">
            <v>1219000627</v>
          </cell>
          <cell r="C422" t="str">
            <v>REMAC Plus Tab Smple</v>
          </cell>
          <cell r="D422" t="str">
            <v xml:space="preserve">BL &amp; AVNG </v>
          </cell>
        </row>
        <row r="423">
          <cell r="B423">
            <v>1219000629</v>
          </cell>
          <cell r="C423" t="str">
            <v>Boost Beneprotein</v>
          </cell>
          <cell r="D423" t="str">
            <v>NHS</v>
          </cell>
        </row>
        <row r="424">
          <cell r="B424">
            <v>1219000630</v>
          </cell>
          <cell r="C424" t="str">
            <v>Renu MultiPlus 240ml</v>
          </cell>
          <cell r="D424" t="str">
            <v xml:space="preserve">BL &amp; AVNG </v>
          </cell>
        </row>
        <row r="425">
          <cell r="B425">
            <v>1219000631</v>
          </cell>
          <cell r="C425" t="str">
            <v>Renu Rewetting Drops 8ml</v>
          </cell>
          <cell r="D425" t="str">
            <v xml:space="preserve">BL &amp; AVNG </v>
          </cell>
        </row>
        <row r="426">
          <cell r="B426">
            <v>1219000632</v>
          </cell>
          <cell r="C426" t="str">
            <v>Biotrue Multi-Purpose Solution 120ml</v>
          </cell>
          <cell r="D426" t="str">
            <v xml:space="preserve">BL &amp; AVNG </v>
          </cell>
        </row>
        <row r="427">
          <cell r="B427">
            <v>1219000633</v>
          </cell>
          <cell r="C427" t="str">
            <v>Canderel Jar CP-125gm</v>
          </cell>
          <cell r="D427" t="str">
            <v>CND</v>
          </cell>
        </row>
        <row r="428">
          <cell r="B428">
            <v>1219000634</v>
          </cell>
          <cell r="C428" t="str">
            <v>EnfagrowA+3 400g Ofr</v>
          </cell>
          <cell r="D428" t="str">
            <v>MJN &amp; CHG</v>
          </cell>
        </row>
        <row r="429">
          <cell r="B429">
            <v>1219000635</v>
          </cell>
          <cell r="C429" t="str">
            <v>EnfagrowA+3 800g Ofr</v>
          </cell>
          <cell r="D429" t="str">
            <v>MJN &amp; CHG</v>
          </cell>
        </row>
        <row r="430">
          <cell r="B430">
            <v>1219000638</v>
          </cell>
          <cell r="C430" t="str">
            <v>Cnd Jar 105g-New Pak</v>
          </cell>
          <cell r="D430" t="str">
            <v>CND</v>
          </cell>
        </row>
        <row r="431">
          <cell r="B431">
            <v>1219000639</v>
          </cell>
          <cell r="C431" t="str">
            <v>Cnd Jar 60g-New Pak</v>
          </cell>
          <cell r="D431" t="str">
            <v>CND</v>
          </cell>
        </row>
        <row r="432">
          <cell r="B432">
            <v>1219000640</v>
          </cell>
          <cell r="C432" t="str">
            <v>Cnd Pch 80g-New Pak</v>
          </cell>
          <cell r="D432" t="str">
            <v>CND</v>
          </cell>
        </row>
        <row r="433">
          <cell r="B433">
            <v>1219000652</v>
          </cell>
          <cell r="C433" t="str">
            <v>Protiex Face Mask</v>
          </cell>
          <cell r="D433" t="str">
            <v>CC</v>
          </cell>
        </row>
        <row r="434">
          <cell r="B434">
            <v>1219000656</v>
          </cell>
          <cell r="C434" t="str">
            <v>Prepup Super Offer wht mlk hony&amp;rice mlk</v>
          </cell>
          <cell r="D434" t="str">
            <v>MJN &amp; CHG</v>
          </cell>
        </row>
        <row r="435">
          <cell r="B435">
            <v>1219000657</v>
          </cell>
          <cell r="C435" t="str">
            <v>Prepup Super Offer wht mlk &amp;rice mlk</v>
          </cell>
          <cell r="D435" t="str">
            <v>MJN &amp; CHG</v>
          </cell>
        </row>
        <row r="436">
          <cell r="B436">
            <v>1219000658</v>
          </cell>
          <cell r="C436" t="str">
            <v>WEGO Blood Bag Triple with Safty Acesory</v>
          </cell>
          <cell r="D436" t="str">
            <v>MDD</v>
          </cell>
        </row>
        <row r="437">
          <cell r="B437">
            <v>1219000660</v>
          </cell>
          <cell r="C437" t="str">
            <v>WEGO Blood Transfusion Set 18G*11/2 Nedl</v>
          </cell>
          <cell r="D437" t="str">
            <v>MDD</v>
          </cell>
        </row>
        <row r="438">
          <cell r="B438">
            <v>1219000662</v>
          </cell>
          <cell r="C438" t="str">
            <v>Hollow Fiber Dialyzer (B-14P)</v>
          </cell>
          <cell r="D438" t="str">
            <v>CC</v>
          </cell>
        </row>
        <row r="439">
          <cell r="B439">
            <v>1219000610</v>
          </cell>
          <cell r="C439" t="str">
            <v>Blood Tubing 6.3mm</v>
          </cell>
          <cell r="D439" t="str">
            <v>CC</v>
          </cell>
        </row>
        <row r="440">
          <cell r="B440">
            <v>1219000663</v>
          </cell>
          <cell r="C440" t="str">
            <v>Hollow Fiber Dialyzer (B-16P)</v>
          </cell>
          <cell r="D440" t="str">
            <v>CC</v>
          </cell>
        </row>
        <row r="441">
          <cell r="B441">
            <v>1219000665</v>
          </cell>
          <cell r="C441" t="str">
            <v>Hollow Fiber Dialyzer (B-20P)</v>
          </cell>
          <cell r="D441" t="str">
            <v>CC</v>
          </cell>
        </row>
        <row r="442">
          <cell r="B442">
            <v>1219000666</v>
          </cell>
          <cell r="C442" t="str">
            <v>IV Canula Plastic Pack(with sticker)-18G</v>
          </cell>
          <cell r="D442" t="str">
            <v>HC</v>
          </cell>
        </row>
        <row r="443">
          <cell r="B443">
            <v>1219000667</v>
          </cell>
          <cell r="C443" t="str">
            <v>IV Canula Plastic Pack(with sticker)-20G</v>
          </cell>
          <cell r="D443" t="str">
            <v>HC</v>
          </cell>
        </row>
        <row r="444">
          <cell r="B444">
            <v>1219000668</v>
          </cell>
          <cell r="C444" t="str">
            <v>IV Canula Plastic Pack(with sticker)-22G</v>
          </cell>
          <cell r="D444" t="str">
            <v>HC</v>
          </cell>
        </row>
        <row r="445">
          <cell r="B445">
            <v>1219000669</v>
          </cell>
          <cell r="C445" t="str">
            <v>IV Canula Plastic Pack(with sticker)-24G</v>
          </cell>
          <cell r="D445" t="str">
            <v>HC</v>
          </cell>
        </row>
        <row r="446">
          <cell r="B446">
            <v>1219000670</v>
          </cell>
          <cell r="C446" t="str">
            <v>Medeco IV CANNULA 26G</v>
          </cell>
          <cell r="D446" t="str">
            <v>HC</v>
          </cell>
        </row>
        <row r="447">
          <cell r="B447">
            <v>1219000672</v>
          </cell>
          <cell r="C447" t="str">
            <v>Double Lumen Cath ter Kit 11.5Fr,15cm,ST</v>
          </cell>
          <cell r="D447" t="str">
            <v>CC</v>
          </cell>
        </row>
        <row r="448">
          <cell r="B448">
            <v>1219000673</v>
          </cell>
          <cell r="C448" t="str">
            <v>Double Lumen Cathe ter Kit 12Fr,15cm,ST</v>
          </cell>
          <cell r="D448" t="str">
            <v>CC</v>
          </cell>
        </row>
        <row r="449">
          <cell r="B449">
            <v>1219000674</v>
          </cell>
          <cell r="C449" t="str">
            <v>Double Lumen Cathe ter Kit 12Fr,16cm,ST</v>
          </cell>
          <cell r="D449" t="str">
            <v>CC</v>
          </cell>
        </row>
        <row r="450">
          <cell r="B450">
            <v>1219000675</v>
          </cell>
          <cell r="C450" t="str">
            <v>Double Lumen Cathe ter Kit 8Fr,11cm,ST</v>
          </cell>
          <cell r="D450" t="str">
            <v>CC</v>
          </cell>
        </row>
        <row r="451">
          <cell r="B451">
            <v>1219000676</v>
          </cell>
          <cell r="C451" t="str">
            <v>Double Lumen Cathe ter Kit 12Fr,15cm,CV</v>
          </cell>
          <cell r="D451" t="str">
            <v>CC</v>
          </cell>
        </row>
        <row r="452">
          <cell r="B452">
            <v>1219000677</v>
          </cell>
          <cell r="C452" t="str">
            <v>Double Lumen Cathe ter Kit 12Fr,16cm,CV</v>
          </cell>
          <cell r="D452" t="str">
            <v>CC</v>
          </cell>
        </row>
        <row r="453">
          <cell r="B453">
            <v>1219000678</v>
          </cell>
          <cell r="C453" t="str">
            <v>Immune Boosting Bundle</v>
          </cell>
          <cell r="D453" t="str">
            <v>NHS</v>
          </cell>
        </row>
        <row r="454">
          <cell r="B454">
            <v>1219000679</v>
          </cell>
          <cell r="C454" t="str">
            <v>Clariza 250mg 10's</v>
          </cell>
          <cell r="D454" t="str">
            <v>BP STAL-THUND</v>
          </cell>
        </row>
        <row r="455">
          <cell r="B455">
            <v>1219000680</v>
          </cell>
          <cell r="C455" t="str">
            <v>Clariza 500mg 10's</v>
          </cell>
          <cell r="D455" t="str">
            <v>BP STAL-THUND</v>
          </cell>
        </row>
        <row r="456">
          <cell r="B456">
            <v>1219000681</v>
          </cell>
          <cell r="C456" t="str">
            <v>Eprazin 20mg   14's</v>
          </cell>
          <cell r="D456" t="str">
            <v>BP STAL-THUND</v>
          </cell>
        </row>
        <row r="457">
          <cell r="B457">
            <v>1219000682</v>
          </cell>
          <cell r="C457" t="str">
            <v>Eprazin 40mg 14's</v>
          </cell>
          <cell r="D457" t="str">
            <v>BP STAL-THUND</v>
          </cell>
        </row>
        <row r="458">
          <cell r="B458">
            <v>1219000683</v>
          </cell>
          <cell r="C458" t="str">
            <v>Diazinc 20mg/5ml(60ml)</v>
          </cell>
          <cell r="D458" t="str">
            <v>Dominator</v>
          </cell>
        </row>
        <row r="459">
          <cell r="B459">
            <v>1219000684</v>
          </cell>
          <cell r="C459" t="str">
            <v>M-Floxin 400mg 5's</v>
          </cell>
          <cell r="D459" t="str">
            <v>BP STAL-THUND</v>
          </cell>
        </row>
        <row r="460">
          <cell r="B460">
            <v>1219000687</v>
          </cell>
          <cell r="C460" t="str">
            <v>Oral Impact Powder</v>
          </cell>
          <cell r="D460" t="str">
            <v>NHS</v>
          </cell>
        </row>
        <row r="461">
          <cell r="B461">
            <v>1219000689</v>
          </cell>
          <cell r="C461" t="str">
            <v>SearleFlo Y-Port 150cm with Airvent</v>
          </cell>
          <cell r="D461" t="str">
            <v>HC</v>
          </cell>
        </row>
        <row r="462">
          <cell r="B462">
            <v>1219000690</v>
          </cell>
          <cell r="C462" t="str">
            <v>Medeco Pen Type IV Cannula 18G</v>
          </cell>
          <cell r="D462" t="str">
            <v>HC</v>
          </cell>
        </row>
        <row r="463">
          <cell r="B463">
            <v>1219000691</v>
          </cell>
          <cell r="C463" t="str">
            <v>Medeco Pen Type IV Cannula 20G</v>
          </cell>
          <cell r="D463" t="str">
            <v>HC</v>
          </cell>
        </row>
        <row r="464">
          <cell r="B464">
            <v>1219000692</v>
          </cell>
          <cell r="C464" t="str">
            <v>Medeco Pen Type IV Cannula 22G</v>
          </cell>
          <cell r="D464" t="str">
            <v>HC</v>
          </cell>
        </row>
        <row r="465">
          <cell r="B465">
            <v>1219000693</v>
          </cell>
          <cell r="C465" t="str">
            <v>Medeco Pen Type IV Cannula 24G</v>
          </cell>
          <cell r="D465" t="str">
            <v>HC</v>
          </cell>
        </row>
        <row r="466">
          <cell r="B466">
            <v>1219000694</v>
          </cell>
          <cell r="C466" t="str">
            <v>V-14 LF Hollow Fiber Dialyzer (1.4M2)</v>
          </cell>
          <cell r="D466" t="str">
            <v>CC</v>
          </cell>
        </row>
        <row r="467">
          <cell r="B467">
            <v>1219000695</v>
          </cell>
          <cell r="C467" t="str">
            <v>V-16 LF Hollow Fiber Dialyzer (1.6M2)</v>
          </cell>
          <cell r="D467" t="str">
            <v>CC</v>
          </cell>
        </row>
        <row r="468">
          <cell r="B468">
            <v>1219000700</v>
          </cell>
          <cell r="C468" t="str">
            <v>DIA 17L Hollow Fiber Dialyzer (1.8M2)</v>
          </cell>
          <cell r="D468" t="str">
            <v>CC</v>
          </cell>
        </row>
        <row r="469">
          <cell r="B469">
            <v>1219000697</v>
          </cell>
          <cell r="C469" t="str">
            <v>V-20 LF Hollow Fiber Dialyzer (2.0M2)</v>
          </cell>
          <cell r="D469" t="str">
            <v>CC</v>
          </cell>
        </row>
        <row r="470">
          <cell r="B470">
            <v>1219000698</v>
          </cell>
          <cell r="C470" t="str">
            <v>DIA 13L Hollow Fiber Dialyzer (1.4M2)</v>
          </cell>
          <cell r="D470" t="str">
            <v>CC</v>
          </cell>
        </row>
        <row r="471">
          <cell r="B471">
            <v>1219000699</v>
          </cell>
          <cell r="C471" t="str">
            <v>DIA 15L Hollow Fiber Dialyzer (1.6M2)</v>
          </cell>
          <cell r="D471" t="str">
            <v>CC</v>
          </cell>
        </row>
        <row r="472">
          <cell r="B472">
            <v>1219000664</v>
          </cell>
          <cell r="C472" t="str">
            <v>Hollow Fiber Dialyzer (B-18P)</v>
          </cell>
          <cell r="D472" t="str">
            <v>CC</v>
          </cell>
        </row>
        <row r="473">
          <cell r="B473">
            <v>1219000701</v>
          </cell>
          <cell r="C473" t="str">
            <v>DIA 19L Hollow Fiber Dialyzer (2.0M2)</v>
          </cell>
          <cell r="D473" t="str">
            <v>CC</v>
          </cell>
        </row>
        <row r="474">
          <cell r="B474">
            <v>1219000714</v>
          </cell>
          <cell r="C474" t="str">
            <v>seapride 50mg Tablet 10’s</v>
          </cell>
          <cell r="D474" t="str">
            <v>BP STAL-THUND</v>
          </cell>
        </row>
        <row r="475">
          <cell r="B475">
            <v>1219000717</v>
          </cell>
          <cell r="C475" t="str">
            <v>Artelac Advanced UD 30 SX</v>
          </cell>
          <cell r="D475" t="str">
            <v xml:space="preserve">BL &amp; AVNG </v>
          </cell>
        </row>
        <row r="476">
          <cell r="B476">
            <v>1219000707</v>
          </cell>
          <cell r="C476" t="str">
            <v>Protiex Lemon 60ml</v>
          </cell>
          <cell r="D476" t="str">
            <v>Cnd</v>
          </cell>
        </row>
        <row r="477">
          <cell r="B477">
            <v>1219000708</v>
          </cell>
          <cell r="C477" t="str">
            <v>Protiex Aqua 60ml</v>
          </cell>
          <cell r="D477" t="str">
            <v>Cnd</v>
          </cell>
        </row>
        <row r="478">
          <cell r="B478">
            <v>1013000741</v>
          </cell>
          <cell r="C478" t="str">
            <v>LUXAVE 3.5 G SYP 120ML (PAK)</v>
          </cell>
          <cell r="D478" t="str">
            <v>BP STAL-THUND</v>
          </cell>
        </row>
        <row r="479">
          <cell r="B479">
            <v>1219000111</v>
          </cell>
          <cell r="C479" t="str">
            <v>Enfagrow A+4 Gift Pack 800gm</v>
          </cell>
          <cell r="D479" t="str">
            <v>MJN &amp; CHG</v>
          </cell>
        </row>
        <row r="480">
          <cell r="B480">
            <v>1219000180</v>
          </cell>
          <cell r="C480" t="str">
            <v>Enfagrow A+3 400g shrink wrap w 2 sachet</v>
          </cell>
          <cell r="D480" t="str">
            <v>MJN &amp; CHG</v>
          </cell>
        </row>
        <row r="481">
          <cell r="B481">
            <v>1219000179</v>
          </cell>
          <cell r="C481" t="str">
            <v>Enfamama A+ Van shrink wrap w 2 sachet</v>
          </cell>
          <cell r="D481" t="str">
            <v>BP STAL-THUND</v>
          </cell>
        </row>
        <row r="482">
          <cell r="B482">
            <v>1219000029</v>
          </cell>
          <cell r="C482" t="str">
            <v>Sustain Maximum Weight Van 1lb</v>
          </cell>
          <cell r="D482" t="str">
            <v>BP STAL-THUND</v>
          </cell>
        </row>
        <row r="483">
          <cell r="B483">
            <v>1219000605</v>
          </cell>
          <cell r="C483" t="str">
            <v>Blood Tubing 8mm</v>
          </cell>
          <cell r="D483" t="str">
            <v>CC</v>
          </cell>
        </row>
        <row r="484">
          <cell r="B484">
            <v>1219000604</v>
          </cell>
          <cell r="C484" t="str">
            <v>Blood Tubing 6.3mm</v>
          </cell>
          <cell r="D484" t="str">
            <v>CC</v>
          </cell>
        </row>
        <row r="485">
          <cell r="B485">
            <v>1219000702</v>
          </cell>
          <cell r="C485" t="str">
            <v>Equal 100 Tabs-Sucralose</v>
          </cell>
          <cell r="D485" t="str">
            <v>CNd</v>
          </cell>
        </row>
        <row r="486">
          <cell r="B486">
            <v>1219000703</v>
          </cell>
          <cell r="C486" t="str">
            <v>Equal 60g Jar-Sucralose</v>
          </cell>
          <cell r="D486" t="str">
            <v>CNd</v>
          </cell>
        </row>
        <row r="487">
          <cell r="B487">
            <v>1219000704</v>
          </cell>
          <cell r="C487" t="str">
            <v>Equal 50 Sachet-Sucralose</v>
          </cell>
          <cell r="D487" t="str">
            <v>CNd</v>
          </cell>
        </row>
        <row r="488">
          <cell r="B488">
            <v>1013000818</v>
          </cell>
          <cell r="C488" t="str">
            <v>EQUAL STEVIA TAB  100'S (PAK)</v>
          </cell>
          <cell r="D488" t="str">
            <v>CNd</v>
          </cell>
        </row>
        <row r="489">
          <cell r="B489">
            <v>1013000822</v>
          </cell>
          <cell r="C489" t="str">
            <v>EQUAL STEVIA 60 GM JAR (PAK)</v>
          </cell>
          <cell r="D489" t="str">
            <v>CNd</v>
          </cell>
        </row>
        <row r="490">
          <cell r="B490">
            <v>1013000820</v>
          </cell>
          <cell r="C490" t="str">
            <v>EQUAL STEVIA SACHET  50'S (PAK)</v>
          </cell>
          <cell r="D490" t="str">
            <v>CNd</v>
          </cell>
        </row>
        <row r="491">
          <cell r="B491">
            <v>1013000200</v>
          </cell>
          <cell r="C491" t="str">
            <v>DIAZINC 20MG/5ML ORAL SOL PS 30ML (PAK)</v>
          </cell>
          <cell r="D491" t="str">
            <v>Dominator</v>
          </cell>
        </row>
        <row r="492">
          <cell r="B492">
            <v>1013000688</v>
          </cell>
          <cell r="C492" t="str">
            <v>CLARIZA 250MG TAB 2'S P/S (PAK)</v>
          </cell>
          <cell r="D492" t="str">
            <v>BP STAL-THUND</v>
          </cell>
        </row>
        <row r="493">
          <cell r="B493">
            <v>1013000690</v>
          </cell>
          <cell r="C493" t="str">
            <v>CLARIZA 500MG TAB 2'S P/S (PAK)</v>
          </cell>
          <cell r="D493" t="str">
            <v>BP STAL-THUND</v>
          </cell>
        </row>
        <row r="494">
          <cell r="B494">
            <v>1013000692</v>
          </cell>
          <cell r="C494" t="str">
            <v>M-FLOXIN 400MG TAB 1'S P/S (PAK)</v>
          </cell>
          <cell r="D494" t="str">
            <v>BP STAL-THUND</v>
          </cell>
        </row>
        <row r="495">
          <cell r="B495">
            <v>1013000742</v>
          </cell>
          <cell r="C495" t="str">
            <v>LUXAVE 3.5 G SYP 30ML P/S (PAK)</v>
          </cell>
          <cell r="D495" t="str">
            <v>BP STAL-THUND</v>
          </cell>
        </row>
        <row r="496">
          <cell r="B496">
            <v>1013000803</v>
          </cell>
          <cell r="C496" t="str">
            <v>DEFERA 250MG TAB 28's (PAK)</v>
          </cell>
          <cell r="D496" t="str">
            <v>MDD</v>
          </cell>
        </row>
        <row r="497">
          <cell r="B497">
            <v>1013000804</v>
          </cell>
          <cell r="C497" t="str">
            <v>DEFERA 500MG TAB 28'S (PAK)</v>
          </cell>
          <cell r="D497" t="str">
            <v>MDD</v>
          </cell>
        </row>
        <row r="498">
          <cell r="B498">
            <v>1013000848</v>
          </cell>
          <cell r="C498" t="str">
            <v>CONIFA 5MG TAB 10's (PAK)</v>
          </cell>
          <cell r="D498" t="str">
            <v>BP STAL-THUND</v>
          </cell>
        </row>
        <row r="499">
          <cell r="B499">
            <v>1013000849</v>
          </cell>
          <cell r="C499" t="str">
            <v>CONIFA 10 MG TAB 10'S( PAK)</v>
          </cell>
          <cell r="D499" t="str">
            <v>BP STAL-THUND</v>
          </cell>
        </row>
        <row r="500">
          <cell r="B500">
            <v>1013000850</v>
          </cell>
          <cell r="C500" t="str">
            <v>CONIFA 5 MG TAB PS  2'S (PAK)</v>
          </cell>
          <cell r="D500" t="str">
            <v>BP STAL-THUND</v>
          </cell>
        </row>
        <row r="501">
          <cell r="B501">
            <v>1013000851</v>
          </cell>
          <cell r="C501" t="str">
            <v>CONIFA 10MG TAB 2's PS (PAK)</v>
          </cell>
          <cell r="D501" t="str">
            <v>BP STAL-THUND</v>
          </cell>
        </row>
        <row r="502">
          <cell r="B502">
            <v>1019001788</v>
          </cell>
          <cell r="C502" t="str">
            <v>EPRAZIN 20MG CAP PS 2'S(PAK)</v>
          </cell>
          <cell r="D502" t="str">
            <v>BP STAL-THUND</v>
          </cell>
        </row>
        <row r="503">
          <cell r="B503">
            <v>1019001789</v>
          </cell>
          <cell r="C503" t="str">
            <v>EPRAZIN 40MG CAP PS 2'S(PAK)</v>
          </cell>
          <cell r="D503" t="str">
            <v>BP STAL-THUND</v>
          </cell>
        </row>
        <row r="504">
          <cell r="B504">
            <v>1019001843</v>
          </cell>
          <cell r="C504" t="str">
            <v>OPERMAX CAP 40'S  (PAK)</v>
          </cell>
          <cell r="D504" t="str">
            <v>BP STAL-THUND</v>
          </cell>
        </row>
        <row r="505">
          <cell r="B505">
            <v>1219000523</v>
          </cell>
          <cell r="C505" t="str">
            <v>Medeco Insulin Syringe- Single- 9.5mm</v>
          </cell>
          <cell r="D505" t="str">
            <v>CC</v>
          </cell>
        </row>
        <row r="506">
          <cell r="B506">
            <v>1219000706</v>
          </cell>
          <cell r="C506" t="str">
            <v>Oral Impact Powder-Sample</v>
          </cell>
          <cell r="D506" t="str">
            <v>NHS</v>
          </cell>
        </row>
        <row r="507">
          <cell r="B507">
            <v>1219000715</v>
          </cell>
          <cell r="C507" t="str">
            <v>Seapride 50mg Tablet 2’s</v>
          </cell>
          <cell r="D507" t="str">
            <v>BP STAL-THUND</v>
          </cell>
        </row>
        <row r="508">
          <cell r="B508">
            <v>1219000716</v>
          </cell>
          <cell r="C508" t="str">
            <v>Cranberry Ready to Drink 250ml</v>
          </cell>
          <cell r="D508" t="str">
            <v>BP STAL-THUND</v>
          </cell>
        </row>
        <row r="509">
          <cell r="B509">
            <v>1219000718</v>
          </cell>
          <cell r="C509" t="str">
            <v>MP Artelac Night Time Gel</v>
          </cell>
          <cell r="D509" t="str">
            <v xml:space="preserve">BL &amp; AVNG </v>
          </cell>
        </row>
        <row r="510">
          <cell r="B510">
            <v>1219000724</v>
          </cell>
          <cell r="C510" t="str">
            <v>Artelac Advanced 10 Pack Samples</v>
          </cell>
          <cell r="D510" t="str">
            <v xml:space="preserve">BL &amp; AVNG </v>
          </cell>
        </row>
        <row r="511">
          <cell r="B511">
            <v>1013000685</v>
          </cell>
          <cell r="C511" t="str">
            <v>URISOLIN 0.4 MG  CAP 10'S (PAK)</v>
          </cell>
          <cell r="D511" t="str">
            <v>BP STAL-THUND</v>
          </cell>
        </row>
        <row r="512">
          <cell r="B512">
            <v>1219000731</v>
          </cell>
          <cell r="C512" t="str">
            <v>Prptiex Aqua Gel - 250ml</v>
          </cell>
          <cell r="D512" t="str">
            <v>Cnd</v>
          </cell>
        </row>
        <row r="513">
          <cell r="B513">
            <v>1019001856</v>
          </cell>
          <cell r="C513" t="str">
            <v>HYPLAR 20MG SYRUP 120ML(PAK)</v>
          </cell>
          <cell r="D513" t="str">
            <v>BP STAL-THUND</v>
          </cell>
        </row>
        <row r="514">
          <cell r="B514">
            <v>1013000695</v>
          </cell>
          <cell r="C514" t="str">
            <v>PANZIUM 20MG CAPSULE 14'S (PAK)</v>
          </cell>
          <cell r="D514" t="str">
            <v>BP STAL-THUND</v>
          </cell>
        </row>
        <row r="515">
          <cell r="B515">
            <v>1013000696</v>
          </cell>
          <cell r="C515" t="str">
            <v>PANZIUM 40MG CAPSULE 14'S (PAK)</v>
          </cell>
          <cell r="D515" t="str">
            <v>BP STAL-THUND</v>
          </cell>
        </row>
        <row r="516">
          <cell r="B516">
            <v>1013000697</v>
          </cell>
          <cell r="C516" t="str">
            <v>PANZIUM 40MG CAPSULE 2'S P/S (PAK)</v>
          </cell>
          <cell r="D516" t="str">
            <v>BP STAL-THUND</v>
          </cell>
        </row>
        <row r="517">
          <cell r="B517">
            <v>1013000743</v>
          </cell>
          <cell r="C517" t="str">
            <v>PANZIUM 20 MG CAP 2'S P/S (PAK)</v>
          </cell>
          <cell r="D517" t="str">
            <v>BP STAL-THUND</v>
          </cell>
        </row>
        <row r="518">
          <cell r="B518">
            <v>1219000742</v>
          </cell>
          <cell r="C518" t="str">
            <v>BTL 6.3mm</v>
          </cell>
          <cell r="D518" t="str">
            <v>CC</v>
          </cell>
        </row>
        <row r="519">
          <cell r="B519">
            <v>1219000754</v>
          </cell>
          <cell r="C519" t="str">
            <v>Searle Dialyzer Low Flux 1.8</v>
          </cell>
          <cell r="D519" t="str">
            <v>CC</v>
          </cell>
        </row>
        <row r="520">
          <cell r="B520">
            <v>1219000753</v>
          </cell>
          <cell r="C520" t="str">
            <v>Searle Dialyzer Low Flux 1.6</v>
          </cell>
          <cell r="D520" t="str">
            <v>CC</v>
          </cell>
        </row>
        <row r="521">
          <cell r="B521">
            <v>1219000746</v>
          </cell>
          <cell r="C521" t="str">
            <v>Enfagrow A+ 3 Trade Offer 800gm Bowl Set</v>
          </cell>
          <cell r="D521" t="str">
            <v>MJN &amp; CHG</v>
          </cell>
        </row>
        <row r="522">
          <cell r="B522">
            <v>1219000747</v>
          </cell>
          <cell r="C522" t="str">
            <v>Enfagrow A+ 4 Trade Offer 400gm milk Cnt</v>
          </cell>
          <cell r="D522" t="str">
            <v>MJN &amp; CHG</v>
          </cell>
        </row>
        <row r="523">
          <cell r="B523">
            <v>1013000846</v>
          </cell>
          <cell r="C523" t="str">
            <v>SVW Lemon Flv (Carbonated) 250ml</v>
          </cell>
          <cell r="D523" t="str">
            <v>CND</v>
          </cell>
        </row>
        <row r="524">
          <cell r="B524">
            <v>1013000845</v>
          </cell>
          <cell r="C524" t="str">
            <v>SVW Lychee Flv (Carbonated) 250ml</v>
          </cell>
          <cell r="D524" t="str">
            <v>CND</v>
          </cell>
        </row>
        <row r="525">
          <cell r="B525">
            <v>1013000844</v>
          </cell>
          <cell r="C525" t="str">
            <v>SVW Orange Flv (Carbonated) 250ml</v>
          </cell>
          <cell r="D525" t="str">
            <v>CND</v>
          </cell>
        </row>
        <row r="526">
          <cell r="B526">
            <v>1219000744</v>
          </cell>
          <cell r="C526" t="str">
            <v>Wego Blood Bag Single 250 ml</v>
          </cell>
          <cell r="D526" t="str">
            <v>MDD</v>
          </cell>
        </row>
        <row r="527">
          <cell r="B527">
            <v>1013000882</v>
          </cell>
          <cell r="C527" t="str">
            <v>HOSPICAINE SP INJ 7.5MG/ML 5's ( PAK)</v>
          </cell>
          <cell r="D527" t="str">
            <v>CC</v>
          </cell>
        </row>
        <row r="528">
          <cell r="B528">
            <v>1013000686</v>
          </cell>
          <cell r="C528" t="str">
            <v>URISOLIN 0.4 MG CAP  PS 2'S (PAK)</v>
          </cell>
          <cell r="D528" t="str">
            <v>BP STAL-THUND</v>
          </cell>
        </row>
        <row r="529">
          <cell r="B529">
            <v>1013000883</v>
          </cell>
          <cell r="C529" t="str">
            <v>HOSPICAINE SP INJ 7.5MG/ML 1's PS (PAK)</v>
          </cell>
          <cell r="D529" t="str">
            <v>CC</v>
          </cell>
        </row>
        <row r="530">
          <cell r="B530">
            <v>1019001857</v>
          </cell>
          <cell r="C530" t="str">
            <v>HYPLAR 20MG SYRUP 15ML PS (PAK)</v>
          </cell>
          <cell r="D530" t="str">
            <v>BP STAL-THUND</v>
          </cell>
        </row>
        <row r="531">
          <cell r="B531">
            <v>1219000725</v>
          </cell>
          <cell r="C531" t="str">
            <v>Enfamil Prosobee Pwd 22oz</v>
          </cell>
          <cell r="D531" t="str">
            <v>MJN &amp; CHG</v>
          </cell>
        </row>
        <row r="532">
          <cell r="B532">
            <v>1219000727</v>
          </cell>
          <cell r="C532" t="str">
            <v>PFD T Metabolic Nongmo Pwd 1oz</v>
          </cell>
          <cell r="D532" t="str">
            <v>MJN &amp; CHG</v>
          </cell>
        </row>
        <row r="533">
          <cell r="B533">
            <v>1219000728</v>
          </cell>
          <cell r="C533" t="str">
            <v>Pregestimil Pwd 1LB</v>
          </cell>
          <cell r="D533" t="str">
            <v>MJN &amp; CHG</v>
          </cell>
        </row>
        <row r="534">
          <cell r="B534">
            <v>1219000759</v>
          </cell>
          <cell r="C534" t="str">
            <v>2x Enfa A+3 800g + Snack Container</v>
          </cell>
          <cell r="D534" t="str">
            <v>MJN &amp; CHG</v>
          </cell>
        </row>
        <row r="535">
          <cell r="B535">
            <v>1219000760</v>
          </cell>
          <cell r="C535" t="str">
            <v>1x Enfa A+3 800g + Animal Set</v>
          </cell>
          <cell r="D535" t="str">
            <v>MJN &amp; CHG</v>
          </cell>
        </row>
        <row r="536">
          <cell r="B536">
            <v>1219000761</v>
          </cell>
          <cell r="C536" t="str">
            <v>1x Enfa A+3 800g + Bowl Set</v>
          </cell>
          <cell r="D536" t="str">
            <v>MJN &amp; CHG</v>
          </cell>
        </row>
        <row r="537">
          <cell r="B537">
            <v>1219000762</v>
          </cell>
          <cell r="C537" t="str">
            <v>1x Enfa A+3 800g + Skipping Rope</v>
          </cell>
          <cell r="D537" t="str">
            <v>MJN &amp; CHG</v>
          </cell>
        </row>
        <row r="538">
          <cell r="B538">
            <v>1219000763</v>
          </cell>
          <cell r="C538" t="str">
            <v>1x Enfa A+3 800g + PrepUp Rice Milk 175g</v>
          </cell>
          <cell r="D538" t="str">
            <v>MJN &amp; CHG</v>
          </cell>
        </row>
        <row r="539">
          <cell r="B539">
            <v>1219000764</v>
          </cell>
          <cell r="C539" t="str">
            <v>1x Enfa A+3 800g + PrepUp WheatMilk 175g</v>
          </cell>
          <cell r="D539" t="str">
            <v>MJN &amp; CHG</v>
          </cell>
        </row>
        <row r="540">
          <cell r="B540">
            <v>1219000765</v>
          </cell>
          <cell r="C540" t="str">
            <v>1x Enfa A+3 800g + Chef Cap</v>
          </cell>
          <cell r="D540" t="str">
            <v>MJN &amp; CHG</v>
          </cell>
        </row>
        <row r="541">
          <cell r="B541">
            <v>1219000771</v>
          </cell>
          <cell r="C541" t="str">
            <v>2x PrepUp Rice Milk 175g + Bowl Set</v>
          </cell>
          <cell r="D541" t="str">
            <v>MJN &amp; CHG</v>
          </cell>
        </row>
        <row r="542">
          <cell r="B542">
            <v>1219000772</v>
          </cell>
          <cell r="C542" t="str">
            <v>1xPrepUp RiceMilk 175g + WheatMilkHoney</v>
          </cell>
          <cell r="D542" t="str">
            <v>MJN &amp; CHG</v>
          </cell>
        </row>
        <row r="543">
          <cell r="B543">
            <v>1219000773</v>
          </cell>
          <cell r="C543" t="str">
            <v>1xPrepUp RiceMilk 175g+Wheat Milk Fruits</v>
          </cell>
          <cell r="D543" t="str">
            <v>MJN &amp; CHG</v>
          </cell>
        </row>
        <row r="544">
          <cell r="B544">
            <v>1219000774</v>
          </cell>
          <cell r="C544" t="str">
            <v>2xPrepUp Wheat Milk 175g</v>
          </cell>
          <cell r="D544" t="str">
            <v>MJN &amp; CHG</v>
          </cell>
        </row>
        <row r="545">
          <cell r="B545">
            <v>1219000777</v>
          </cell>
          <cell r="C545" t="str">
            <v>KARMI BLOOD BAG DOUBLE 500ML</v>
          </cell>
          <cell r="D545" t="str">
            <v>MDD</v>
          </cell>
        </row>
        <row r="546">
          <cell r="B546">
            <v>1219000750</v>
          </cell>
          <cell r="C546" t="str">
            <v>KARMI BLOOD BAG QUADRUPLE 500ML</v>
          </cell>
          <cell r="D546" t="str">
            <v>MDD</v>
          </cell>
        </row>
        <row r="547">
          <cell r="B547">
            <v>1219000776</v>
          </cell>
          <cell r="C547" t="str">
            <v>KARMI BLOOD BAG SINGLE 500ML</v>
          </cell>
          <cell r="D547" t="str">
            <v>MDD</v>
          </cell>
        </row>
        <row r="548">
          <cell r="B548">
            <v>1219000779</v>
          </cell>
          <cell r="C548" t="str">
            <v>KARMI BLOOD BAG TRIPLE 500ML</v>
          </cell>
          <cell r="D548" t="str">
            <v>MDD</v>
          </cell>
        </row>
        <row r="549">
          <cell r="B549">
            <v>1219000778</v>
          </cell>
          <cell r="C549" t="str">
            <v>KARMI BLOOD BAG TRIPLE 500ML (DELETED)</v>
          </cell>
          <cell r="D549" t="str">
            <v>MDD</v>
          </cell>
        </row>
        <row r="550">
          <cell r="B550">
            <v>1219000751</v>
          </cell>
          <cell r="C550" t="str">
            <v>KARMI BLOOD BAG TRIPLE WTH SAFETY ACCESS</v>
          </cell>
          <cell r="D550" t="str">
            <v>MDD</v>
          </cell>
        </row>
        <row r="551">
          <cell r="B551">
            <v>1219000752</v>
          </cell>
          <cell r="C551" t="str">
            <v>Searle Dialyzer Low Flux 1.4</v>
          </cell>
          <cell r="D551" t="str">
            <v>CC</v>
          </cell>
        </row>
        <row r="552">
          <cell r="B552">
            <v>1219000756</v>
          </cell>
          <cell r="C552" t="str">
            <v>Searle Blood Tubing Set 6.5mm</v>
          </cell>
          <cell r="D552" t="str">
            <v>CC</v>
          </cell>
        </row>
        <row r="553">
          <cell r="B553">
            <v>1219000757</v>
          </cell>
          <cell r="C553" t="str">
            <v>Searle Blood Tubing Set 8mm</v>
          </cell>
          <cell r="D553" t="str">
            <v>CC</v>
          </cell>
        </row>
        <row r="554">
          <cell r="B554">
            <v>1219000758</v>
          </cell>
          <cell r="C554" t="str">
            <v>Searle Dialyzer Low Flux 2.0</v>
          </cell>
          <cell r="D554" t="str">
            <v>CC</v>
          </cell>
        </row>
        <row r="555">
          <cell r="B555">
            <v>1219000741</v>
          </cell>
          <cell r="C555" t="str">
            <v>Wego Infusion Set 150 cm tube length</v>
          </cell>
          <cell r="D555" t="str">
            <v>MDD</v>
          </cell>
        </row>
        <row r="556">
          <cell r="B556">
            <v>1013000884</v>
          </cell>
          <cell r="C556" t="str">
            <v>CANDEREL ZERO LIQ 10ML(PAK)</v>
          </cell>
          <cell r="D556" t="str">
            <v>CND</v>
          </cell>
        </row>
        <row r="557">
          <cell r="B557">
            <v>1219000775</v>
          </cell>
          <cell r="C557" t="str">
            <v>FLINK Surgical Paper Tape 1inch x 5yards</v>
          </cell>
          <cell r="D557" t="str">
            <v>HC</v>
          </cell>
        </row>
        <row r="558">
          <cell r="B558">
            <v>1019001914</v>
          </cell>
          <cell r="C558" t="str">
            <v>PANZIUM 40MG IV 1'S  (PAK)</v>
          </cell>
          <cell r="D558" t="str">
            <v>BP STAL-THUND</v>
          </cell>
        </row>
        <row r="559">
          <cell r="B559">
            <v>1019001915</v>
          </cell>
          <cell r="C559" t="str">
            <v>PANZIUM 40MG IV 1'S PS (PAK)</v>
          </cell>
          <cell r="D559" t="str">
            <v>BP STAL-THUND</v>
          </cell>
        </row>
        <row r="560">
          <cell r="B560">
            <v>1013000880</v>
          </cell>
          <cell r="C560" t="str">
            <v>HOSPICAINE  INJ 5MG/ML 5's ( PAK)</v>
          </cell>
          <cell r="D560" t="str">
            <v>CC</v>
          </cell>
        </row>
        <row r="561">
          <cell r="B561">
            <v>1219000783</v>
          </cell>
          <cell r="C561" t="str">
            <v>Karmi Blood Bag Single 250ml</v>
          </cell>
          <cell r="D561" t="str">
            <v>MDD</v>
          </cell>
        </row>
        <row r="562">
          <cell r="B562">
            <v>1219000804</v>
          </cell>
          <cell r="C562" t="str">
            <v>FLINK Surgical Paper Tape 2inch x 5yards</v>
          </cell>
          <cell r="D562" t="str">
            <v>HC</v>
          </cell>
        </row>
        <row r="563">
          <cell r="B563">
            <v>1219000806</v>
          </cell>
          <cell r="C563" t="str">
            <v>FLINK Surgical Paper Tape 3inchx5yards</v>
          </cell>
          <cell r="D563" t="str">
            <v>HC</v>
          </cell>
        </row>
        <row r="564">
          <cell r="B564">
            <v>1219000807</v>
          </cell>
          <cell r="C564" t="str">
            <v>FLINK Surgical Paper Tape 4inchx5yards</v>
          </cell>
          <cell r="D564" t="str">
            <v>HC</v>
          </cell>
        </row>
        <row r="565">
          <cell r="B565">
            <v>1219000808</v>
          </cell>
          <cell r="C565" t="str">
            <v>Entag Sur. Dressing 10x25cm</v>
          </cell>
          <cell r="D565">
            <v>0</v>
          </cell>
        </row>
        <row r="566">
          <cell r="B566">
            <v>1219000797</v>
          </cell>
          <cell r="C566" t="str">
            <v>Wego I.V. Burette Set 100ml</v>
          </cell>
          <cell r="D566" t="str">
            <v>MDD</v>
          </cell>
        </row>
        <row r="567">
          <cell r="B567">
            <v>1219000798</v>
          </cell>
          <cell r="C567" t="str">
            <v>Wego I.V. Burette Set 150ml</v>
          </cell>
          <cell r="D567" t="str">
            <v>MDD</v>
          </cell>
        </row>
        <row r="568">
          <cell r="B568">
            <v>1219000784</v>
          </cell>
          <cell r="C568" t="str">
            <v>Novasource Renal Van Botle 6(4*200ml) XI</v>
          </cell>
          <cell r="D568" t="str">
            <v>NHS</v>
          </cell>
        </row>
        <row r="569">
          <cell r="B569">
            <v>1219000819</v>
          </cell>
          <cell r="C569" t="str">
            <v>Steriloc Self Seal Sterilization Pouch-S</v>
          </cell>
          <cell r="D569" t="str">
            <v>HC</v>
          </cell>
        </row>
        <row r="570">
          <cell r="B570">
            <v>1219000820</v>
          </cell>
          <cell r="C570" t="str">
            <v>Steriloc Self Seal Sterilization Pouch-M</v>
          </cell>
          <cell r="D570" t="str">
            <v>HC</v>
          </cell>
        </row>
        <row r="571">
          <cell r="B571">
            <v>1219000821</v>
          </cell>
          <cell r="C571" t="str">
            <v>Steriloc Self Seal Sterilization Pouch-L</v>
          </cell>
          <cell r="D571" t="str">
            <v>HC</v>
          </cell>
        </row>
        <row r="572">
          <cell r="B572">
            <v>1219000812</v>
          </cell>
          <cell r="C572" t="str">
            <v>Steriloc Sterilization paper 30x30cm</v>
          </cell>
          <cell r="D572" t="str">
            <v>HC</v>
          </cell>
        </row>
        <row r="573">
          <cell r="B573">
            <v>1219000813</v>
          </cell>
          <cell r="C573" t="str">
            <v>Steriloc Sterilization paper 50x50cm</v>
          </cell>
          <cell r="D573" t="str">
            <v>HC</v>
          </cell>
        </row>
        <row r="574">
          <cell r="B574">
            <v>1219000814</v>
          </cell>
          <cell r="C574" t="str">
            <v>Steriloc Sterilization paper 60x60cm</v>
          </cell>
          <cell r="D574" t="str">
            <v>HC</v>
          </cell>
        </row>
        <row r="575">
          <cell r="B575">
            <v>1219000815</v>
          </cell>
          <cell r="C575" t="str">
            <v>Steriloc Sterilization paper  75x75cm</v>
          </cell>
          <cell r="D575" t="str">
            <v>HC</v>
          </cell>
        </row>
        <row r="576">
          <cell r="B576">
            <v>1219000816</v>
          </cell>
          <cell r="C576" t="str">
            <v>Steriloc Sterilization paper  90x90cm</v>
          </cell>
          <cell r="D576" t="str">
            <v>HC</v>
          </cell>
        </row>
        <row r="577">
          <cell r="B577">
            <v>1219000817</v>
          </cell>
          <cell r="C577" t="str">
            <v>Steriloc Sterilization paper  100x100cm</v>
          </cell>
          <cell r="D577" t="str">
            <v>HC</v>
          </cell>
        </row>
        <row r="578">
          <cell r="B578">
            <v>1219000818</v>
          </cell>
          <cell r="C578" t="str">
            <v>Steriloc Sterilization paper  120x120cm</v>
          </cell>
          <cell r="D578" t="str">
            <v>HC</v>
          </cell>
        </row>
        <row r="579">
          <cell r="B579">
            <v>1219000822</v>
          </cell>
          <cell r="C579" t="str">
            <v>Steriloc Sterilztion Flat Reel 50mmx200m</v>
          </cell>
          <cell r="D579" t="str">
            <v>HC</v>
          </cell>
        </row>
        <row r="580">
          <cell r="B580">
            <v>1219000823</v>
          </cell>
          <cell r="C580" t="str">
            <v>Steriloc Sterilztion Flat Reel 75mmx200m</v>
          </cell>
          <cell r="D580" t="str">
            <v>HC</v>
          </cell>
        </row>
        <row r="581">
          <cell r="B581">
            <v>1219000824</v>
          </cell>
          <cell r="C581" t="str">
            <v>Steriloc Strilztion Flat Reel 100mmx200m</v>
          </cell>
          <cell r="D581" t="str">
            <v>HC</v>
          </cell>
        </row>
        <row r="582">
          <cell r="B582">
            <v>1219000825</v>
          </cell>
          <cell r="C582" t="str">
            <v>Steriloc Strilztion Flat Reel 150mmx200m</v>
          </cell>
          <cell r="D582" t="str">
            <v>HC</v>
          </cell>
        </row>
        <row r="583">
          <cell r="B583">
            <v>1219000826</v>
          </cell>
          <cell r="C583" t="str">
            <v>Steriloc Strilztion Flat Reel 200mmx200m</v>
          </cell>
          <cell r="D583" t="str">
            <v>HC</v>
          </cell>
        </row>
        <row r="584">
          <cell r="B584">
            <v>1219000827</v>
          </cell>
          <cell r="C584" t="str">
            <v>Steriloc Strilztion Flat Reel 250mmx200m</v>
          </cell>
          <cell r="D584" t="str">
            <v>HC</v>
          </cell>
        </row>
        <row r="585">
          <cell r="B585">
            <v>1219000828</v>
          </cell>
          <cell r="C585" t="str">
            <v>Steriloc Strilztion Flat Reel 300mmx300m</v>
          </cell>
          <cell r="D585" t="str">
            <v>HC</v>
          </cell>
        </row>
        <row r="586">
          <cell r="B586">
            <v>1219000841</v>
          </cell>
          <cell r="C586" t="str">
            <v>DefendAll 60ml Aqua</v>
          </cell>
          <cell r="D586" t="str">
            <v>CND</v>
          </cell>
        </row>
        <row r="587">
          <cell r="B587">
            <v>1219000780</v>
          </cell>
          <cell r="C587" t="str">
            <v>Wego Trpl Blod Bag+500x2ml Platelet Bag</v>
          </cell>
          <cell r="D587" t="str">
            <v>MDD</v>
          </cell>
        </row>
        <row r="588">
          <cell r="B588">
            <v>1219000799</v>
          </cell>
          <cell r="C588" t="str">
            <v>Searleflo y-port 150cm</v>
          </cell>
          <cell r="D588" t="str">
            <v>HC</v>
          </cell>
        </row>
        <row r="589">
          <cell r="B589">
            <v>1219000800</v>
          </cell>
          <cell r="C589" t="str">
            <v>Prepup Veg Rice &amp; Milk</v>
          </cell>
          <cell r="D589" t="str">
            <v>MJN &amp; CHG</v>
          </cell>
        </row>
        <row r="590">
          <cell r="B590">
            <v>1219000801</v>
          </cell>
          <cell r="C590" t="str">
            <v>Prepup Veg Rice &amp; Milk (Trial pack) 40gm</v>
          </cell>
          <cell r="D590" t="str">
            <v>MJN &amp; CHG</v>
          </cell>
        </row>
        <row r="591">
          <cell r="B591">
            <v>1219000802</v>
          </cell>
          <cell r="C591" t="str">
            <v>Prepup Wheat Milk (Mepaco)</v>
          </cell>
          <cell r="D591" t="str">
            <v>MJN &amp; CHG</v>
          </cell>
        </row>
        <row r="592">
          <cell r="B592">
            <v>1219000803</v>
          </cell>
          <cell r="C592" t="str">
            <v>Prepup Wt Mlk (Mepaco) (Trial pack) 40gm</v>
          </cell>
          <cell r="D592" t="str">
            <v>MJN &amp; CHG</v>
          </cell>
        </row>
        <row r="593">
          <cell r="B593">
            <v>1219000831</v>
          </cell>
          <cell r="C593" t="str">
            <v>Searle A.V Fistula Needle Set 15G</v>
          </cell>
          <cell r="D593" t="str">
            <v>CC</v>
          </cell>
        </row>
        <row r="594">
          <cell r="B594">
            <v>1219000832</v>
          </cell>
          <cell r="C594" t="str">
            <v>Searle A.V Fistula Needle Set 16G</v>
          </cell>
          <cell r="D594" t="str">
            <v>CC</v>
          </cell>
        </row>
        <row r="595">
          <cell r="B595">
            <v>1219000833</v>
          </cell>
          <cell r="C595" t="str">
            <v>Searle A.V Fistula Needle Set 17G</v>
          </cell>
          <cell r="D595" t="str">
            <v>CC</v>
          </cell>
        </row>
        <row r="596">
          <cell r="B596">
            <v>1219000844</v>
          </cell>
          <cell r="C596" t="str">
            <v>DefendAll 250ml Aqua</v>
          </cell>
          <cell r="D596" t="str">
            <v>CND</v>
          </cell>
        </row>
        <row r="597">
          <cell r="B597">
            <v>1013001236</v>
          </cell>
          <cell r="C597" t="str">
            <v>CANDEREL SUCRALOSE TAB 100's (PAK)</v>
          </cell>
          <cell r="D597" t="str">
            <v>CNd</v>
          </cell>
        </row>
        <row r="598">
          <cell r="B598">
            <v>1219000842</v>
          </cell>
          <cell r="C598" t="str">
            <v>DefendAll 60ml lemon</v>
          </cell>
          <cell r="D598" t="str">
            <v>CNd</v>
          </cell>
        </row>
        <row r="599">
          <cell r="B599">
            <v>1219000865</v>
          </cell>
          <cell r="C599" t="str">
            <v>Canderel Stevia Tab 100s</v>
          </cell>
          <cell r="D599" t="str">
            <v>cnd</v>
          </cell>
        </row>
        <row r="600">
          <cell r="B600">
            <v>1219000866</v>
          </cell>
          <cell r="C600" t="str">
            <v>Canderel Stevia Sachet 50s</v>
          </cell>
          <cell r="D600" t="str">
            <v>cnd</v>
          </cell>
        </row>
        <row r="601">
          <cell r="B601">
            <v>1219000867</v>
          </cell>
          <cell r="C601" t="str">
            <v>Canderel Stevia Jar 60g</v>
          </cell>
          <cell r="D601" t="str">
            <v>cnd</v>
          </cell>
        </row>
        <row r="602">
          <cell r="B602">
            <v>1219000887</v>
          </cell>
          <cell r="C602" t="str">
            <v>Enfagrow A+ 3 PWDVAN 380G</v>
          </cell>
          <cell r="D602" t="str">
            <v>MJN &amp; CHG</v>
          </cell>
        </row>
        <row r="603">
          <cell r="B603">
            <v>1219000888</v>
          </cell>
          <cell r="C603" t="str">
            <v>Enfagrow A+ 3 PWDVAN 760G</v>
          </cell>
          <cell r="D603" t="str">
            <v>MJN &amp; CHG</v>
          </cell>
        </row>
        <row r="604">
          <cell r="B604">
            <v>1219000879</v>
          </cell>
          <cell r="C604" t="str">
            <v>Enfamil A+ 1 PWD 380G</v>
          </cell>
          <cell r="D604" t="str">
            <v>MJN &amp; CHG</v>
          </cell>
        </row>
        <row r="605">
          <cell r="B605">
            <v>1219000880</v>
          </cell>
          <cell r="C605" t="str">
            <v>Enfamil A+ 1 PWD 760G</v>
          </cell>
          <cell r="D605" t="str">
            <v>MJN &amp; CHG</v>
          </cell>
        </row>
        <row r="606">
          <cell r="B606">
            <v>1219000885</v>
          </cell>
          <cell r="C606" t="str">
            <v>Enfamil A+ 2 PWD 380G</v>
          </cell>
          <cell r="D606" t="str">
            <v>MJN &amp; CHG</v>
          </cell>
        </row>
        <row r="607">
          <cell r="B607">
            <v>1219000886</v>
          </cell>
          <cell r="C607" t="str">
            <v>Enfamil A+ 2 PWD 760G</v>
          </cell>
          <cell r="D607" t="str">
            <v>MJN &amp; CHG</v>
          </cell>
        </row>
        <row r="608">
          <cell r="B608">
            <v>1219000854</v>
          </cell>
          <cell r="C608" t="str">
            <v>SEARLE GENTLES OIL - 105ML</v>
          </cell>
          <cell r="D608" t="str">
            <v>CND</v>
          </cell>
        </row>
        <row r="609">
          <cell r="B609">
            <v>1219000855</v>
          </cell>
          <cell r="C609" t="str">
            <v>SEARLE GENTLES LOTION - 110ML</v>
          </cell>
          <cell r="D609" t="str">
            <v>CND</v>
          </cell>
        </row>
        <row r="610">
          <cell r="B610">
            <v>1219000856</v>
          </cell>
          <cell r="C610" t="str">
            <v>SEARLE GENTLES SHAMPOO - 110ML</v>
          </cell>
          <cell r="D610" t="str">
            <v>CND</v>
          </cell>
        </row>
        <row r="611">
          <cell r="B611">
            <v>1219000857</v>
          </cell>
          <cell r="C611" t="str">
            <v>SEARLE GENTLES SHAMPOO - 50ML</v>
          </cell>
          <cell r="D611" t="str">
            <v>CND</v>
          </cell>
        </row>
        <row r="612">
          <cell r="B612">
            <v>1219000859</v>
          </cell>
          <cell r="C612" t="str">
            <v>SEARLE GENTLES BATHGEL - 115ML</v>
          </cell>
          <cell r="D612" t="str">
            <v>CND</v>
          </cell>
        </row>
        <row r="613">
          <cell r="B613">
            <v>1219000860</v>
          </cell>
          <cell r="C613" t="str">
            <v>SEARLE GENTLES POWDER - 100G</v>
          </cell>
          <cell r="D613" t="str">
            <v>CND</v>
          </cell>
        </row>
        <row r="614">
          <cell r="B614">
            <v>1219000862</v>
          </cell>
          <cell r="C614" t="str">
            <v>Defend All 500ml Aqua</v>
          </cell>
          <cell r="D614" t="str">
            <v>CND</v>
          </cell>
        </row>
        <row r="615">
          <cell r="B615">
            <v>1219000863</v>
          </cell>
          <cell r="C615" t="str">
            <v>Defend All 1L Aqua</v>
          </cell>
          <cell r="D615" t="str">
            <v>CND</v>
          </cell>
        </row>
        <row r="616">
          <cell r="B616">
            <v>1219000864</v>
          </cell>
          <cell r="C616" t="str">
            <v>Defend All 5L Aqua</v>
          </cell>
          <cell r="D616" t="str">
            <v>CND</v>
          </cell>
        </row>
        <row r="617">
          <cell r="B617">
            <v>1219000846</v>
          </cell>
          <cell r="C617" t="str">
            <v>22PEG161522FM-AM BS Paed 1.6m Len w/22mm</v>
          </cell>
          <cell r="D617" t="str">
            <v>CC</v>
          </cell>
        </row>
        <row r="618">
          <cell r="B618">
            <v>1019001993</v>
          </cell>
          <cell r="C618" t="str">
            <v>PROANES 1% INJ 20MLx5'S (PAK)</v>
          </cell>
          <cell r="D618" t="str">
            <v>CC</v>
          </cell>
        </row>
        <row r="619">
          <cell r="B619">
            <v>1219000873</v>
          </cell>
          <cell r="C619" t="str">
            <v>Medisana Glass Personal Scale PS 400</v>
          </cell>
          <cell r="D619" t="str">
            <v>Mtech</v>
          </cell>
        </row>
        <row r="620">
          <cell r="B620">
            <v>1219000874</v>
          </cell>
          <cell r="C620" t="str">
            <v>Medisana Personal Scale PS 435</v>
          </cell>
          <cell r="D620" t="str">
            <v>Mtech</v>
          </cell>
        </row>
        <row r="621">
          <cell r="B621">
            <v>1219000875</v>
          </cell>
          <cell r="C621" t="str">
            <v>Medisana Body Analysis Scale BS 444</v>
          </cell>
          <cell r="D621" t="str">
            <v>Mtech</v>
          </cell>
        </row>
        <row r="622">
          <cell r="B622">
            <v>1219000876</v>
          </cell>
          <cell r="C622" t="str">
            <v>Medisana Wrist Blood Pressure Monitor BW</v>
          </cell>
          <cell r="D622" t="str">
            <v>Mtech</v>
          </cell>
        </row>
        <row r="623">
          <cell r="B623">
            <v>1219000877</v>
          </cell>
          <cell r="C623" t="str">
            <v>Medisana Blood Pressure Monitor BU 510</v>
          </cell>
          <cell r="D623" t="str">
            <v>Mtech</v>
          </cell>
        </row>
        <row r="624">
          <cell r="B624">
            <v>1919000035</v>
          </cell>
          <cell r="C624" t="str">
            <v>Cosopt Ophthalmic Drops 2%  (5 ml)</v>
          </cell>
          <cell r="D624" t="str">
            <v xml:space="preserve">BL &amp; AVNG </v>
          </cell>
        </row>
        <row r="625">
          <cell r="B625">
            <v>1219000924</v>
          </cell>
          <cell r="C625" t="str">
            <v>BLT Low Flux Dialyzer F14L</v>
          </cell>
          <cell r="D625" t="str">
            <v>CC</v>
          </cell>
        </row>
        <row r="626">
          <cell r="B626">
            <v>1219000925</v>
          </cell>
          <cell r="C626" t="str">
            <v>BLT Low Flux Dialyzer F16L</v>
          </cell>
          <cell r="D626" t="str">
            <v>CC</v>
          </cell>
        </row>
        <row r="627">
          <cell r="B627">
            <v>1219000926</v>
          </cell>
          <cell r="C627" t="str">
            <v>BLT Low Flux Dialyzer F18L</v>
          </cell>
          <cell r="D627" t="str">
            <v>CC</v>
          </cell>
        </row>
        <row r="628">
          <cell r="B628">
            <v>1219000927</v>
          </cell>
          <cell r="C628" t="str">
            <v>BLT Low Flux Dialyzer F20L</v>
          </cell>
          <cell r="D628" t="str">
            <v>CC</v>
          </cell>
        </row>
        <row r="629">
          <cell r="B629">
            <v>1219000928</v>
          </cell>
          <cell r="C629" t="str">
            <v>BLT High Flux Dialyzer F14H</v>
          </cell>
          <cell r="D629" t="str">
            <v>CC</v>
          </cell>
        </row>
        <row r="630">
          <cell r="B630">
            <v>1219000929</v>
          </cell>
          <cell r="C630" t="str">
            <v>BLT High Flux Dialyzer F16H</v>
          </cell>
          <cell r="D630" t="str">
            <v>CC</v>
          </cell>
        </row>
        <row r="631">
          <cell r="B631">
            <v>1219000930</v>
          </cell>
          <cell r="C631" t="str">
            <v>BLT High Flux Dialyzer F18H</v>
          </cell>
          <cell r="D631" t="str">
            <v>CC</v>
          </cell>
        </row>
        <row r="632">
          <cell r="B632">
            <v>1219000931</v>
          </cell>
          <cell r="C632" t="str">
            <v>BLT High Flux Dialyzer F20H</v>
          </cell>
          <cell r="D632" t="str">
            <v>CC</v>
          </cell>
        </row>
        <row r="633">
          <cell r="B633">
            <v>1219000892</v>
          </cell>
          <cell r="C633" t="str">
            <v>Defend All 500 ml Lemon</v>
          </cell>
          <cell r="D633" t="str">
            <v>CND</v>
          </cell>
        </row>
        <row r="634">
          <cell r="B634">
            <v>1219000893</v>
          </cell>
          <cell r="C634" t="str">
            <v>Defend All 1 litre Lemon</v>
          </cell>
          <cell r="D634" t="str">
            <v>CND</v>
          </cell>
        </row>
        <row r="635">
          <cell r="B635">
            <v>1219000894</v>
          </cell>
          <cell r="C635" t="str">
            <v>Defend All 5 litre Lemon</v>
          </cell>
          <cell r="D635" t="str">
            <v>CND</v>
          </cell>
        </row>
        <row r="636">
          <cell r="B636">
            <v>1219000904</v>
          </cell>
          <cell r="C636" t="str">
            <v>Wego-IV Catheter Ported 18 G</v>
          </cell>
          <cell r="D636" t="str">
            <v>MDD</v>
          </cell>
        </row>
        <row r="637">
          <cell r="B637">
            <v>1219000905</v>
          </cell>
          <cell r="C637" t="str">
            <v>Wego-IV Catheter Ported 20 G</v>
          </cell>
          <cell r="D637" t="str">
            <v>MDD</v>
          </cell>
        </row>
        <row r="638">
          <cell r="B638">
            <v>1219000906</v>
          </cell>
          <cell r="C638" t="str">
            <v>Wego-IV Catheter Ported 22 G</v>
          </cell>
          <cell r="D638" t="str">
            <v>MDD</v>
          </cell>
        </row>
        <row r="639">
          <cell r="B639">
            <v>1219000907</v>
          </cell>
          <cell r="C639" t="str">
            <v>Wego-IV Catheter Ported 24 G</v>
          </cell>
          <cell r="D639" t="str">
            <v>MDD</v>
          </cell>
        </row>
        <row r="640">
          <cell r="B640">
            <v>1219000908</v>
          </cell>
          <cell r="C640" t="str">
            <v>Wego-IV Catheter Wing Type 18 G</v>
          </cell>
          <cell r="D640" t="str">
            <v>MDD</v>
          </cell>
        </row>
        <row r="641">
          <cell r="B641">
            <v>1219000909</v>
          </cell>
          <cell r="C641" t="str">
            <v>Wego-IV Catheter Wing Type 20 G</v>
          </cell>
          <cell r="D641" t="str">
            <v>MDD</v>
          </cell>
        </row>
        <row r="642">
          <cell r="B642">
            <v>1219000910</v>
          </cell>
          <cell r="C642" t="str">
            <v>Wego-IV Catheter Wing Type 22 G</v>
          </cell>
          <cell r="D642" t="str">
            <v>MDD</v>
          </cell>
        </row>
        <row r="643">
          <cell r="B643">
            <v>1219000911</v>
          </cell>
          <cell r="C643" t="str">
            <v>Wego-IV Catheter Wing Type 24 G</v>
          </cell>
          <cell r="D643" t="str">
            <v>MDD</v>
          </cell>
        </row>
        <row r="644">
          <cell r="B644">
            <v>1219000912</v>
          </cell>
          <cell r="C644" t="str">
            <v>Wego-IV Catheter Wing (stopper) 18 G</v>
          </cell>
          <cell r="D644" t="str">
            <v>MDD</v>
          </cell>
        </row>
        <row r="645">
          <cell r="B645">
            <v>1219000913</v>
          </cell>
          <cell r="C645" t="str">
            <v>Wego-IV Catheter Wing (stopper) 20 G</v>
          </cell>
          <cell r="D645" t="str">
            <v>MDD</v>
          </cell>
        </row>
        <row r="646">
          <cell r="B646">
            <v>1219000914</v>
          </cell>
          <cell r="C646" t="str">
            <v>Wego-IV Catheter Wing (stopper) 22 G</v>
          </cell>
          <cell r="D646" t="str">
            <v>MDD</v>
          </cell>
        </row>
        <row r="647">
          <cell r="B647">
            <v>1219000915</v>
          </cell>
          <cell r="C647" t="str">
            <v>Wego-IV Catheter Wing (stopper) 24 G</v>
          </cell>
          <cell r="D647" t="str">
            <v>MDD</v>
          </cell>
        </row>
        <row r="648">
          <cell r="B648">
            <v>1919000037</v>
          </cell>
          <cell r="C648" t="str">
            <v>Cationorm MD Opthalmic Drop 10ml (1x1s)</v>
          </cell>
          <cell r="D648" t="str">
            <v xml:space="preserve">BL &amp; AVNG </v>
          </cell>
        </row>
        <row r="649">
          <cell r="B649">
            <v>1919000036</v>
          </cell>
          <cell r="C649" t="str">
            <v>Trusopt Ophthalmic Drops 2% (1x 5 ml)</v>
          </cell>
          <cell r="D649" t="str">
            <v xml:space="preserve">BL &amp; AVNG </v>
          </cell>
        </row>
        <row r="650">
          <cell r="B650">
            <v>1219000943</v>
          </cell>
          <cell r="C650" t="str">
            <v>SCW DLC Catheter Kit 12Fr 16cm, Straight</v>
          </cell>
          <cell r="D650" t="str">
            <v>CC</v>
          </cell>
        </row>
        <row r="651">
          <cell r="B651">
            <v>1219000899</v>
          </cell>
          <cell r="C651" t="str">
            <v>Canderel Coffee 3 in 1</v>
          </cell>
          <cell r="D651" t="str">
            <v>CND</v>
          </cell>
        </row>
        <row r="652">
          <cell r="B652">
            <v>1919000103</v>
          </cell>
          <cell r="C652" t="str">
            <v>PINKOFER GRO SACHET 30's</v>
          </cell>
          <cell r="D652" t="str">
            <v>MJN &amp; CHG</v>
          </cell>
        </row>
        <row r="653">
          <cell r="B653">
            <v>1219000963</v>
          </cell>
          <cell r="C653" t="str">
            <v>Enfagrow A+3 PWDVAN 760G+Tumbler</v>
          </cell>
          <cell r="D653" t="str">
            <v>MJN &amp; CHG</v>
          </cell>
        </row>
        <row r="654">
          <cell r="B654">
            <v>1219000961</v>
          </cell>
          <cell r="C654" t="str">
            <v>Resource Optimum (1+1) Offer</v>
          </cell>
          <cell r="D654" t="str">
            <v>NHS</v>
          </cell>
        </row>
        <row r="655">
          <cell r="B655">
            <v>1013001280</v>
          </cell>
          <cell r="C655" t="str">
            <v>Canderel 3 in 1 Instant Coffee 12'S</v>
          </cell>
          <cell r="D655" t="str">
            <v>CND</v>
          </cell>
        </row>
        <row r="656">
          <cell r="B656">
            <v>1219000981</v>
          </cell>
          <cell r="C656" t="str">
            <v>Enfamil o-lac bundle Buy 1 get 1 free</v>
          </cell>
          <cell r="D656" t="str">
            <v>MJN &amp; CHG</v>
          </cell>
        </row>
        <row r="657">
          <cell r="B657">
            <v>1219000982</v>
          </cell>
          <cell r="C657" t="str">
            <v>Enfamil AR bundle Buy 1 get 1 free</v>
          </cell>
          <cell r="D657" t="str">
            <v>MJN &amp; CHG</v>
          </cell>
        </row>
        <row r="658">
          <cell r="B658">
            <v>1219000983</v>
          </cell>
          <cell r="C658" t="str">
            <v>Resource Junior 1+1 Offer</v>
          </cell>
          <cell r="D658" t="str">
            <v>NHS</v>
          </cell>
        </row>
        <row r="659">
          <cell r="B659">
            <v>1219000985</v>
          </cell>
          <cell r="C659" t="str">
            <v>Resource Diabetes 400gm 1+1 Offer</v>
          </cell>
          <cell r="D659" t="str">
            <v>NHS</v>
          </cell>
        </row>
        <row r="660">
          <cell r="B660">
            <v>1219000973</v>
          </cell>
          <cell r="C660" t="str">
            <v>Canderel Coffee 3 in 1 Sachets</v>
          </cell>
          <cell r="D660" t="str">
            <v>CND</v>
          </cell>
        </row>
        <row r="661">
          <cell r="B661">
            <v>1219000962</v>
          </cell>
          <cell r="C661" t="str">
            <v>Lebon Syrup 120ml</v>
          </cell>
          <cell r="D661" t="str">
            <v>MJN &amp; CHG</v>
          </cell>
        </row>
        <row r="662">
          <cell r="B662">
            <v>1219000916</v>
          </cell>
          <cell r="C662" t="str">
            <v>Urisolin Plus 0.4 mg+0.5 mg Capsules 30s</v>
          </cell>
          <cell r="D662" t="str">
            <v>BP STAL-THUND</v>
          </cell>
        </row>
        <row r="663">
          <cell r="B663">
            <v>1019002192</v>
          </cell>
          <cell r="C663" t="str">
            <v>Clariza Dry Suspension 125mg/5ml 60ml</v>
          </cell>
          <cell r="D663" t="str">
            <v>BP STAL-THUND</v>
          </cell>
        </row>
        <row r="664">
          <cell r="B664">
            <v>1219000962</v>
          </cell>
          <cell r="C664" t="str">
            <v>Lebon Syrup 120ml</v>
          </cell>
          <cell r="D664" t="str">
            <v>MJN &amp; CHG</v>
          </cell>
        </row>
        <row r="665">
          <cell r="B665">
            <v>1219000988</v>
          </cell>
          <cell r="C665" t="str">
            <v>Hylanta Syrup 120 ml</v>
          </cell>
          <cell r="D665" t="str">
            <v>BP STAL-THUND</v>
          </cell>
        </row>
        <row r="666">
          <cell r="B666">
            <v>1219001002</v>
          </cell>
          <cell r="C666" t="str">
            <v>Klisty (Colistimethate Sodium) 1 MIU 1's</v>
          </cell>
          <cell r="D666" t="str">
            <v>CC</v>
          </cell>
        </row>
        <row r="667">
          <cell r="B667">
            <v>1219001016</v>
          </cell>
          <cell r="C667" t="str">
            <v>MaxaQuin 400mg Tab 5's</v>
          </cell>
          <cell r="D667" t="str">
            <v>BP STAL-THUND</v>
          </cell>
        </row>
        <row r="668">
          <cell r="B668">
            <v>1219000992</v>
          </cell>
          <cell r="C668" t="str">
            <v>Prep Up Wheat Milk Banana 175g</v>
          </cell>
          <cell r="D668" t="str">
            <v>MJN &amp; CHG</v>
          </cell>
        </row>
        <row r="669">
          <cell r="B669">
            <v>1219000993</v>
          </cell>
          <cell r="C669" t="str">
            <v>Prep Up Oats Milk Honey 175g</v>
          </cell>
          <cell r="D669" t="str">
            <v>MJN &amp; CHG</v>
          </cell>
        </row>
        <row r="670">
          <cell r="B670">
            <v>1219001017</v>
          </cell>
          <cell r="C670" t="str">
            <v>PROANES 1% INJ 20MLx5'S</v>
          </cell>
          <cell r="D670" t="str">
            <v>CC</v>
          </cell>
        </row>
        <row r="671">
          <cell r="B671">
            <v>1219001001</v>
          </cell>
          <cell r="C671" t="str">
            <v>Hepagusan 25000IU Inj 5ml x 10'S</v>
          </cell>
          <cell r="D671" t="str">
            <v>CC</v>
          </cell>
        </row>
        <row r="672">
          <cell r="B672">
            <v>1219001015</v>
          </cell>
          <cell r="C672" t="str">
            <v>SVW Lychee Carb 250ml (Pack of 3)</v>
          </cell>
          <cell r="D672" t="str">
            <v>CND</v>
          </cell>
        </row>
        <row r="673">
          <cell r="B673">
            <v>1219001014</v>
          </cell>
          <cell r="C673" t="str">
            <v>Vigo Essential Tablets 30's (PK)</v>
          </cell>
          <cell r="D673" t="str">
            <v>BP STAL-THUND</v>
          </cell>
        </row>
        <row r="674">
          <cell r="B674">
            <v>1219000986</v>
          </cell>
          <cell r="C674" t="str">
            <v>BMS Sterile Tube Welder</v>
          </cell>
          <cell r="D674" t="str">
            <v>MDD</v>
          </cell>
        </row>
        <row r="675">
          <cell r="B675">
            <v>1219000991</v>
          </cell>
          <cell r="C675" t="str">
            <v>BMS Cassette for Tube welder</v>
          </cell>
          <cell r="D675" t="str">
            <v>MDD</v>
          </cell>
        </row>
        <row r="676">
          <cell r="B676">
            <v>1219001022</v>
          </cell>
          <cell r="C676" t="str">
            <v>Wego Blood Transfusion Set</v>
          </cell>
          <cell r="D676" t="str">
            <v>MDD</v>
          </cell>
        </row>
        <row r="677">
          <cell r="B677">
            <v>1219001020</v>
          </cell>
          <cell r="C677" t="str">
            <v>Sevolife 250ml</v>
          </cell>
          <cell r="D677" t="str">
            <v>CC</v>
          </cell>
        </row>
        <row r="678">
          <cell r="B678">
            <v>1219000923</v>
          </cell>
          <cell r="C678" t="str">
            <v>UROMIT Urine Bag with T-Valve 2000mL</v>
          </cell>
          <cell r="D678" t="str">
            <v>HC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id="3" name="Dashboard34" displayName="Dashboard34" ref="R3:AB69" totalsRowShown="0" headerRowDxfId="38" dataDxfId="36" headerRowBorderDxfId="37" tableBorderDxfId="35">
  <autoFilter ref="R3:AB69"/>
  <tableColumns count="11">
    <tableColumn id="3" name="Institution" dataDxfId="34"/>
    <tableColumn id="1" name="BidSubmitted(Y/N)" dataDxfId="33"/>
    <tableColumn id="9" name="BidSubmissionDate" dataDxfId="32"/>
    <tableColumn id="10" name="BidAmount" dataDxfId="31"/>
    <tableColumn id="11" name="ContractAwarded(Y/N)" dataDxfId="30"/>
    <tableColumn id="12" name="TenderStatus" dataDxfId="29"/>
    <tableColumn id="4" name="Notes" dataDxfId="28"/>
    <tableColumn id="2" name="Skip Reason" dataDxfId="27"/>
    <tableColumn id="33" name="DTL Date  / Test Opening Date" dataDxfId="26"/>
    <tableColumn id="19" name="Quantity" dataDxfId="25" dataCellStyle="Comma"/>
    <tableColumn id="20" name="Products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Dashboard6" displayName="Dashboard6" ref="AD3:AN121" totalsRowShown="0" headerRowDxfId="23" dataDxfId="21" headerRowBorderDxfId="22" tableBorderDxfId="20">
  <autoFilter ref="AD3:AN121"/>
  <tableColumns count="11">
    <tableColumn id="3" name="Institution" dataDxfId="19"/>
    <tableColumn id="8" name="Bid Submitted (Y/N)" dataDxfId="18"/>
    <tableColumn id="9" name="Bid Submission Date" dataDxfId="17"/>
    <tableColumn id="10" name="Bid Amount" dataDxfId="16"/>
    <tableColumn id="11" name="Contract Awarded (Y/N)" dataDxfId="15"/>
    <tableColumn id="12" name="TenderStatus" dataDxfId="14"/>
    <tableColumn id="13" name="Reason for rejection" dataDxfId="13"/>
    <tableColumn id="4" name="Notes" dataDxfId="12"/>
    <tableColumn id="33" name="DTL Date  / Test Opening Date" dataDxfId="11"/>
    <tableColumn id="20" name="Quantity" dataDxfId="10"/>
    <tableColumn id="21" name="Products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Dashboard" displayName="Dashboard" ref="A1:AH39" totalsRowShown="0">
  <autoFilter ref="A1:AH39"/>
  <tableColumns count="34">
    <tableColumn id="1" name="Tender ID"/>
    <tableColumn id="2" name="Tender Name"/>
    <tableColumn id="3" name="Institution"/>
    <tableColumn id="14" name="Opening Date"/>
    <tableColumn id="15" name="Closing Date"/>
    <tableColumn id="6" name="Participation (Y/N)"/>
    <tableColumn id="7" name="SkipReason"/>
    <tableColumn id="8" name="Bid Submitted (Y/N)"/>
    <tableColumn id="9" name="Bid Submission Date"/>
    <tableColumn id="10" name="Bid Amount"/>
    <tableColumn id="11" name="Contract Awarded (Y/N)"/>
    <tableColumn id="12" name="TenderStatus"/>
    <tableColumn id="13" name="Reason for rejection"/>
    <tableColumn id="4" name="Notes"/>
    <tableColumn id="5" name="PO Number"/>
    <tableColumn id="16" name="PO Generation Date"/>
    <tableColumn id="17" name="Supplies Due Date"/>
    <tableColumn id="18" name="Supplies Delivered (Y/N)"/>
    <tableColumn id="35" name="PO to Principal Status" dataDxfId="8"/>
    <tableColumn id="19" name="SuppliesDeliveredDate / DN Acknowledgement Date"/>
    <tableColumn id="33" name="DTL Date  / Test Opening Date" dataDxfId="7"/>
    <tableColumn id="20" name="Quantity"/>
    <tableColumn id="21" name="Products"/>
    <tableColumn id="22" name="Unit Rate"/>
    <tableColumn id="23" name="PO Value"/>
    <tableColumn id="24" name="Contract Value"/>
    <tableColumn id="25" name="Payment Terms Days"/>
    <tableColumn id="26" name="LC/BCIssued (Y/N)"/>
    <tableColumn id="27" name="LC/BC Expiry Date"/>
    <tableColumn id="28" name="Payment Expected Date"/>
    <tableColumn id="29" name="Payment Received Date"/>
    <tableColumn id="30" name="Credit Days From Supplier"/>
    <tableColumn id="31" name="Status"/>
    <tableColumn id="32" name="Remarks from concerned Business" dataDxfId="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" name="Dashboard342" displayName="Dashboard342" ref="A1:AG57" totalsRowShown="0">
  <autoFilter ref="A1:AG57"/>
  <tableColumns count="33">
    <tableColumn id="1" name="TenderID"/>
    <tableColumn id="2" name="TenderName"/>
    <tableColumn id="3" name="Institution" dataDxfId="5"/>
    <tableColumn id="14" name="Opening Date"/>
    <tableColumn id="15" name="Closing Date"/>
    <tableColumn id="6" name="Participation(Y/N)"/>
    <tableColumn id="7" name="SkipReason"/>
    <tableColumn id="8" name="BidSubmitted(Y/N)"/>
    <tableColumn id="9" name="BidSubmissionDate" dataDxfId="4"/>
    <tableColumn id="10" name="BidAmount"/>
    <tableColumn id="11" name="ContractAwarded(Y/N)"/>
    <tableColumn id="12" name="TenderStatus"/>
    <tableColumn id="13" name="Notes"/>
    <tableColumn id="4" name="PO Number" dataDxfId="3"/>
    <tableColumn id="5" name="PO Generation Date" dataDxfId="2"/>
    <tableColumn id="16" name="SuppliesDueDate"/>
    <tableColumn id="17" name="SuppliesDelivered(Y/N)"/>
    <tableColumn id="33" name="PO to Principal Status"/>
    <tableColumn id="18" name="SuppliesDeliveredDate / DN Acknowledgement Date"/>
    <tableColumn id="32" name="DTL Date  / Test Opening Date" dataDxfId="1"/>
    <tableColumn id="19" name="Quantity"/>
    <tableColumn id="20" name="Products"/>
    <tableColumn id="21" name="Unit Rate" dataDxfId="0"/>
    <tableColumn id="22" name="PO Value"/>
    <tableColumn id="23" name="ContractValue"/>
    <tableColumn id="24" name="PaymentTermsDays"/>
    <tableColumn id="25" name="LC/BCIssued(Y/N)"/>
    <tableColumn id="26" name="LC/BCExpiryDate"/>
    <tableColumn id="27" name="PaymentExpectedDate"/>
    <tableColumn id="28" name="PaymentReceivedDate"/>
    <tableColumn id="29" name="CreditDaysFromSupplier"/>
    <tableColumn id="30" name="Status"/>
    <tableColumn id="31" name="Remarks from concerned Busin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G2373"/>
  <sheetViews>
    <sheetView tabSelected="1" workbookViewId="0">
      <selection activeCell="A2" sqref="A2"/>
    </sheetView>
  </sheetViews>
  <sheetFormatPr defaultRowHeight="14.5"/>
  <cols>
    <col min="2" max="2" width="42.90625" bestFit="1" customWidth="1"/>
    <col min="3" max="3" width="8.26953125" bestFit="1" customWidth="1"/>
    <col min="4" max="4" width="5.08984375" bestFit="1" customWidth="1"/>
    <col min="5" max="5" width="41" bestFit="1" customWidth="1"/>
    <col min="6" max="6" width="10.1796875" bestFit="1" customWidth="1"/>
    <col min="7" max="7" width="8.1796875" bestFit="1" customWidth="1"/>
    <col min="8" max="8" width="12.26953125" bestFit="1" customWidth="1"/>
    <col min="10" max="10" width="39.08984375" bestFit="1" customWidth="1"/>
    <col min="11" max="11" width="8.26953125" bestFit="1" customWidth="1"/>
    <col min="12" max="12" width="3.1796875" bestFit="1" customWidth="1"/>
    <col min="13" max="13" width="28" bestFit="1" customWidth="1"/>
    <col min="14" max="14" width="10.1796875" bestFit="1" customWidth="1"/>
    <col min="15" max="15" width="8.1796875" bestFit="1" customWidth="1"/>
    <col min="16" max="16" width="11.26953125" bestFit="1" customWidth="1"/>
    <col min="18" max="18" width="27" bestFit="1" customWidth="1"/>
    <col min="19" max="19" width="18.90625" bestFit="1" customWidth="1"/>
    <col min="20" max="20" width="19.36328125" bestFit="1" customWidth="1"/>
    <col min="21" max="21" width="12.54296875" bestFit="1" customWidth="1"/>
    <col min="22" max="22" width="22.453125" bestFit="1" customWidth="1"/>
    <col min="23" max="23" width="14.26953125" bestFit="1" customWidth="1"/>
    <col min="24" max="24" width="8" bestFit="1" customWidth="1"/>
    <col min="25" max="25" width="13.08984375" bestFit="1" customWidth="1"/>
    <col min="26" max="26" width="28.6328125" bestFit="1" customWidth="1"/>
    <col min="27" max="27" width="10.453125" bestFit="1" customWidth="1"/>
    <col min="28" max="28" width="14.26953125" bestFit="1" customWidth="1"/>
    <col min="30" max="30" width="35" bestFit="1" customWidth="1"/>
    <col min="31" max="31" width="11.81640625" bestFit="1" customWidth="1"/>
    <col min="32" max="32" width="15.7265625" bestFit="1" customWidth="1"/>
    <col min="33" max="33" width="13.6328125" bestFit="1" customWidth="1"/>
    <col min="34" max="34" width="10.6328125" bestFit="1" customWidth="1"/>
    <col min="35" max="35" width="14.26953125" bestFit="1" customWidth="1"/>
    <col min="36" max="36" width="33.7265625" bestFit="1" customWidth="1"/>
    <col min="37" max="37" width="12.54296875" bestFit="1" customWidth="1"/>
    <col min="38" max="38" width="28.6328125" bestFit="1" customWidth="1"/>
    <col min="39" max="39" width="16" bestFit="1" customWidth="1"/>
    <col min="40" max="40" width="26.6328125" bestFit="1" customWidth="1"/>
    <col min="41" max="41" width="7.54296875" customWidth="1"/>
    <col min="42" max="42" width="41.08984375" bestFit="1" customWidth="1"/>
    <col min="43" max="43" width="10.36328125" bestFit="1" customWidth="1"/>
    <col min="44" max="44" width="16.6328125" bestFit="1" customWidth="1"/>
    <col min="45" max="45" width="17.08984375" bestFit="1" customWidth="1"/>
    <col min="46" max="46" width="12" bestFit="1" customWidth="1"/>
    <col min="47" max="47" width="20.1796875" bestFit="1" customWidth="1"/>
    <col min="48" max="48" width="24.36328125" bestFit="1" customWidth="1"/>
    <col min="49" max="49" width="18" bestFit="1" customWidth="1"/>
    <col min="50" max="50" width="26.36328125" bestFit="1" customWidth="1"/>
    <col min="52" max="52" width="41" bestFit="1" customWidth="1"/>
    <col min="54" max="54" width="10.6328125" bestFit="1" customWidth="1"/>
    <col min="55" max="55" width="17.90625" bestFit="1" customWidth="1"/>
    <col min="56" max="58" width="15.26953125" bestFit="1" customWidth="1"/>
    <col min="59" max="61" width="15.36328125" bestFit="1" customWidth="1"/>
    <col min="62" max="62" width="15.26953125" bestFit="1" customWidth="1"/>
    <col min="63" max="63" width="13.6328125" bestFit="1" customWidth="1"/>
    <col min="66" max="66" width="13.6328125" bestFit="1" customWidth="1"/>
    <col min="67" max="67" width="41" bestFit="1" customWidth="1"/>
    <col min="69" max="69" width="15.54296875" bestFit="1" customWidth="1"/>
    <col min="70" max="70" width="14.90625" bestFit="1" customWidth="1"/>
    <col min="71" max="71" width="21.36328125" bestFit="1" customWidth="1"/>
    <col min="72" max="72" width="9.90625" bestFit="1" customWidth="1"/>
    <col min="73" max="73" width="15.90625" bestFit="1" customWidth="1"/>
    <col min="74" max="74" width="12.7265625" bestFit="1" customWidth="1"/>
    <col min="76" max="76" width="13.6328125" bestFit="1" customWidth="1"/>
    <col min="77" max="77" width="39.54296875" bestFit="1" customWidth="1"/>
    <col min="78" max="78" width="8.1796875" bestFit="1" customWidth="1"/>
    <col min="79" max="79" width="15.54296875" bestFit="1" customWidth="1"/>
    <col min="80" max="80" width="14.90625" bestFit="1" customWidth="1"/>
    <col min="81" max="81" width="70.90625" bestFit="1" customWidth="1"/>
    <col min="82" max="82" width="9.90625" bestFit="1" customWidth="1"/>
    <col min="83" max="83" width="15.90625" bestFit="1" customWidth="1"/>
    <col min="84" max="84" width="17.54296875" bestFit="1" customWidth="1"/>
    <col min="85" max="85" width="21.6328125" bestFit="1" customWidth="1"/>
  </cols>
  <sheetData>
    <row r="1" spans="2:85" ht="15" thickBot="1">
      <c r="U1" s="79"/>
    </row>
    <row r="2" spans="2:85" ht="15.75" customHeight="1" thickBot="1">
      <c r="B2" s="170" t="s">
        <v>1289</v>
      </c>
      <c r="C2" s="170"/>
      <c r="D2" s="170"/>
      <c r="E2" s="170"/>
      <c r="F2" s="170"/>
      <c r="G2" s="170"/>
      <c r="H2" s="170"/>
      <c r="J2" s="170" t="s">
        <v>1290</v>
      </c>
      <c r="K2" s="170"/>
      <c r="L2" s="170"/>
      <c r="M2" s="170"/>
      <c r="N2" s="170"/>
      <c r="O2" s="170"/>
      <c r="P2" s="170"/>
      <c r="R2" s="170" t="s">
        <v>1291</v>
      </c>
      <c r="S2" s="170"/>
      <c r="T2" s="170"/>
      <c r="U2" s="170"/>
      <c r="V2" s="170"/>
      <c r="W2" s="170"/>
      <c r="X2" s="170"/>
      <c r="Y2" s="170"/>
      <c r="Z2" s="170"/>
      <c r="AA2" s="170"/>
      <c r="AB2" s="170"/>
      <c r="AD2" s="170" t="s">
        <v>1293</v>
      </c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P2" s="174" t="s">
        <v>1294</v>
      </c>
      <c r="AQ2" s="175"/>
      <c r="AR2" s="175"/>
      <c r="AS2" s="175"/>
      <c r="AT2" s="175"/>
      <c r="AU2" s="175"/>
      <c r="AV2" s="175"/>
      <c r="AW2" s="175"/>
      <c r="AX2" s="175"/>
      <c r="AY2" s="175"/>
      <c r="AZ2" s="176"/>
      <c r="BB2" s="171" t="s">
        <v>1394</v>
      </c>
      <c r="BC2" s="172"/>
      <c r="BD2" s="172"/>
      <c r="BE2" s="172"/>
      <c r="BF2" s="172"/>
      <c r="BG2" s="172"/>
      <c r="BH2" s="172"/>
      <c r="BI2" s="172"/>
      <c r="BJ2" s="172"/>
      <c r="BK2" s="173"/>
      <c r="BN2" s="174" t="s">
        <v>1296</v>
      </c>
      <c r="BO2" s="175"/>
      <c r="BP2" s="175"/>
      <c r="BQ2" s="175"/>
      <c r="BR2" s="175"/>
      <c r="BS2" s="175"/>
      <c r="BT2" s="175"/>
      <c r="BU2" s="175"/>
      <c r="BV2" s="176"/>
      <c r="BX2" s="171" t="s">
        <v>1295</v>
      </c>
      <c r="BY2" s="172"/>
      <c r="BZ2" s="172"/>
      <c r="CA2" s="172"/>
      <c r="CB2" s="172"/>
      <c r="CC2" s="172"/>
      <c r="CD2" s="172"/>
      <c r="CE2" s="172"/>
      <c r="CF2" s="173"/>
    </row>
    <row r="3" spans="2:85" ht="44" thickBot="1">
      <c r="B3" s="91" t="s">
        <v>558</v>
      </c>
      <c r="C3" s="91" t="s">
        <v>559</v>
      </c>
      <c r="D3" s="91" t="s">
        <v>10</v>
      </c>
      <c r="E3" s="91" t="s">
        <v>11</v>
      </c>
      <c r="F3" s="91" t="s">
        <v>565</v>
      </c>
      <c r="G3" s="92" t="s">
        <v>566</v>
      </c>
      <c r="H3" s="91" t="s">
        <v>567</v>
      </c>
      <c r="J3" s="91" t="s">
        <v>558</v>
      </c>
      <c r="K3" s="91" t="s">
        <v>559</v>
      </c>
      <c r="L3" s="91" t="s">
        <v>10</v>
      </c>
      <c r="M3" s="91" t="s">
        <v>11</v>
      </c>
      <c r="N3" s="91" t="s">
        <v>565</v>
      </c>
      <c r="O3" s="92" t="s">
        <v>566</v>
      </c>
      <c r="P3" s="91" t="s">
        <v>567</v>
      </c>
      <c r="R3" s="93" t="s">
        <v>832</v>
      </c>
      <c r="S3" s="93" t="s">
        <v>837</v>
      </c>
      <c r="T3" s="93" t="s">
        <v>838</v>
      </c>
      <c r="U3" s="93" t="s">
        <v>839</v>
      </c>
      <c r="V3" s="93" t="s">
        <v>840</v>
      </c>
      <c r="W3" s="93" t="s">
        <v>841</v>
      </c>
      <c r="X3" s="93" t="s">
        <v>842</v>
      </c>
      <c r="Y3" s="93" t="s">
        <v>1292</v>
      </c>
      <c r="Z3" s="93" t="s">
        <v>849</v>
      </c>
      <c r="AA3" s="93" t="s">
        <v>12</v>
      </c>
      <c r="AB3" s="93" t="s">
        <v>850</v>
      </c>
      <c r="AD3" s="103" t="s">
        <v>832</v>
      </c>
      <c r="AE3" s="103" t="s">
        <v>952</v>
      </c>
      <c r="AF3" s="103" t="s">
        <v>953</v>
      </c>
      <c r="AG3" s="103" t="s">
        <v>954</v>
      </c>
      <c r="AH3" s="103" t="s">
        <v>955</v>
      </c>
      <c r="AI3" s="103" t="s">
        <v>841</v>
      </c>
      <c r="AJ3" s="103" t="s">
        <v>956</v>
      </c>
      <c r="AK3" s="103" t="s">
        <v>842</v>
      </c>
      <c r="AL3" s="93" t="s">
        <v>849</v>
      </c>
      <c r="AM3" s="103" t="s">
        <v>12</v>
      </c>
      <c r="AN3" s="103" t="s">
        <v>850</v>
      </c>
      <c r="AP3" s="75" t="s">
        <v>832</v>
      </c>
      <c r="AQ3" s="76" t="s">
        <v>836</v>
      </c>
      <c r="AR3" s="76" t="s">
        <v>837</v>
      </c>
      <c r="AS3" s="76" t="s">
        <v>838</v>
      </c>
      <c r="AT3" s="76" t="s">
        <v>839</v>
      </c>
      <c r="AU3" s="76" t="s">
        <v>840</v>
      </c>
      <c r="AV3" s="76" t="s">
        <v>841</v>
      </c>
      <c r="AW3" s="76" t="s">
        <v>842</v>
      </c>
      <c r="AX3" s="76" t="s">
        <v>849</v>
      </c>
      <c r="AY3" s="76" t="s">
        <v>12</v>
      </c>
      <c r="AZ3" s="77" t="s">
        <v>850</v>
      </c>
      <c r="BB3" s="88" t="s">
        <v>1395</v>
      </c>
      <c r="BC3" s="88" t="s">
        <v>1363</v>
      </c>
      <c r="BD3" s="88" t="s">
        <v>1364</v>
      </c>
      <c r="BE3" s="88" t="s">
        <v>1365</v>
      </c>
      <c r="BF3" s="88" t="s">
        <v>1366</v>
      </c>
      <c r="BG3" s="88" t="s">
        <v>1367</v>
      </c>
      <c r="BH3" s="88" t="s">
        <v>1368</v>
      </c>
      <c r="BI3" s="88" t="s">
        <v>1369</v>
      </c>
      <c r="BJ3" s="88" t="s">
        <v>1370</v>
      </c>
      <c r="BK3" s="88" t="s">
        <v>1216</v>
      </c>
      <c r="BN3" s="91" t="s">
        <v>5</v>
      </c>
      <c r="BO3" s="91" t="s">
        <v>11</v>
      </c>
      <c r="BP3" s="91" t="s">
        <v>12</v>
      </c>
      <c r="BQ3" s="91" t="s">
        <v>70</v>
      </c>
      <c r="BR3" s="91" t="s">
        <v>71</v>
      </c>
      <c r="BS3" s="91" t="s">
        <v>72</v>
      </c>
      <c r="BT3" s="91" t="s">
        <v>361</v>
      </c>
      <c r="BU3" s="91" t="s">
        <v>362</v>
      </c>
      <c r="BV3" s="91" t="s">
        <v>391</v>
      </c>
      <c r="BX3" s="167" t="s">
        <v>5</v>
      </c>
      <c r="BY3" s="168" t="s">
        <v>11</v>
      </c>
      <c r="BZ3" s="168" t="s">
        <v>12</v>
      </c>
      <c r="CA3" s="168" t="s">
        <v>70</v>
      </c>
      <c r="CB3" s="168" t="s">
        <v>71</v>
      </c>
      <c r="CC3" s="168" t="s">
        <v>72</v>
      </c>
      <c r="CD3" s="168" t="s">
        <v>361</v>
      </c>
      <c r="CE3" s="168" t="s">
        <v>362</v>
      </c>
      <c r="CF3" s="169" t="s">
        <v>1228</v>
      </c>
    </row>
    <row r="4" spans="2:85" ht="20.149999999999999" customHeight="1">
      <c r="B4" s="4" t="s">
        <v>1298</v>
      </c>
      <c r="C4" s="4" t="s">
        <v>569</v>
      </c>
      <c r="D4" s="4" t="s">
        <v>828</v>
      </c>
      <c r="E4" s="4" t="s">
        <v>549</v>
      </c>
      <c r="F4" s="73">
        <v>46206</v>
      </c>
      <c r="G4" s="5">
        <v>3000</v>
      </c>
      <c r="H4" s="6">
        <v>161593.22</v>
      </c>
      <c r="J4" s="4" t="s">
        <v>812</v>
      </c>
      <c r="K4" s="4" t="s">
        <v>1487</v>
      </c>
      <c r="L4" s="4" t="s">
        <v>828</v>
      </c>
      <c r="M4" s="30" t="s">
        <v>368</v>
      </c>
      <c r="N4" s="73">
        <v>46262</v>
      </c>
      <c r="O4" s="5">
        <v>5000</v>
      </c>
      <c r="P4" s="6">
        <v>462750</v>
      </c>
      <c r="R4" s="40" t="s">
        <v>861</v>
      </c>
      <c r="S4" s="40" t="s">
        <v>388</v>
      </c>
      <c r="T4" s="42">
        <v>45821</v>
      </c>
      <c r="U4" s="43">
        <v>31878000</v>
      </c>
      <c r="V4" s="40" t="s">
        <v>388</v>
      </c>
      <c r="W4" s="40" t="s">
        <v>862</v>
      </c>
      <c r="X4" s="40" t="s">
        <v>863</v>
      </c>
      <c r="Y4" s="40"/>
      <c r="Z4" s="42">
        <v>46091</v>
      </c>
      <c r="AA4" s="44">
        <v>13800</v>
      </c>
      <c r="AB4" s="40" t="s">
        <v>865</v>
      </c>
      <c r="AD4" s="40" t="s">
        <v>861</v>
      </c>
      <c r="AE4" s="40" t="s">
        <v>388</v>
      </c>
      <c r="AF4" s="42">
        <v>45821</v>
      </c>
      <c r="AG4" s="43">
        <v>1500000</v>
      </c>
      <c r="AH4" s="40" t="s">
        <v>899</v>
      </c>
      <c r="AI4" s="40" t="s">
        <v>862</v>
      </c>
      <c r="AJ4" s="40" t="s">
        <v>966</v>
      </c>
      <c r="AK4" s="40"/>
      <c r="AL4" s="40"/>
      <c r="AM4" s="40"/>
      <c r="AN4" s="40"/>
      <c r="AP4" s="58" t="s">
        <v>1105</v>
      </c>
      <c r="AQ4" s="59" t="s">
        <v>373</v>
      </c>
      <c r="AR4" s="59" t="s">
        <v>388</v>
      </c>
      <c r="AS4" s="42">
        <v>45818</v>
      </c>
      <c r="AT4" s="60">
        <v>32970000</v>
      </c>
      <c r="AU4" s="56" t="s">
        <v>388</v>
      </c>
      <c r="AV4" s="56" t="s">
        <v>862</v>
      </c>
      <c r="AW4" s="56" t="s">
        <v>1106</v>
      </c>
      <c r="AX4" s="56"/>
      <c r="AY4" s="62">
        <v>48000</v>
      </c>
      <c r="AZ4" s="63" t="s">
        <v>1107</v>
      </c>
      <c r="BB4" s="23" t="s">
        <v>1371</v>
      </c>
      <c r="BC4" s="23" t="s">
        <v>1372</v>
      </c>
      <c r="BD4" s="23" t="s">
        <v>2404</v>
      </c>
      <c r="BE4" s="23" t="s">
        <v>2405</v>
      </c>
      <c r="BF4" s="23" t="s">
        <v>2406</v>
      </c>
      <c r="BG4" s="23" t="s">
        <v>2407</v>
      </c>
      <c r="BH4" s="23" t="s">
        <v>2408</v>
      </c>
      <c r="BI4" s="23" t="s">
        <v>2409</v>
      </c>
      <c r="BJ4" s="23" t="s">
        <v>2410</v>
      </c>
      <c r="BK4" s="23" t="s">
        <v>2411</v>
      </c>
      <c r="BN4" s="74" t="s">
        <v>364</v>
      </c>
      <c r="BO4" s="74" t="s">
        <v>368</v>
      </c>
      <c r="BP4" s="78">
        <v>155000</v>
      </c>
      <c r="BQ4" s="74" t="s">
        <v>388</v>
      </c>
      <c r="BR4" s="74"/>
      <c r="BS4" s="74" t="s">
        <v>389</v>
      </c>
      <c r="BT4" s="74" t="s">
        <v>1219</v>
      </c>
      <c r="BU4" s="74" t="s">
        <v>1323</v>
      </c>
      <c r="BV4" s="74" t="s">
        <v>391</v>
      </c>
      <c r="BX4" s="74" t="s">
        <v>74</v>
      </c>
      <c r="BY4" s="74" t="s">
        <v>78</v>
      </c>
      <c r="BZ4" s="78">
        <v>4700</v>
      </c>
      <c r="CA4" s="74" t="s">
        <v>388</v>
      </c>
      <c r="CB4" s="74" t="s">
        <v>1221</v>
      </c>
      <c r="CC4" s="74" t="s">
        <v>1222</v>
      </c>
      <c r="CD4" s="41" t="s">
        <v>1223</v>
      </c>
      <c r="CE4" s="41" t="s">
        <v>1220</v>
      </c>
      <c r="CF4" s="41"/>
      <c r="CG4" s="41"/>
    </row>
    <row r="5" spans="2:85" ht="20.149999999999999" customHeight="1">
      <c r="B5" s="4" t="s">
        <v>1298</v>
      </c>
      <c r="C5" s="4" t="s">
        <v>569</v>
      </c>
      <c r="D5" s="4" t="s">
        <v>828</v>
      </c>
      <c r="E5" s="4" t="s">
        <v>332</v>
      </c>
      <c r="F5" s="73">
        <v>46206</v>
      </c>
      <c r="G5" s="5">
        <v>6500</v>
      </c>
      <c r="H5" s="6">
        <v>318500</v>
      </c>
      <c r="J5" s="4" t="s">
        <v>812</v>
      </c>
      <c r="K5" s="4" t="s">
        <v>1487</v>
      </c>
      <c r="L5" s="4" t="s">
        <v>828</v>
      </c>
      <c r="M5" s="30" t="s">
        <v>125</v>
      </c>
      <c r="N5" s="73">
        <v>46262</v>
      </c>
      <c r="O5" s="5">
        <v>74992</v>
      </c>
      <c r="P5" s="6">
        <v>5881787.7999999998</v>
      </c>
      <c r="R5" s="40" t="s">
        <v>861</v>
      </c>
      <c r="S5" s="40" t="s">
        <v>388</v>
      </c>
      <c r="T5" s="42">
        <v>45821</v>
      </c>
      <c r="U5" s="43">
        <v>1732500</v>
      </c>
      <c r="V5" s="40" t="s">
        <v>388</v>
      </c>
      <c r="W5" s="40" t="s">
        <v>862</v>
      </c>
      <c r="X5" s="40" t="s">
        <v>863</v>
      </c>
      <c r="Y5" s="40"/>
      <c r="Z5" s="42">
        <v>46091</v>
      </c>
      <c r="AA5" s="44">
        <v>750</v>
      </c>
      <c r="AB5" s="40" t="s">
        <v>870</v>
      </c>
      <c r="AD5" s="46" t="s">
        <v>967</v>
      </c>
      <c r="AE5" s="40" t="s">
        <v>388</v>
      </c>
      <c r="AF5" s="42">
        <v>45757</v>
      </c>
      <c r="AG5" s="94">
        <v>7564000</v>
      </c>
      <c r="AH5" s="46" t="s">
        <v>388</v>
      </c>
      <c r="AI5" s="46" t="s">
        <v>862</v>
      </c>
      <c r="AJ5" s="46"/>
      <c r="AK5" s="46" t="s">
        <v>968</v>
      </c>
      <c r="AL5" s="40"/>
      <c r="AM5" s="46">
        <v>125000</v>
      </c>
      <c r="AN5" s="46" t="s">
        <v>969</v>
      </c>
      <c r="AP5" s="57" t="s">
        <v>1105</v>
      </c>
      <c r="AQ5" s="56" t="s">
        <v>373</v>
      </c>
      <c r="AR5" s="56" t="s">
        <v>388</v>
      </c>
      <c r="AS5" s="42">
        <v>45818</v>
      </c>
      <c r="AT5" s="60"/>
      <c r="AU5" s="56" t="s">
        <v>388</v>
      </c>
      <c r="AV5" s="56" t="s">
        <v>862</v>
      </c>
      <c r="AW5" s="56" t="s">
        <v>1106</v>
      </c>
      <c r="AX5" s="56"/>
      <c r="AY5" s="64">
        <v>18000</v>
      </c>
      <c r="AZ5" s="57" t="s">
        <v>1108</v>
      </c>
      <c r="BB5" s="23" t="s">
        <v>1371</v>
      </c>
      <c r="BC5" s="23" t="s">
        <v>1373</v>
      </c>
      <c r="BD5" s="23" t="s">
        <v>2412</v>
      </c>
      <c r="BE5" s="23" t="s">
        <v>2413</v>
      </c>
      <c r="BF5" s="23" t="s">
        <v>2414</v>
      </c>
      <c r="BG5" s="23" t="s">
        <v>2415</v>
      </c>
      <c r="BH5" s="23" t="s">
        <v>2416</v>
      </c>
      <c r="BI5" s="23" t="s">
        <v>2417</v>
      </c>
      <c r="BJ5" s="23" t="s">
        <v>1683</v>
      </c>
      <c r="BK5" s="23" t="s">
        <v>2418</v>
      </c>
      <c r="BN5" s="74" t="s">
        <v>364</v>
      </c>
      <c r="BO5" s="74" t="s">
        <v>368</v>
      </c>
      <c r="BP5" s="78">
        <v>155000</v>
      </c>
      <c r="BQ5" s="74" t="s">
        <v>388</v>
      </c>
      <c r="BR5" s="74"/>
      <c r="BS5" s="74" t="s">
        <v>389</v>
      </c>
      <c r="BT5" s="74" t="s">
        <v>1219</v>
      </c>
      <c r="BU5" s="74" t="s">
        <v>1323</v>
      </c>
      <c r="BV5" s="74" t="s">
        <v>391</v>
      </c>
      <c r="BX5" s="74" t="s">
        <v>227</v>
      </c>
      <c r="BY5" s="74" t="s">
        <v>78</v>
      </c>
      <c r="BZ5" s="78">
        <v>13732</v>
      </c>
      <c r="CA5" s="74" t="s">
        <v>388</v>
      </c>
      <c r="CB5" s="74" t="s">
        <v>1221</v>
      </c>
      <c r="CC5" s="74" t="s">
        <v>1222</v>
      </c>
      <c r="CD5" s="41" t="s">
        <v>1223</v>
      </c>
      <c r="CE5" s="41" t="s">
        <v>1220</v>
      </c>
      <c r="CF5" s="41"/>
      <c r="CG5" s="41"/>
    </row>
    <row r="6" spans="2:85" ht="20.149999999999999" customHeight="1">
      <c r="B6" s="4" t="s">
        <v>1298</v>
      </c>
      <c r="C6" s="4" t="s">
        <v>569</v>
      </c>
      <c r="D6" s="4" t="s">
        <v>828</v>
      </c>
      <c r="E6" s="4" t="s">
        <v>322</v>
      </c>
      <c r="F6" s="73">
        <v>46211</v>
      </c>
      <c r="G6" s="5">
        <v>300</v>
      </c>
      <c r="H6" s="6">
        <v>22500</v>
      </c>
      <c r="J6" s="4" t="s">
        <v>812</v>
      </c>
      <c r="K6" s="4" t="s">
        <v>1487</v>
      </c>
      <c r="L6" s="4" t="s">
        <v>828</v>
      </c>
      <c r="M6" s="30" t="s">
        <v>125</v>
      </c>
      <c r="N6" s="73">
        <v>46262</v>
      </c>
      <c r="O6" s="5">
        <v>25008</v>
      </c>
      <c r="P6" s="6">
        <v>1961432.54</v>
      </c>
      <c r="R6" s="46" t="s">
        <v>872</v>
      </c>
      <c r="S6" s="40" t="s">
        <v>388</v>
      </c>
      <c r="T6" s="42">
        <v>45790</v>
      </c>
      <c r="U6" s="47">
        <v>78540000</v>
      </c>
      <c r="V6" s="46" t="s">
        <v>388</v>
      </c>
      <c r="W6" s="46" t="s">
        <v>862</v>
      </c>
      <c r="X6" s="46" t="s">
        <v>863</v>
      </c>
      <c r="Y6" s="40"/>
      <c r="Z6" s="42">
        <v>46064</v>
      </c>
      <c r="AA6" s="48">
        <v>7000</v>
      </c>
      <c r="AB6" s="46" t="s">
        <v>873</v>
      </c>
      <c r="AD6" s="40" t="s">
        <v>970</v>
      </c>
      <c r="AE6" s="40" t="s">
        <v>388</v>
      </c>
      <c r="AF6" s="42">
        <v>45778</v>
      </c>
      <c r="AG6" s="95">
        <v>40000000</v>
      </c>
      <c r="AH6" s="40" t="s">
        <v>899</v>
      </c>
      <c r="AI6" s="40" t="s">
        <v>862</v>
      </c>
      <c r="AJ6" s="40" t="s">
        <v>971</v>
      </c>
      <c r="AK6" s="40" t="s">
        <v>972</v>
      </c>
      <c r="AL6" s="46"/>
      <c r="AM6" s="40">
        <v>350000</v>
      </c>
      <c r="AN6" s="40" t="s">
        <v>973</v>
      </c>
      <c r="AP6" s="58" t="s">
        <v>1105</v>
      </c>
      <c r="AQ6" s="56" t="s">
        <v>373</v>
      </c>
      <c r="AR6" s="56" t="s">
        <v>388</v>
      </c>
      <c r="AS6" s="42">
        <v>45818</v>
      </c>
      <c r="AT6" s="65"/>
      <c r="AU6" s="56" t="s">
        <v>388</v>
      </c>
      <c r="AV6" s="56" t="s">
        <v>862</v>
      </c>
      <c r="AW6" s="56" t="s">
        <v>1106</v>
      </c>
      <c r="AX6" s="59"/>
      <c r="AY6" s="66">
        <v>3000</v>
      </c>
      <c r="AZ6" s="58" t="s">
        <v>1109</v>
      </c>
      <c r="BB6" s="23" t="s">
        <v>1371</v>
      </c>
      <c r="BC6" s="23" t="s">
        <v>1374</v>
      </c>
      <c r="BD6" s="23" t="s">
        <v>2419</v>
      </c>
      <c r="BE6" s="23" t="s">
        <v>2420</v>
      </c>
      <c r="BF6" s="23" t="s">
        <v>2421</v>
      </c>
      <c r="BG6" s="23" t="s">
        <v>2422</v>
      </c>
      <c r="BH6" s="23" t="s">
        <v>2423</v>
      </c>
      <c r="BI6" s="23" t="s">
        <v>1684</v>
      </c>
      <c r="BJ6" s="23" t="s">
        <v>2424</v>
      </c>
      <c r="BK6" s="23" t="s">
        <v>2425</v>
      </c>
      <c r="BN6" s="74" t="s">
        <v>364</v>
      </c>
      <c r="BO6" s="74" t="s">
        <v>368</v>
      </c>
      <c r="BP6" s="78">
        <v>90000</v>
      </c>
      <c r="BQ6" s="74" t="s">
        <v>388</v>
      </c>
      <c r="BR6" s="74"/>
      <c r="BS6" s="74" t="s">
        <v>389</v>
      </c>
      <c r="BT6" s="74" t="s">
        <v>1219</v>
      </c>
      <c r="BU6" s="74" t="s">
        <v>1323</v>
      </c>
      <c r="BV6" s="74" t="s">
        <v>391</v>
      </c>
      <c r="BX6" s="74" t="s">
        <v>100</v>
      </c>
      <c r="BY6" s="74" t="s">
        <v>103</v>
      </c>
      <c r="BZ6" s="78">
        <v>46000</v>
      </c>
      <c r="CA6" s="74" t="s">
        <v>388</v>
      </c>
      <c r="CB6" s="74" t="s">
        <v>1225</v>
      </c>
      <c r="CC6" s="74" t="s">
        <v>1226</v>
      </c>
      <c r="CD6" s="41" t="s">
        <v>1227</v>
      </c>
      <c r="CE6" s="41" t="s">
        <v>1224</v>
      </c>
      <c r="CF6" s="41" t="s">
        <v>1229</v>
      </c>
      <c r="CG6" s="41"/>
    </row>
    <row r="7" spans="2:85" ht="20.149999999999999" customHeight="1">
      <c r="B7" s="4" t="s">
        <v>1400</v>
      </c>
      <c r="C7" s="4" t="s">
        <v>569</v>
      </c>
      <c r="D7" s="4" t="s">
        <v>1288</v>
      </c>
      <c r="E7" s="4" t="s">
        <v>592</v>
      </c>
      <c r="F7" s="73">
        <v>46219</v>
      </c>
      <c r="G7" s="5">
        <v>15000</v>
      </c>
      <c r="H7" s="6">
        <v>314685.31</v>
      </c>
      <c r="J7" s="4" t="s">
        <v>1672</v>
      </c>
      <c r="K7" s="4" t="s">
        <v>1487</v>
      </c>
      <c r="L7" s="4" t="s">
        <v>824</v>
      </c>
      <c r="M7" s="30" t="s">
        <v>827</v>
      </c>
      <c r="N7" s="73">
        <v>46219</v>
      </c>
      <c r="O7" s="5">
        <v>2748</v>
      </c>
      <c r="P7" s="6">
        <v>6086820</v>
      </c>
      <c r="R7" s="46" t="s">
        <v>875</v>
      </c>
      <c r="S7" s="40" t="s">
        <v>388</v>
      </c>
      <c r="T7" s="42">
        <v>45790</v>
      </c>
      <c r="U7" s="47"/>
      <c r="V7" s="46" t="s">
        <v>388</v>
      </c>
      <c r="W7" s="46" t="s">
        <v>862</v>
      </c>
      <c r="X7" s="46" t="s">
        <v>863</v>
      </c>
      <c r="Y7" s="40"/>
      <c r="Z7" s="42">
        <v>46064</v>
      </c>
      <c r="AA7" s="48">
        <v>14000</v>
      </c>
      <c r="AB7" s="46" t="s">
        <v>873</v>
      </c>
      <c r="AD7" s="40" t="s">
        <v>975</v>
      </c>
      <c r="AE7" s="46" t="s">
        <v>388</v>
      </c>
      <c r="AF7" s="42">
        <v>45789</v>
      </c>
      <c r="AG7" s="96" t="e">
        <f>#REF!</f>
        <v>#REF!</v>
      </c>
      <c r="AH7" s="40" t="s">
        <v>388</v>
      </c>
      <c r="AI7" s="40" t="s">
        <v>862</v>
      </c>
      <c r="AJ7" s="40"/>
      <c r="AK7" s="40" t="s">
        <v>976</v>
      </c>
      <c r="AL7" s="97">
        <v>46005</v>
      </c>
      <c r="AM7" s="44">
        <v>50000</v>
      </c>
      <c r="AN7" s="40" t="s">
        <v>977</v>
      </c>
      <c r="AP7" s="63" t="s">
        <v>970</v>
      </c>
      <c r="AQ7" s="56" t="s">
        <v>373</v>
      </c>
      <c r="AR7" s="56" t="s">
        <v>388</v>
      </c>
      <c r="AS7" s="42">
        <v>45785</v>
      </c>
      <c r="AT7" s="67">
        <v>2000000</v>
      </c>
      <c r="AU7" s="56" t="s">
        <v>388</v>
      </c>
      <c r="AV7" s="56" t="s">
        <v>862</v>
      </c>
      <c r="AW7" s="56" t="s">
        <v>1106</v>
      </c>
      <c r="AX7" s="59"/>
      <c r="AY7" s="62">
        <v>5000</v>
      </c>
      <c r="AZ7" s="63" t="s">
        <v>1107</v>
      </c>
      <c r="BB7" s="23" t="s">
        <v>752</v>
      </c>
      <c r="BC7" s="23" t="s">
        <v>1372</v>
      </c>
      <c r="BD7" s="23"/>
      <c r="BE7" s="23" t="s">
        <v>1685</v>
      </c>
      <c r="BF7" s="23"/>
      <c r="BG7" s="23" t="s">
        <v>2426</v>
      </c>
      <c r="BH7" s="23" t="s">
        <v>2427</v>
      </c>
      <c r="BI7" s="23" t="s">
        <v>2428</v>
      </c>
      <c r="BJ7" s="23"/>
      <c r="BK7" s="23" t="s">
        <v>1686</v>
      </c>
      <c r="BN7" s="74" t="s">
        <v>364</v>
      </c>
      <c r="BO7" s="74" t="s">
        <v>125</v>
      </c>
      <c r="BP7" s="78">
        <v>155000</v>
      </c>
      <c r="BQ7" s="74" t="s">
        <v>388</v>
      </c>
      <c r="BR7" s="74"/>
      <c r="BS7" s="74" t="s">
        <v>389</v>
      </c>
      <c r="BT7" s="74" t="s">
        <v>1219</v>
      </c>
      <c r="BU7" s="74" t="s">
        <v>1323</v>
      </c>
      <c r="BV7" s="74" t="s">
        <v>391</v>
      </c>
      <c r="BX7" s="74" t="s">
        <v>303</v>
      </c>
      <c r="BY7" s="74" t="s">
        <v>103</v>
      </c>
      <c r="BZ7" s="78">
        <v>4000</v>
      </c>
      <c r="CA7" s="74" t="s">
        <v>388</v>
      </c>
      <c r="CB7" s="74" t="s">
        <v>1225</v>
      </c>
      <c r="CC7" s="74" t="s">
        <v>1226</v>
      </c>
      <c r="CD7" s="41" t="s">
        <v>1227</v>
      </c>
      <c r="CE7" s="41" t="s">
        <v>1224</v>
      </c>
      <c r="CF7" s="41" t="s">
        <v>1229</v>
      </c>
      <c r="CG7" s="41"/>
    </row>
    <row r="8" spans="2:85" ht="20.149999999999999" customHeight="1">
      <c r="B8" s="4" t="s">
        <v>1400</v>
      </c>
      <c r="C8" s="4" t="s">
        <v>569</v>
      </c>
      <c r="D8" s="4" t="s">
        <v>1288</v>
      </c>
      <c r="E8" s="4" t="s">
        <v>115</v>
      </c>
      <c r="F8" s="73">
        <v>46219</v>
      </c>
      <c r="G8" s="5">
        <v>500</v>
      </c>
      <c r="H8" s="6">
        <v>329670.33</v>
      </c>
      <c r="J8" s="4" t="s">
        <v>1672</v>
      </c>
      <c r="K8" s="4" t="s">
        <v>1487</v>
      </c>
      <c r="L8" s="4" t="s">
        <v>824</v>
      </c>
      <c r="M8" s="30" t="s">
        <v>827</v>
      </c>
      <c r="N8" s="73">
        <v>46219</v>
      </c>
      <c r="O8" s="5">
        <v>2852</v>
      </c>
      <c r="P8" s="6">
        <v>6317180</v>
      </c>
      <c r="R8" s="46" t="s">
        <v>872</v>
      </c>
      <c r="S8" s="40" t="s">
        <v>388</v>
      </c>
      <c r="T8" s="42">
        <v>45790</v>
      </c>
      <c r="U8" s="47"/>
      <c r="V8" s="46" t="s">
        <v>388</v>
      </c>
      <c r="W8" s="46" t="s">
        <v>862</v>
      </c>
      <c r="X8" s="46" t="s">
        <v>863</v>
      </c>
      <c r="Y8" s="40"/>
      <c r="Z8" s="42">
        <v>46088</v>
      </c>
      <c r="AA8" s="48">
        <v>7000</v>
      </c>
      <c r="AB8" s="46" t="s">
        <v>873</v>
      </c>
      <c r="AD8" s="40" t="s">
        <v>975</v>
      </c>
      <c r="AE8" s="40" t="s">
        <v>388</v>
      </c>
      <c r="AF8" s="42">
        <v>45789</v>
      </c>
      <c r="AG8" s="96" t="e">
        <f>#REF!</f>
        <v>#REF!</v>
      </c>
      <c r="AH8" s="40" t="s">
        <v>388</v>
      </c>
      <c r="AI8" s="40" t="s">
        <v>862</v>
      </c>
      <c r="AJ8" s="40"/>
      <c r="AK8" s="40" t="s">
        <v>976</v>
      </c>
      <c r="AL8" s="97">
        <v>46005</v>
      </c>
      <c r="AM8" s="44">
        <v>50000</v>
      </c>
      <c r="AN8" s="40" t="s">
        <v>978</v>
      </c>
      <c r="AP8" s="57" t="s">
        <v>814</v>
      </c>
      <c r="AQ8" s="56" t="s">
        <v>373</v>
      </c>
      <c r="AR8" s="56" t="s">
        <v>388</v>
      </c>
      <c r="AS8" s="42">
        <v>45790</v>
      </c>
      <c r="AT8" s="60">
        <v>30600000</v>
      </c>
      <c r="AU8" s="56" t="s">
        <v>388</v>
      </c>
      <c r="AV8" s="56" t="s">
        <v>862</v>
      </c>
      <c r="AW8" s="56" t="s">
        <v>1106</v>
      </c>
      <c r="AX8" s="56" t="s">
        <v>1113</v>
      </c>
      <c r="AY8" s="64">
        <v>45000</v>
      </c>
      <c r="AZ8" s="57" t="s">
        <v>1107</v>
      </c>
      <c r="BB8" s="23" t="s">
        <v>752</v>
      </c>
      <c r="BC8" s="23" t="s">
        <v>1373</v>
      </c>
      <c r="BD8" s="23" t="s">
        <v>2429</v>
      </c>
      <c r="BE8" s="23" t="s">
        <v>2430</v>
      </c>
      <c r="BF8" s="23"/>
      <c r="BG8" s="23" t="s">
        <v>2431</v>
      </c>
      <c r="BH8" s="23" t="s">
        <v>2432</v>
      </c>
      <c r="BI8" s="23" t="s">
        <v>2433</v>
      </c>
      <c r="BJ8" s="23" t="s">
        <v>1687</v>
      </c>
      <c r="BK8" s="23" t="s">
        <v>2434</v>
      </c>
      <c r="BN8" s="74" t="s">
        <v>364</v>
      </c>
      <c r="BO8" s="74" t="s">
        <v>125</v>
      </c>
      <c r="BP8" s="78">
        <v>155000</v>
      </c>
      <c r="BQ8" s="74" t="s">
        <v>388</v>
      </c>
      <c r="BR8" s="74"/>
      <c r="BS8" s="74" t="s">
        <v>389</v>
      </c>
      <c r="BT8" s="74" t="s">
        <v>1219</v>
      </c>
      <c r="BU8" s="74" t="s">
        <v>1323</v>
      </c>
      <c r="BV8" s="74" t="s">
        <v>391</v>
      </c>
      <c r="BX8" s="74" t="s">
        <v>100</v>
      </c>
      <c r="BY8" s="74" t="s">
        <v>110</v>
      </c>
      <c r="BZ8" s="78">
        <v>50000</v>
      </c>
      <c r="CA8" s="74" t="s">
        <v>388</v>
      </c>
      <c r="CB8" s="74" t="s">
        <v>1225</v>
      </c>
      <c r="CC8" s="74" t="s">
        <v>1226</v>
      </c>
      <c r="CD8" s="41" t="s">
        <v>1227</v>
      </c>
      <c r="CE8" s="41" t="s">
        <v>1224</v>
      </c>
      <c r="CF8" s="41" t="s">
        <v>1229</v>
      </c>
      <c r="CG8" s="41"/>
    </row>
    <row r="9" spans="2:85" ht="20.149999999999999" customHeight="1">
      <c r="B9" s="4" t="s">
        <v>1400</v>
      </c>
      <c r="C9" s="4" t="s">
        <v>569</v>
      </c>
      <c r="D9" s="4" t="s">
        <v>1288</v>
      </c>
      <c r="E9" s="4" t="s">
        <v>238</v>
      </c>
      <c r="F9" s="73">
        <v>46219</v>
      </c>
      <c r="G9" s="5">
        <v>1200</v>
      </c>
      <c r="H9" s="6">
        <v>65934.070000000007</v>
      </c>
      <c r="J9" s="4" t="s">
        <v>812</v>
      </c>
      <c r="K9" s="4" t="s">
        <v>1487</v>
      </c>
      <c r="L9" s="4" t="s">
        <v>828</v>
      </c>
      <c r="M9" s="30" t="s">
        <v>519</v>
      </c>
      <c r="N9" s="73">
        <v>46233</v>
      </c>
      <c r="O9" s="5">
        <v>1000</v>
      </c>
      <c r="P9" s="6">
        <v>92550</v>
      </c>
      <c r="R9" s="46" t="s">
        <v>875</v>
      </c>
      <c r="S9" s="40" t="s">
        <v>388</v>
      </c>
      <c r="T9" s="42">
        <v>45790</v>
      </c>
      <c r="U9" s="47"/>
      <c r="V9" s="46" t="s">
        <v>388</v>
      </c>
      <c r="W9" s="46" t="s">
        <v>862</v>
      </c>
      <c r="X9" s="46" t="s">
        <v>863</v>
      </c>
      <c r="Y9" s="40"/>
      <c r="Z9" s="42">
        <v>46087</v>
      </c>
      <c r="AA9" s="48">
        <v>12000</v>
      </c>
      <c r="AB9" s="46" t="s">
        <v>873</v>
      </c>
      <c r="AD9" s="40" t="s">
        <v>975</v>
      </c>
      <c r="AE9" s="40" t="s">
        <v>388</v>
      </c>
      <c r="AF9" s="42">
        <v>45789</v>
      </c>
      <c r="AG9" s="96">
        <v>16073500</v>
      </c>
      <c r="AH9" s="40" t="s">
        <v>388</v>
      </c>
      <c r="AI9" s="40" t="s">
        <v>862</v>
      </c>
      <c r="AJ9" s="40"/>
      <c r="AK9" s="40" t="s">
        <v>976</v>
      </c>
      <c r="AL9" s="97">
        <v>46082</v>
      </c>
      <c r="AM9" s="44">
        <v>157000</v>
      </c>
      <c r="AN9" s="40" t="s">
        <v>981</v>
      </c>
      <c r="AP9" s="63" t="s">
        <v>975</v>
      </c>
      <c r="AQ9" s="56" t="s">
        <v>373</v>
      </c>
      <c r="AR9" s="56" t="s">
        <v>388</v>
      </c>
      <c r="AS9" s="42">
        <v>45790</v>
      </c>
      <c r="AT9" s="67">
        <v>40000000</v>
      </c>
      <c r="AU9" s="56" t="s">
        <v>388</v>
      </c>
      <c r="AV9" s="56" t="s">
        <v>862</v>
      </c>
      <c r="AW9" s="56" t="s">
        <v>1106</v>
      </c>
      <c r="AX9" s="61"/>
      <c r="AY9" s="64">
        <v>6000</v>
      </c>
      <c r="AZ9" s="57" t="s">
        <v>1115</v>
      </c>
      <c r="BB9" s="23" t="s">
        <v>1216</v>
      </c>
      <c r="BC9" s="23"/>
      <c r="BD9" s="23" t="s">
        <v>2435</v>
      </c>
      <c r="BE9" s="23" t="s">
        <v>2436</v>
      </c>
      <c r="BF9" s="23" t="s">
        <v>2437</v>
      </c>
      <c r="BG9" s="23" t="s">
        <v>2438</v>
      </c>
      <c r="BH9" s="23" t="s">
        <v>2439</v>
      </c>
      <c r="BI9" s="23" t="s">
        <v>2440</v>
      </c>
      <c r="BJ9" s="23" t="s">
        <v>2441</v>
      </c>
      <c r="BK9" s="23" t="s">
        <v>2442</v>
      </c>
      <c r="BN9" s="74" t="s">
        <v>364</v>
      </c>
      <c r="BO9" s="74" t="s">
        <v>125</v>
      </c>
      <c r="BP9" s="78">
        <v>35000</v>
      </c>
      <c r="BQ9" s="74" t="s">
        <v>388</v>
      </c>
      <c r="BR9" s="74"/>
      <c r="BS9" s="74" t="s">
        <v>389</v>
      </c>
      <c r="BT9" s="74" t="s">
        <v>1219</v>
      </c>
      <c r="BU9" s="74" t="s">
        <v>1323</v>
      </c>
      <c r="BV9" s="74" t="s">
        <v>391</v>
      </c>
      <c r="BX9" s="74" t="s">
        <v>100</v>
      </c>
      <c r="BY9" s="74" t="s">
        <v>115</v>
      </c>
      <c r="BZ9" s="78">
        <v>3800</v>
      </c>
      <c r="CA9" s="74" t="s">
        <v>388</v>
      </c>
      <c r="CB9" s="74" t="s">
        <v>1225</v>
      </c>
      <c r="CC9" s="74" t="s">
        <v>1226</v>
      </c>
      <c r="CD9" s="41" t="s">
        <v>1227</v>
      </c>
      <c r="CE9" s="41" t="s">
        <v>1224</v>
      </c>
      <c r="CF9" s="41" t="s">
        <v>1229</v>
      </c>
      <c r="CG9" s="41"/>
    </row>
    <row r="10" spans="2:85" ht="20.149999999999999" customHeight="1">
      <c r="B10" s="4" t="s">
        <v>705</v>
      </c>
      <c r="C10" s="4" t="s">
        <v>569</v>
      </c>
      <c r="D10" s="4" t="s">
        <v>824</v>
      </c>
      <c r="E10" s="4" t="s">
        <v>326</v>
      </c>
      <c r="F10" s="73">
        <v>46228</v>
      </c>
      <c r="G10" s="5">
        <v>200</v>
      </c>
      <c r="H10" s="6">
        <v>86913.09</v>
      </c>
      <c r="J10" s="4" t="s">
        <v>812</v>
      </c>
      <c r="K10" s="4" t="s">
        <v>1487</v>
      </c>
      <c r="L10" s="4" t="s">
        <v>828</v>
      </c>
      <c r="M10" s="30" t="s">
        <v>368</v>
      </c>
      <c r="N10" s="73">
        <v>46233</v>
      </c>
      <c r="O10" s="5">
        <v>510</v>
      </c>
      <c r="P10" s="6">
        <v>47200.5</v>
      </c>
      <c r="R10" s="46" t="s">
        <v>872</v>
      </c>
      <c r="S10" s="40" t="s">
        <v>388</v>
      </c>
      <c r="T10" s="42">
        <v>45790</v>
      </c>
      <c r="U10" s="47"/>
      <c r="V10" s="46" t="s">
        <v>388</v>
      </c>
      <c r="W10" s="46" t="s">
        <v>862</v>
      </c>
      <c r="X10" s="46" t="s">
        <v>863</v>
      </c>
      <c r="Y10" s="40"/>
      <c r="Z10" s="42"/>
      <c r="AA10" s="48">
        <v>10000</v>
      </c>
      <c r="AB10" s="46" t="s">
        <v>873</v>
      </c>
      <c r="AD10" s="40" t="s">
        <v>975</v>
      </c>
      <c r="AE10" s="40" t="s">
        <v>388</v>
      </c>
      <c r="AF10" s="42">
        <v>45789</v>
      </c>
      <c r="AG10" s="96">
        <v>37247000</v>
      </c>
      <c r="AH10" s="40" t="s">
        <v>388</v>
      </c>
      <c r="AI10" s="40" t="s">
        <v>862</v>
      </c>
      <c r="AJ10" s="40"/>
      <c r="AK10" s="40" t="s">
        <v>976</v>
      </c>
      <c r="AL10" s="46"/>
      <c r="AM10" s="44">
        <v>340000</v>
      </c>
      <c r="AN10" s="40" t="s">
        <v>982</v>
      </c>
      <c r="AP10" s="63" t="s">
        <v>975</v>
      </c>
      <c r="AQ10" s="56" t="s">
        <v>373</v>
      </c>
      <c r="AR10" s="56" t="s">
        <v>388</v>
      </c>
      <c r="AS10" s="42">
        <v>45790</v>
      </c>
      <c r="AT10" s="67"/>
      <c r="AU10" s="56" t="s">
        <v>388</v>
      </c>
      <c r="AV10" s="56" t="s">
        <v>862</v>
      </c>
      <c r="AW10" s="56" t="s">
        <v>1106</v>
      </c>
      <c r="AX10" s="61"/>
      <c r="AY10" s="62">
        <v>20000</v>
      </c>
      <c r="AZ10" s="63" t="s">
        <v>1116</v>
      </c>
      <c r="BN10" s="74" t="s">
        <v>364</v>
      </c>
      <c r="BO10" s="74" t="s">
        <v>125</v>
      </c>
      <c r="BP10" s="78">
        <v>155000</v>
      </c>
      <c r="BQ10" s="74" t="s">
        <v>388</v>
      </c>
      <c r="BR10" s="74"/>
      <c r="BS10" s="74" t="s">
        <v>389</v>
      </c>
      <c r="BT10" s="74" t="s">
        <v>1219</v>
      </c>
      <c r="BU10" s="74" t="s">
        <v>1323</v>
      </c>
      <c r="BV10" s="74" t="s">
        <v>391</v>
      </c>
      <c r="BX10" s="74" t="s">
        <v>100</v>
      </c>
      <c r="BY10" s="74" t="s">
        <v>115</v>
      </c>
      <c r="BZ10" s="78">
        <v>46200</v>
      </c>
      <c r="CA10" s="74" t="s">
        <v>388</v>
      </c>
      <c r="CB10" s="74" t="s">
        <v>1225</v>
      </c>
      <c r="CC10" s="74" t="s">
        <v>1226</v>
      </c>
      <c r="CD10" s="41" t="s">
        <v>1227</v>
      </c>
      <c r="CE10" s="41" t="s">
        <v>1224</v>
      </c>
      <c r="CF10" s="41" t="s">
        <v>1229</v>
      </c>
      <c r="CG10" s="41"/>
    </row>
    <row r="11" spans="2:85" ht="20.149999999999999" customHeight="1">
      <c r="B11" s="4" t="s">
        <v>705</v>
      </c>
      <c r="C11" s="4" t="s">
        <v>569</v>
      </c>
      <c r="D11" s="4" t="s">
        <v>824</v>
      </c>
      <c r="E11" s="4" t="s">
        <v>139</v>
      </c>
      <c r="F11" s="73">
        <v>46228</v>
      </c>
      <c r="G11" s="5">
        <v>75</v>
      </c>
      <c r="H11" s="6">
        <v>93656.34</v>
      </c>
      <c r="J11" s="4" t="s">
        <v>812</v>
      </c>
      <c r="K11" s="4" t="s">
        <v>1487</v>
      </c>
      <c r="L11" s="4" t="s">
        <v>828</v>
      </c>
      <c r="M11" s="30" t="s">
        <v>368</v>
      </c>
      <c r="N11" s="73">
        <v>46233</v>
      </c>
      <c r="O11" s="5">
        <v>5490</v>
      </c>
      <c r="P11" s="6">
        <v>508099.5</v>
      </c>
      <c r="R11" s="46" t="s">
        <v>875</v>
      </c>
      <c r="S11" s="40" t="s">
        <v>388</v>
      </c>
      <c r="T11" s="42">
        <v>45790</v>
      </c>
      <c r="U11" s="47"/>
      <c r="V11" s="46" t="s">
        <v>388</v>
      </c>
      <c r="W11" s="46" t="s">
        <v>862</v>
      </c>
      <c r="X11" s="46" t="s">
        <v>863</v>
      </c>
      <c r="Y11" s="40"/>
      <c r="Z11" s="42"/>
      <c r="AA11" s="48"/>
      <c r="AB11" s="46"/>
      <c r="AD11" s="46" t="s">
        <v>984</v>
      </c>
      <c r="AE11" s="46" t="s">
        <v>388</v>
      </c>
      <c r="AF11" s="42">
        <v>45789</v>
      </c>
      <c r="AG11" s="96">
        <v>12000000</v>
      </c>
      <c r="AH11" s="46" t="s">
        <v>388</v>
      </c>
      <c r="AI11" s="46" t="s">
        <v>862</v>
      </c>
      <c r="AJ11" s="46" t="s">
        <v>971</v>
      </c>
      <c r="AK11" s="46" t="s">
        <v>972</v>
      </c>
      <c r="AL11" s="40"/>
      <c r="AM11" s="46">
        <v>120000</v>
      </c>
      <c r="AN11" s="46" t="s">
        <v>974</v>
      </c>
      <c r="AP11" s="63" t="s">
        <v>975</v>
      </c>
      <c r="AQ11" s="56" t="s">
        <v>373</v>
      </c>
      <c r="AR11" s="56" t="s">
        <v>388</v>
      </c>
      <c r="AS11" s="42">
        <v>45790</v>
      </c>
      <c r="AT11" s="60"/>
      <c r="AU11" s="56" t="s">
        <v>388</v>
      </c>
      <c r="AV11" s="56" t="s">
        <v>862</v>
      </c>
      <c r="AW11" s="56" t="s">
        <v>1106</v>
      </c>
      <c r="AX11" s="61"/>
      <c r="AY11" s="64">
        <v>85000</v>
      </c>
      <c r="AZ11" s="57" t="s">
        <v>1117</v>
      </c>
      <c r="BN11" s="74" t="s">
        <v>383</v>
      </c>
      <c r="BO11" s="74" t="s">
        <v>386</v>
      </c>
      <c r="BP11" s="78">
        <v>3900800</v>
      </c>
      <c r="BQ11" s="74" t="s">
        <v>388</v>
      </c>
      <c r="BR11" s="74"/>
      <c r="BS11" s="74" t="s">
        <v>389</v>
      </c>
      <c r="BT11" s="74" t="s">
        <v>1258</v>
      </c>
      <c r="BU11" s="74" t="s">
        <v>390</v>
      </c>
      <c r="BV11" s="74" t="s">
        <v>391</v>
      </c>
      <c r="BX11" s="74" t="s">
        <v>137</v>
      </c>
      <c r="BY11" s="74" t="s">
        <v>139</v>
      </c>
      <c r="BZ11" s="78">
        <v>1152</v>
      </c>
      <c r="CA11" s="74" t="s">
        <v>388</v>
      </c>
      <c r="CB11" s="74" t="s">
        <v>1221</v>
      </c>
      <c r="CC11" s="74" t="s">
        <v>1222</v>
      </c>
      <c r="CD11" s="41" t="s">
        <v>1233</v>
      </c>
      <c r="CE11" s="41" t="s">
        <v>1220</v>
      </c>
      <c r="CF11" s="41" t="s">
        <v>1227</v>
      </c>
      <c r="CG11" s="41"/>
    </row>
    <row r="12" spans="2:85" ht="20.149999999999999" customHeight="1">
      <c r="B12" s="4" t="s">
        <v>705</v>
      </c>
      <c r="C12" s="4" t="s">
        <v>569</v>
      </c>
      <c r="D12" s="4" t="s">
        <v>824</v>
      </c>
      <c r="E12" s="4" t="s">
        <v>78</v>
      </c>
      <c r="F12" s="73">
        <v>46228</v>
      </c>
      <c r="G12" s="5">
        <v>75</v>
      </c>
      <c r="H12" s="6">
        <v>95154.85</v>
      </c>
      <c r="J12" s="4" t="s">
        <v>773</v>
      </c>
      <c r="K12" s="4" t="s">
        <v>1487</v>
      </c>
      <c r="L12" s="4" t="s">
        <v>828</v>
      </c>
      <c r="M12" s="30" t="s">
        <v>368</v>
      </c>
      <c r="N12" s="73">
        <v>46234</v>
      </c>
      <c r="O12" s="5">
        <v>10000</v>
      </c>
      <c r="P12" s="6">
        <v>945500</v>
      </c>
      <c r="R12" s="41" t="s">
        <v>877</v>
      </c>
      <c r="S12" s="46" t="s">
        <v>388</v>
      </c>
      <c r="T12" s="42">
        <v>45794</v>
      </c>
      <c r="U12" s="45">
        <v>17902500</v>
      </c>
      <c r="V12" s="41" t="s">
        <v>388</v>
      </c>
      <c r="W12" s="41" t="s">
        <v>862</v>
      </c>
      <c r="X12" s="41" t="s">
        <v>863</v>
      </c>
      <c r="Y12" s="46"/>
      <c r="Z12" s="42">
        <v>45980</v>
      </c>
      <c r="AA12" s="49">
        <v>2500</v>
      </c>
      <c r="AB12" s="41" t="s">
        <v>865</v>
      </c>
      <c r="AD12" s="40" t="s">
        <v>985</v>
      </c>
      <c r="AE12" s="40" t="s">
        <v>388</v>
      </c>
      <c r="AF12" s="42">
        <v>45787</v>
      </c>
      <c r="AG12" s="96" t="e">
        <f>#REF!</f>
        <v>#REF!</v>
      </c>
      <c r="AH12" s="40" t="s">
        <v>388</v>
      </c>
      <c r="AI12" s="40" t="s">
        <v>862</v>
      </c>
      <c r="AJ12" s="40"/>
      <c r="AK12" s="40" t="s">
        <v>976</v>
      </c>
      <c r="AL12" s="40"/>
      <c r="AM12" s="44">
        <v>90000</v>
      </c>
      <c r="AN12" s="40" t="s">
        <v>986</v>
      </c>
      <c r="AP12" s="63" t="s">
        <v>975</v>
      </c>
      <c r="AQ12" s="56" t="s">
        <v>373</v>
      </c>
      <c r="AR12" s="56" t="s">
        <v>388</v>
      </c>
      <c r="AS12" s="42">
        <v>45790</v>
      </c>
      <c r="AT12" s="67"/>
      <c r="AU12" s="56" t="s">
        <v>388</v>
      </c>
      <c r="AV12" s="56" t="s">
        <v>862</v>
      </c>
      <c r="AW12" s="56" t="s">
        <v>1106</v>
      </c>
      <c r="AX12" s="61"/>
      <c r="AY12" s="62">
        <v>13000</v>
      </c>
      <c r="AZ12" s="63" t="s">
        <v>1118</v>
      </c>
      <c r="BN12" s="74" t="s">
        <v>393</v>
      </c>
      <c r="BO12" s="74" t="s">
        <v>123</v>
      </c>
      <c r="BP12" s="78">
        <v>800</v>
      </c>
      <c r="BQ12" s="74" t="s">
        <v>388</v>
      </c>
      <c r="BR12" s="74" t="s">
        <v>398</v>
      </c>
      <c r="BS12" s="74" t="s">
        <v>389</v>
      </c>
      <c r="BT12" s="74" t="s">
        <v>1230</v>
      </c>
      <c r="BU12" s="74" t="s">
        <v>399</v>
      </c>
      <c r="BV12" s="74"/>
      <c r="BX12" s="74" t="s">
        <v>137</v>
      </c>
      <c r="BY12" s="74" t="s">
        <v>139</v>
      </c>
      <c r="BZ12" s="78">
        <v>30120</v>
      </c>
      <c r="CA12" s="74" t="s">
        <v>388</v>
      </c>
      <c r="CB12" s="74" t="s">
        <v>1221</v>
      </c>
      <c r="CC12" s="74" t="s">
        <v>1222</v>
      </c>
      <c r="CD12" s="41" t="s">
        <v>1233</v>
      </c>
      <c r="CE12" s="41" t="s">
        <v>1220</v>
      </c>
      <c r="CF12" s="41" t="s">
        <v>1227</v>
      </c>
      <c r="CG12" s="41"/>
    </row>
    <row r="13" spans="2:85" ht="20.149999999999999" customHeight="1">
      <c r="B13" s="4" t="s">
        <v>705</v>
      </c>
      <c r="C13" s="4" t="s">
        <v>569</v>
      </c>
      <c r="D13" s="4" t="s">
        <v>824</v>
      </c>
      <c r="E13" s="4" t="s">
        <v>151</v>
      </c>
      <c r="F13" s="73">
        <v>46228</v>
      </c>
      <c r="G13" s="5">
        <v>50</v>
      </c>
      <c r="H13" s="6">
        <v>63436.56</v>
      </c>
      <c r="R13" s="41" t="s">
        <v>877</v>
      </c>
      <c r="S13" s="46" t="s">
        <v>388</v>
      </c>
      <c r="T13" s="42">
        <v>45794</v>
      </c>
      <c r="U13" s="45">
        <v>1659000</v>
      </c>
      <c r="V13" s="41" t="s">
        <v>388</v>
      </c>
      <c r="W13" s="41" t="s">
        <v>862</v>
      </c>
      <c r="X13" s="41" t="s">
        <v>863</v>
      </c>
      <c r="Y13" s="46"/>
      <c r="Z13" s="42">
        <v>45980</v>
      </c>
      <c r="AA13" s="41">
        <v>500</v>
      </c>
      <c r="AB13" s="41" t="s">
        <v>882</v>
      </c>
      <c r="AD13" s="46" t="s">
        <v>988</v>
      </c>
      <c r="AE13" s="46" t="s">
        <v>388</v>
      </c>
      <c r="AF13" s="42">
        <v>45800</v>
      </c>
      <c r="AG13" s="96" t="e">
        <f>#REF!</f>
        <v>#REF!</v>
      </c>
      <c r="AH13" s="46" t="s">
        <v>899</v>
      </c>
      <c r="AI13" s="46" t="s">
        <v>862</v>
      </c>
      <c r="AJ13" s="46"/>
      <c r="AK13" s="46" t="s">
        <v>976</v>
      </c>
      <c r="AL13" s="46"/>
      <c r="AM13" s="98">
        <v>10000</v>
      </c>
      <c r="AN13" s="46" t="s">
        <v>990</v>
      </c>
      <c r="AP13" s="63" t="s">
        <v>975</v>
      </c>
      <c r="AQ13" s="56" t="s">
        <v>373</v>
      </c>
      <c r="AR13" s="56" t="s">
        <v>388</v>
      </c>
      <c r="AS13" s="42">
        <v>45790</v>
      </c>
      <c r="AT13" s="60"/>
      <c r="AU13" s="56" t="s">
        <v>388</v>
      </c>
      <c r="AV13" s="56" t="s">
        <v>862</v>
      </c>
      <c r="AW13" s="56" t="s">
        <v>1106</v>
      </c>
      <c r="AX13" s="61"/>
      <c r="AY13" s="64">
        <v>40000</v>
      </c>
      <c r="AZ13" s="57" t="s">
        <v>1119</v>
      </c>
      <c r="BN13" s="74" t="s">
        <v>393</v>
      </c>
      <c r="BO13" s="74" t="s">
        <v>124</v>
      </c>
      <c r="BP13" s="78">
        <v>2000</v>
      </c>
      <c r="BQ13" s="74" t="s">
        <v>388</v>
      </c>
      <c r="BR13" s="74" t="s">
        <v>398</v>
      </c>
      <c r="BS13" s="74" t="s">
        <v>389</v>
      </c>
      <c r="BT13" s="74" t="s">
        <v>1230</v>
      </c>
      <c r="BU13" s="74" t="s">
        <v>399</v>
      </c>
      <c r="BV13" s="74"/>
      <c r="BX13" s="74" t="s">
        <v>137</v>
      </c>
      <c r="BY13" s="74" t="s">
        <v>144</v>
      </c>
      <c r="BZ13" s="78">
        <v>504</v>
      </c>
      <c r="CA13" s="74" t="s">
        <v>388</v>
      </c>
      <c r="CB13" s="74" t="s">
        <v>1221</v>
      </c>
      <c r="CC13" s="74" t="s">
        <v>1222</v>
      </c>
      <c r="CD13" s="41" t="s">
        <v>1233</v>
      </c>
      <c r="CE13" s="41" t="s">
        <v>1220</v>
      </c>
      <c r="CF13" s="41" t="s">
        <v>1227</v>
      </c>
      <c r="CG13" s="41"/>
    </row>
    <row r="14" spans="2:85" ht="20.149999999999999" customHeight="1">
      <c r="B14" s="4" t="s">
        <v>705</v>
      </c>
      <c r="C14" s="4" t="s">
        <v>569</v>
      </c>
      <c r="D14" s="4" t="s">
        <v>824</v>
      </c>
      <c r="E14" s="4" t="s">
        <v>163</v>
      </c>
      <c r="F14" s="73">
        <v>46228</v>
      </c>
      <c r="G14" s="5">
        <v>75</v>
      </c>
      <c r="H14" s="6">
        <v>6743.26</v>
      </c>
      <c r="R14" s="41" t="s">
        <v>877</v>
      </c>
      <c r="S14" s="46" t="s">
        <v>388</v>
      </c>
      <c r="T14" s="42">
        <v>45794</v>
      </c>
      <c r="U14" s="45"/>
      <c r="V14" s="41" t="s">
        <v>388</v>
      </c>
      <c r="W14" s="41" t="s">
        <v>862</v>
      </c>
      <c r="X14" s="41" t="s">
        <v>863</v>
      </c>
      <c r="Y14" s="46"/>
      <c r="Z14" s="42" t="s">
        <v>879</v>
      </c>
      <c r="AA14" s="41">
        <v>5000</v>
      </c>
      <c r="AB14" s="41" t="s">
        <v>865</v>
      </c>
      <c r="AD14" s="90" t="s">
        <v>992</v>
      </c>
      <c r="AE14" s="40" t="s">
        <v>388</v>
      </c>
      <c r="AF14" s="42">
        <v>45778</v>
      </c>
      <c r="AG14" s="96">
        <v>25000000</v>
      </c>
      <c r="AH14" s="40" t="s">
        <v>899</v>
      </c>
      <c r="AI14" s="40" t="s">
        <v>862</v>
      </c>
      <c r="AJ14" s="40" t="s">
        <v>971</v>
      </c>
      <c r="AK14" s="40" t="s">
        <v>993</v>
      </c>
      <c r="AL14" s="40"/>
      <c r="AM14" s="40">
        <v>500000</v>
      </c>
      <c r="AN14" s="40" t="s">
        <v>994</v>
      </c>
      <c r="AP14" s="63" t="s">
        <v>975</v>
      </c>
      <c r="AQ14" s="56" t="s">
        <v>373</v>
      </c>
      <c r="AR14" s="56" t="s">
        <v>388</v>
      </c>
      <c r="AS14" s="42">
        <v>45790</v>
      </c>
      <c r="AT14" s="67"/>
      <c r="AU14" s="56" t="s">
        <v>388</v>
      </c>
      <c r="AV14" s="56" t="s">
        <v>862</v>
      </c>
      <c r="AW14" s="56" t="s">
        <v>1106</v>
      </c>
      <c r="AX14" s="61"/>
      <c r="AY14" s="62">
        <v>25000</v>
      </c>
      <c r="AZ14" s="63" t="s">
        <v>1120</v>
      </c>
      <c r="BN14" s="74" t="s">
        <v>364</v>
      </c>
      <c r="BO14" s="74" t="s">
        <v>406</v>
      </c>
      <c r="BP14" s="78">
        <v>20000</v>
      </c>
      <c r="BQ14" s="74" t="s">
        <v>388</v>
      </c>
      <c r="BR14" s="74"/>
      <c r="BS14" s="74" t="s">
        <v>389</v>
      </c>
      <c r="BT14" s="74" t="s">
        <v>1219</v>
      </c>
      <c r="BU14" s="74" t="s">
        <v>1323</v>
      </c>
      <c r="BV14" s="74" t="s">
        <v>391</v>
      </c>
      <c r="BX14" s="74" t="s">
        <v>137</v>
      </c>
      <c r="BY14" s="74" t="s">
        <v>144</v>
      </c>
      <c r="BZ14" s="78">
        <v>7848</v>
      </c>
      <c r="CA14" s="74" t="s">
        <v>388</v>
      </c>
      <c r="CB14" s="74" t="s">
        <v>1221</v>
      </c>
      <c r="CC14" s="74" t="s">
        <v>1222</v>
      </c>
      <c r="CD14" s="41" t="s">
        <v>1233</v>
      </c>
      <c r="CE14" s="41" t="s">
        <v>1220</v>
      </c>
      <c r="CF14" s="41" t="s">
        <v>1227</v>
      </c>
      <c r="CG14" s="41"/>
    </row>
    <row r="15" spans="2:85" ht="20.149999999999999" customHeight="1">
      <c r="B15" s="4" t="s">
        <v>705</v>
      </c>
      <c r="C15" s="4" t="s">
        <v>569</v>
      </c>
      <c r="D15" s="4" t="s">
        <v>824</v>
      </c>
      <c r="E15" s="4" t="s">
        <v>166</v>
      </c>
      <c r="F15" s="73">
        <v>46228</v>
      </c>
      <c r="G15" s="5">
        <v>75</v>
      </c>
      <c r="H15" s="6">
        <v>6743.26</v>
      </c>
      <c r="R15" s="41" t="s">
        <v>877</v>
      </c>
      <c r="S15" s="46" t="s">
        <v>388</v>
      </c>
      <c r="T15" s="42">
        <v>45794</v>
      </c>
      <c r="U15" s="45"/>
      <c r="V15" s="41" t="s">
        <v>388</v>
      </c>
      <c r="W15" s="41" t="s">
        <v>862</v>
      </c>
      <c r="X15" s="41" t="s">
        <v>863</v>
      </c>
      <c r="Y15" s="46"/>
      <c r="Z15" s="42" t="s">
        <v>879</v>
      </c>
      <c r="AA15" s="41">
        <v>500</v>
      </c>
      <c r="AB15" s="41" t="s">
        <v>882</v>
      </c>
      <c r="AD15" s="46" t="s">
        <v>995</v>
      </c>
      <c r="AE15" s="46" t="s">
        <v>388</v>
      </c>
      <c r="AF15" s="42">
        <v>45798</v>
      </c>
      <c r="AG15" s="96">
        <v>35000000</v>
      </c>
      <c r="AH15" s="46" t="s">
        <v>899</v>
      </c>
      <c r="AI15" s="46" t="s">
        <v>862</v>
      </c>
      <c r="AJ15" s="46" t="s">
        <v>971</v>
      </c>
      <c r="AK15" s="46" t="s">
        <v>993</v>
      </c>
      <c r="AL15" s="46"/>
      <c r="AM15" s="40">
        <v>350000</v>
      </c>
      <c r="AN15" s="40" t="s">
        <v>969</v>
      </c>
      <c r="AP15" s="57" t="s">
        <v>984</v>
      </c>
      <c r="AQ15" s="56" t="s">
        <v>373</v>
      </c>
      <c r="AR15" s="56" t="s">
        <v>388</v>
      </c>
      <c r="AS15" s="42">
        <v>45719</v>
      </c>
      <c r="AT15" s="60">
        <v>3375000</v>
      </c>
      <c r="AU15" s="56" t="s">
        <v>388</v>
      </c>
      <c r="AV15" s="56" t="s">
        <v>862</v>
      </c>
      <c r="AW15" s="56" t="s">
        <v>1106</v>
      </c>
      <c r="AX15" s="61" t="s">
        <v>1122</v>
      </c>
      <c r="AY15" s="64">
        <v>10000</v>
      </c>
      <c r="AZ15" s="57" t="s">
        <v>1123</v>
      </c>
      <c r="BN15" s="74" t="s">
        <v>364</v>
      </c>
      <c r="BO15" s="74" t="s">
        <v>410</v>
      </c>
      <c r="BP15" s="78">
        <v>30000</v>
      </c>
      <c r="BQ15" s="74" t="s">
        <v>388</v>
      </c>
      <c r="BR15" s="74"/>
      <c r="BS15" s="74" t="s">
        <v>389</v>
      </c>
      <c r="BT15" s="74" t="s">
        <v>1219</v>
      </c>
      <c r="BU15" s="74" t="s">
        <v>1323</v>
      </c>
      <c r="BV15" s="74" t="s">
        <v>391</v>
      </c>
      <c r="BX15" s="74" t="s">
        <v>137</v>
      </c>
      <c r="BY15" s="74" t="s">
        <v>144</v>
      </c>
      <c r="BZ15" s="78">
        <v>1656</v>
      </c>
      <c r="CA15" s="74" t="s">
        <v>388</v>
      </c>
      <c r="CB15" s="74" t="s">
        <v>1221</v>
      </c>
      <c r="CC15" s="74" t="s">
        <v>1222</v>
      </c>
      <c r="CD15" s="41" t="s">
        <v>1233</v>
      </c>
      <c r="CE15" s="41" t="s">
        <v>1220</v>
      </c>
      <c r="CF15" s="41" t="s">
        <v>1227</v>
      </c>
      <c r="CG15" s="41"/>
    </row>
    <row r="16" spans="2:85" ht="20.149999999999999" customHeight="1">
      <c r="B16" s="4" t="s">
        <v>607</v>
      </c>
      <c r="C16" s="4" t="s">
        <v>569</v>
      </c>
      <c r="D16" s="4" t="s">
        <v>828</v>
      </c>
      <c r="E16" s="4" t="s">
        <v>357</v>
      </c>
      <c r="F16" s="73">
        <v>46234</v>
      </c>
      <c r="G16" s="5">
        <v>56</v>
      </c>
      <c r="H16" s="6">
        <v>336000</v>
      </c>
      <c r="R16" s="41" t="s">
        <v>877</v>
      </c>
      <c r="S16" s="46" t="s">
        <v>388</v>
      </c>
      <c r="T16" s="42">
        <v>45794</v>
      </c>
      <c r="U16" s="45">
        <v>8010000</v>
      </c>
      <c r="V16" s="41" t="s">
        <v>388</v>
      </c>
      <c r="W16" s="41" t="s">
        <v>862</v>
      </c>
      <c r="X16" s="41" t="s">
        <v>863</v>
      </c>
      <c r="Y16" s="46"/>
      <c r="Z16" s="42" t="s">
        <v>887</v>
      </c>
      <c r="AA16" s="51">
        <v>18000</v>
      </c>
      <c r="AB16" s="41" t="s">
        <v>888</v>
      </c>
      <c r="AD16" s="40" t="s">
        <v>996</v>
      </c>
      <c r="AE16" s="40" t="s">
        <v>388</v>
      </c>
      <c r="AF16" s="42">
        <v>45831</v>
      </c>
      <c r="AG16" s="99" t="e">
        <f>#REF!</f>
        <v>#REF!</v>
      </c>
      <c r="AH16" s="40" t="s">
        <v>388</v>
      </c>
      <c r="AI16" s="40" t="s">
        <v>862</v>
      </c>
      <c r="AJ16" s="40"/>
      <c r="AK16" s="40" t="s">
        <v>976</v>
      </c>
      <c r="AL16" s="100">
        <v>46064</v>
      </c>
      <c r="AM16" s="44">
        <v>1000000</v>
      </c>
      <c r="AN16" s="40" t="s">
        <v>981</v>
      </c>
      <c r="AP16" s="57" t="s">
        <v>984</v>
      </c>
      <c r="AQ16" s="56" t="s">
        <v>373</v>
      </c>
      <c r="AR16" s="56" t="s">
        <v>388</v>
      </c>
      <c r="AS16" s="42">
        <v>45719</v>
      </c>
      <c r="AT16" s="60"/>
      <c r="AU16" s="56" t="s">
        <v>388</v>
      </c>
      <c r="AV16" s="56" t="s">
        <v>862</v>
      </c>
      <c r="AW16" s="56" t="s">
        <v>1106</v>
      </c>
      <c r="AX16" s="56"/>
      <c r="AY16" s="56">
        <v>2000</v>
      </c>
      <c r="AZ16" s="57" t="s">
        <v>1124</v>
      </c>
      <c r="BN16" s="74" t="s">
        <v>364</v>
      </c>
      <c r="BO16" s="74" t="s">
        <v>301</v>
      </c>
      <c r="BP16" s="78">
        <v>85000</v>
      </c>
      <c r="BQ16" s="74" t="s">
        <v>388</v>
      </c>
      <c r="BR16" s="74"/>
      <c r="BS16" s="74" t="s">
        <v>389</v>
      </c>
      <c r="BT16" s="74" t="s">
        <v>1219</v>
      </c>
      <c r="BU16" s="74" t="s">
        <v>1323</v>
      </c>
      <c r="BV16" s="74" t="s">
        <v>391</v>
      </c>
      <c r="BX16" s="74" t="s">
        <v>149</v>
      </c>
      <c r="BY16" s="74" t="s">
        <v>151</v>
      </c>
      <c r="BZ16" s="78">
        <v>72</v>
      </c>
      <c r="CA16" s="74" t="s">
        <v>388</v>
      </c>
      <c r="CB16" s="74" t="s">
        <v>1221</v>
      </c>
      <c r="CC16" s="74" t="s">
        <v>1222</v>
      </c>
      <c r="CD16" s="41" t="s">
        <v>1233</v>
      </c>
      <c r="CE16" s="41" t="s">
        <v>1220</v>
      </c>
      <c r="CF16" s="41" t="s">
        <v>1227</v>
      </c>
      <c r="CG16" s="41"/>
    </row>
    <row r="17" spans="2:85" ht="20.149999999999999" customHeight="1">
      <c r="B17" s="4" t="s">
        <v>587</v>
      </c>
      <c r="C17" s="4" t="s">
        <v>569</v>
      </c>
      <c r="D17" s="4" t="s">
        <v>1288</v>
      </c>
      <c r="E17" s="4" t="s">
        <v>589</v>
      </c>
      <c r="F17" s="73">
        <v>46238</v>
      </c>
      <c r="G17" s="5">
        <v>10000</v>
      </c>
      <c r="H17" s="6">
        <v>359640.36</v>
      </c>
      <c r="R17" s="41" t="s">
        <v>892</v>
      </c>
      <c r="S17" s="41" t="s">
        <v>388</v>
      </c>
      <c r="T17" s="42">
        <v>45801</v>
      </c>
      <c r="U17" s="45">
        <v>50820000</v>
      </c>
      <c r="V17" s="41" t="s">
        <v>388</v>
      </c>
      <c r="W17" s="41" t="s">
        <v>862</v>
      </c>
      <c r="X17" s="41" t="s">
        <v>863</v>
      </c>
      <c r="Y17" s="41"/>
      <c r="Z17" s="42" t="s">
        <v>893</v>
      </c>
      <c r="AA17" s="51">
        <v>18000</v>
      </c>
      <c r="AB17" s="41" t="s">
        <v>865</v>
      </c>
      <c r="AD17" s="40" t="s">
        <v>996</v>
      </c>
      <c r="AE17" s="40" t="s">
        <v>388</v>
      </c>
      <c r="AF17" s="42">
        <v>45831</v>
      </c>
      <c r="AG17" s="99" t="e">
        <f>#REF!</f>
        <v>#REF!</v>
      </c>
      <c r="AH17" s="40" t="s">
        <v>388</v>
      </c>
      <c r="AI17" s="40" t="s">
        <v>862</v>
      </c>
      <c r="AJ17" s="40"/>
      <c r="AK17" s="40" t="s">
        <v>976</v>
      </c>
      <c r="AL17" s="40"/>
      <c r="AM17" s="44">
        <v>407000</v>
      </c>
      <c r="AN17" s="40" t="s">
        <v>981</v>
      </c>
      <c r="AP17" s="57" t="s">
        <v>984</v>
      </c>
      <c r="AQ17" s="56" t="s">
        <v>373</v>
      </c>
      <c r="AR17" s="56" t="s">
        <v>388</v>
      </c>
      <c r="AS17" s="42">
        <v>45719</v>
      </c>
      <c r="AT17" s="67">
        <v>10625000</v>
      </c>
      <c r="AU17" s="56" t="s">
        <v>388</v>
      </c>
      <c r="AV17" s="56" t="s">
        <v>862</v>
      </c>
      <c r="AW17" s="56" t="s">
        <v>1106</v>
      </c>
      <c r="AX17" s="56" t="s">
        <v>1122</v>
      </c>
      <c r="AY17" s="61">
        <v>5000</v>
      </c>
      <c r="AZ17" s="63" t="s">
        <v>1125</v>
      </c>
      <c r="BN17" s="74" t="s">
        <v>364</v>
      </c>
      <c r="BO17" s="74" t="s">
        <v>417</v>
      </c>
      <c r="BP17" s="78">
        <v>10000</v>
      </c>
      <c r="BQ17" s="74" t="s">
        <v>388</v>
      </c>
      <c r="BR17" s="74"/>
      <c r="BS17" s="74" t="s">
        <v>389</v>
      </c>
      <c r="BT17" s="74" t="s">
        <v>1219</v>
      </c>
      <c r="BU17" s="74" t="s">
        <v>1323</v>
      </c>
      <c r="BV17" s="74" t="s">
        <v>391</v>
      </c>
      <c r="BX17" s="74" t="s">
        <v>149</v>
      </c>
      <c r="BY17" s="74" t="s">
        <v>151</v>
      </c>
      <c r="BZ17" s="78">
        <v>7944</v>
      </c>
      <c r="CA17" s="74" t="s">
        <v>388</v>
      </c>
      <c r="CB17" s="74" t="s">
        <v>1221</v>
      </c>
      <c r="CC17" s="74" t="s">
        <v>1222</v>
      </c>
      <c r="CD17" s="41" t="s">
        <v>1233</v>
      </c>
      <c r="CE17" s="41" t="s">
        <v>1220</v>
      </c>
      <c r="CF17" s="41" t="s">
        <v>1227</v>
      </c>
      <c r="CG17" s="41"/>
    </row>
    <row r="18" spans="2:85" ht="20.149999999999999" customHeight="1">
      <c r="B18" s="4" t="s">
        <v>587</v>
      </c>
      <c r="C18" s="4" t="s">
        <v>569</v>
      </c>
      <c r="D18" s="4" t="s">
        <v>1288</v>
      </c>
      <c r="E18" s="4" t="s">
        <v>171</v>
      </c>
      <c r="F18" s="73">
        <v>46238</v>
      </c>
      <c r="G18" s="5">
        <v>800</v>
      </c>
      <c r="H18" s="6">
        <v>207792.21</v>
      </c>
      <c r="R18" s="41" t="s">
        <v>892</v>
      </c>
      <c r="S18" s="41" t="s">
        <v>388</v>
      </c>
      <c r="T18" s="42">
        <v>45801</v>
      </c>
      <c r="U18" s="45"/>
      <c r="V18" s="41" t="s">
        <v>388</v>
      </c>
      <c r="W18" s="41" t="s">
        <v>862</v>
      </c>
      <c r="X18" s="41" t="s">
        <v>863</v>
      </c>
      <c r="Y18" s="41"/>
      <c r="Z18" s="42" t="s">
        <v>893</v>
      </c>
      <c r="AA18" s="51">
        <v>1500</v>
      </c>
      <c r="AB18" s="41" t="s">
        <v>882</v>
      </c>
      <c r="AD18" s="40" t="s">
        <v>996</v>
      </c>
      <c r="AE18" s="40" t="s">
        <v>388</v>
      </c>
      <c r="AF18" s="42">
        <v>45831</v>
      </c>
      <c r="AG18" s="99" t="e">
        <f>#REF!</f>
        <v>#REF!</v>
      </c>
      <c r="AH18" s="40" t="s">
        <v>388</v>
      </c>
      <c r="AI18" s="40" t="s">
        <v>862</v>
      </c>
      <c r="AJ18" s="40"/>
      <c r="AK18" s="40" t="s">
        <v>976</v>
      </c>
      <c r="AL18" s="40"/>
      <c r="AM18" s="44">
        <v>200000</v>
      </c>
      <c r="AN18" s="40" t="s">
        <v>981</v>
      </c>
      <c r="AP18" s="57" t="s">
        <v>1127</v>
      </c>
      <c r="AQ18" s="56" t="s">
        <v>373</v>
      </c>
      <c r="AR18" s="56" t="s">
        <v>388</v>
      </c>
      <c r="AS18" s="68">
        <v>45777</v>
      </c>
      <c r="AT18" s="60">
        <v>23750000</v>
      </c>
      <c r="AU18" s="56" t="s">
        <v>388</v>
      </c>
      <c r="AV18" s="56" t="s">
        <v>862</v>
      </c>
      <c r="AW18" s="56" t="s">
        <v>1106</v>
      </c>
      <c r="AX18" s="56"/>
      <c r="AY18" s="64">
        <v>10000</v>
      </c>
      <c r="AZ18" s="57" t="s">
        <v>1129</v>
      </c>
      <c r="BN18" s="74" t="s">
        <v>364</v>
      </c>
      <c r="BO18" s="74" t="s">
        <v>417</v>
      </c>
      <c r="BP18" s="78">
        <v>5000</v>
      </c>
      <c r="BQ18" s="74" t="s">
        <v>388</v>
      </c>
      <c r="BR18" s="74"/>
      <c r="BS18" s="74" t="s">
        <v>389</v>
      </c>
      <c r="BT18" s="74" t="s">
        <v>1219</v>
      </c>
      <c r="BU18" s="74" t="s">
        <v>1323</v>
      </c>
      <c r="BV18" s="74" t="s">
        <v>391</v>
      </c>
      <c r="BX18" s="74" t="s">
        <v>149</v>
      </c>
      <c r="BY18" s="74" t="s">
        <v>78</v>
      </c>
      <c r="BZ18" s="78">
        <v>16008</v>
      </c>
      <c r="CA18" s="74" t="s">
        <v>388</v>
      </c>
      <c r="CB18" s="74" t="s">
        <v>1221</v>
      </c>
      <c r="CC18" s="74" t="s">
        <v>1222</v>
      </c>
      <c r="CD18" s="41" t="s">
        <v>1233</v>
      </c>
      <c r="CE18" s="41" t="s">
        <v>1220</v>
      </c>
      <c r="CF18" s="41" t="s">
        <v>1227</v>
      </c>
      <c r="CG18" s="41"/>
    </row>
    <row r="19" spans="2:85" ht="20.149999999999999" customHeight="1">
      <c r="B19" s="4" t="s">
        <v>660</v>
      </c>
      <c r="C19" s="4" t="s">
        <v>569</v>
      </c>
      <c r="D19" s="4" t="s">
        <v>828</v>
      </c>
      <c r="E19" s="4" t="s">
        <v>332</v>
      </c>
      <c r="F19" s="73">
        <v>46247</v>
      </c>
      <c r="G19" s="5">
        <v>15000</v>
      </c>
      <c r="H19" s="6">
        <v>719280.72</v>
      </c>
      <c r="R19" s="41" t="s">
        <v>892</v>
      </c>
      <c r="S19" s="41" t="s">
        <v>388</v>
      </c>
      <c r="T19" s="42">
        <v>45801</v>
      </c>
      <c r="U19" s="45"/>
      <c r="V19" s="41" t="s">
        <v>388</v>
      </c>
      <c r="W19" s="41" t="s">
        <v>862</v>
      </c>
      <c r="X19" s="41" t="s">
        <v>863</v>
      </c>
      <c r="Y19" s="41"/>
      <c r="Z19" s="42" t="s">
        <v>893</v>
      </c>
      <c r="AA19" s="51">
        <v>1500</v>
      </c>
      <c r="AB19" s="40" t="s">
        <v>870</v>
      </c>
      <c r="AD19" s="46" t="s">
        <v>997</v>
      </c>
      <c r="AE19" s="46" t="s">
        <v>388</v>
      </c>
      <c r="AF19" s="42">
        <v>45787</v>
      </c>
      <c r="AG19" s="96" t="e">
        <f>#REF!</f>
        <v>#REF!</v>
      </c>
      <c r="AH19" s="46" t="s">
        <v>388</v>
      </c>
      <c r="AI19" s="46" t="s">
        <v>862</v>
      </c>
      <c r="AJ19" s="46"/>
      <c r="AK19" s="46" t="s">
        <v>976</v>
      </c>
      <c r="AL19" s="97">
        <v>46035</v>
      </c>
      <c r="AM19" s="98">
        <v>10000</v>
      </c>
      <c r="AN19" s="46" t="s">
        <v>999</v>
      </c>
      <c r="AP19" s="57" t="s">
        <v>1127</v>
      </c>
      <c r="AQ19" s="56" t="s">
        <v>373</v>
      </c>
      <c r="AR19" s="56" t="s">
        <v>388</v>
      </c>
      <c r="AS19" s="68">
        <v>45777</v>
      </c>
      <c r="AT19" s="67"/>
      <c r="AU19" s="56" t="s">
        <v>388</v>
      </c>
      <c r="AV19" s="56" t="s">
        <v>862</v>
      </c>
      <c r="AW19" s="56" t="s">
        <v>1106</v>
      </c>
      <c r="AX19" s="61"/>
      <c r="AY19" s="62">
        <v>100000</v>
      </c>
      <c r="AZ19" s="63" t="s">
        <v>1130</v>
      </c>
      <c r="BN19" s="74" t="s">
        <v>421</v>
      </c>
      <c r="BO19" s="74" t="s">
        <v>424</v>
      </c>
      <c r="BP19" s="78">
        <v>560</v>
      </c>
      <c r="BQ19" s="74" t="s">
        <v>388</v>
      </c>
      <c r="BR19" s="74" t="s">
        <v>1224</v>
      </c>
      <c r="BS19" s="74" t="s">
        <v>389</v>
      </c>
      <c r="BT19" s="74" t="s">
        <v>1231</v>
      </c>
      <c r="BU19" s="74" t="s">
        <v>1322</v>
      </c>
      <c r="BV19" s="74"/>
      <c r="BX19" s="74" t="s">
        <v>149</v>
      </c>
      <c r="BY19" s="74" t="s">
        <v>139</v>
      </c>
      <c r="BZ19" s="78">
        <v>18744</v>
      </c>
      <c r="CA19" s="74" t="s">
        <v>388</v>
      </c>
      <c r="CB19" s="74" t="s">
        <v>1221</v>
      </c>
      <c r="CC19" s="74" t="s">
        <v>1222</v>
      </c>
      <c r="CD19" s="41" t="s">
        <v>1233</v>
      </c>
      <c r="CE19" s="41" t="s">
        <v>1220</v>
      </c>
      <c r="CF19" s="41" t="s">
        <v>1227</v>
      </c>
      <c r="CG19" s="41"/>
    </row>
    <row r="20" spans="2:85" ht="20.149999999999999" customHeight="1">
      <c r="B20" s="4" t="s">
        <v>707</v>
      </c>
      <c r="C20" s="4" t="s">
        <v>569</v>
      </c>
      <c r="D20" s="4" t="s">
        <v>1288</v>
      </c>
      <c r="E20" s="4" t="s">
        <v>103</v>
      </c>
      <c r="F20" s="73">
        <v>46252</v>
      </c>
      <c r="G20" s="5">
        <v>765</v>
      </c>
      <c r="H20" s="6">
        <v>377914.58</v>
      </c>
      <c r="R20" s="41" t="s">
        <v>892</v>
      </c>
      <c r="S20" s="41" t="s">
        <v>388</v>
      </c>
      <c r="T20" s="42">
        <v>45801</v>
      </c>
      <c r="U20" s="45"/>
      <c r="V20" s="41" t="s">
        <v>388</v>
      </c>
      <c r="W20" s="41" t="s">
        <v>862</v>
      </c>
      <c r="X20" s="41" t="s">
        <v>863</v>
      </c>
      <c r="Y20" s="41"/>
      <c r="Z20" s="42"/>
      <c r="AA20" s="51">
        <v>18000</v>
      </c>
      <c r="AB20" s="41" t="s">
        <v>865</v>
      </c>
      <c r="AD20" s="40" t="s">
        <v>997</v>
      </c>
      <c r="AE20" s="40" t="s">
        <v>388</v>
      </c>
      <c r="AF20" s="42">
        <v>45787</v>
      </c>
      <c r="AG20" s="96" t="e">
        <f>#REF!</f>
        <v>#REF!</v>
      </c>
      <c r="AH20" s="40" t="s">
        <v>388</v>
      </c>
      <c r="AI20" s="40" t="s">
        <v>862</v>
      </c>
      <c r="AJ20" s="40"/>
      <c r="AK20" s="40" t="s">
        <v>976</v>
      </c>
      <c r="AL20" s="40"/>
      <c r="AM20" s="44">
        <v>40000</v>
      </c>
      <c r="AN20" s="40" t="s">
        <v>1000</v>
      </c>
      <c r="AP20" s="57" t="s">
        <v>988</v>
      </c>
      <c r="AQ20" s="56" t="s">
        <v>373</v>
      </c>
      <c r="AR20" s="56" t="s">
        <v>388</v>
      </c>
      <c r="AS20" s="68">
        <v>45802</v>
      </c>
      <c r="AT20" s="60">
        <v>1362500</v>
      </c>
      <c r="AU20" s="56" t="s">
        <v>388</v>
      </c>
      <c r="AV20" s="56" t="s">
        <v>862</v>
      </c>
      <c r="AW20" s="56" t="s">
        <v>1106</v>
      </c>
      <c r="AX20" s="61" t="s">
        <v>1131</v>
      </c>
      <c r="AY20" s="62">
        <v>1000</v>
      </c>
      <c r="AZ20" s="63" t="s">
        <v>1132</v>
      </c>
      <c r="BN20" s="74" t="s">
        <v>421</v>
      </c>
      <c r="BO20" s="74" t="s">
        <v>270</v>
      </c>
      <c r="BP20" s="78">
        <v>32</v>
      </c>
      <c r="BQ20" s="74" t="s">
        <v>388</v>
      </c>
      <c r="BR20" s="74" t="s">
        <v>1224</v>
      </c>
      <c r="BS20" s="74" t="s">
        <v>389</v>
      </c>
      <c r="BT20" s="74" t="s">
        <v>1231</v>
      </c>
      <c r="BU20" s="74" t="s">
        <v>1322</v>
      </c>
      <c r="BV20" s="74"/>
      <c r="BX20" s="74" t="s">
        <v>156</v>
      </c>
      <c r="BY20" s="74" t="s">
        <v>159</v>
      </c>
      <c r="BZ20" s="78">
        <v>24000</v>
      </c>
      <c r="CA20" s="74" t="s">
        <v>388</v>
      </c>
      <c r="CB20" s="74" t="s">
        <v>1236</v>
      </c>
      <c r="CC20" s="74" t="s">
        <v>1226</v>
      </c>
      <c r="CD20" s="41" t="s">
        <v>1237</v>
      </c>
      <c r="CE20" s="41" t="s">
        <v>1225</v>
      </c>
      <c r="CF20" s="41"/>
      <c r="CG20" s="41"/>
    </row>
    <row r="21" spans="2:85" ht="20.149999999999999" customHeight="1">
      <c r="B21" s="4" t="s">
        <v>707</v>
      </c>
      <c r="C21" s="4" t="s">
        <v>569</v>
      </c>
      <c r="D21" s="4" t="s">
        <v>1288</v>
      </c>
      <c r="E21" s="4" t="s">
        <v>103</v>
      </c>
      <c r="F21" s="73">
        <v>46252</v>
      </c>
      <c r="G21" s="5">
        <v>335</v>
      </c>
      <c r="H21" s="6">
        <v>165492.01</v>
      </c>
      <c r="R21" s="41" t="s">
        <v>892</v>
      </c>
      <c r="S21" s="41" t="s">
        <v>388</v>
      </c>
      <c r="T21" s="42">
        <v>45801</v>
      </c>
      <c r="U21" s="45"/>
      <c r="V21" s="41" t="s">
        <v>388</v>
      </c>
      <c r="W21" s="41" t="s">
        <v>862</v>
      </c>
      <c r="X21" s="41" t="s">
        <v>863</v>
      </c>
      <c r="Y21" s="41"/>
      <c r="Z21" s="42"/>
      <c r="AA21" s="51">
        <v>1500</v>
      </c>
      <c r="AB21" s="41" t="s">
        <v>882</v>
      </c>
      <c r="AD21" s="46" t="s">
        <v>997</v>
      </c>
      <c r="AE21" s="46" t="s">
        <v>388</v>
      </c>
      <c r="AF21" s="42">
        <v>45787</v>
      </c>
      <c r="AG21" s="96" t="e">
        <f>#REF!</f>
        <v>#REF!</v>
      </c>
      <c r="AH21" s="46" t="s">
        <v>388</v>
      </c>
      <c r="AI21" s="46" t="s">
        <v>862</v>
      </c>
      <c r="AJ21" s="46"/>
      <c r="AK21" s="46" t="s">
        <v>976</v>
      </c>
      <c r="AL21" s="46"/>
      <c r="AM21" s="98">
        <v>20000</v>
      </c>
      <c r="AN21" s="46" t="s">
        <v>990</v>
      </c>
      <c r="AP21" s="57" t="s">
        <v>988</v>
      </c>
      <c r="AQ21" s="56" t="s">
        <v>373</v>
      </c>
      <c r="AR21" s="56" t="s">
        <v>388</v>
      </c>
      <c r="AS21" s="68">
        <v>45802</v>
      </c>
      <c r="AT21" s="60"/>
      <c r="AU21" s="56" t="s">
        <v>388</v>
      </c>
      <c r="AV21" s="56" t="s">
        <v>862</v>
      </c>
      <c r="AW21" s="56" t="s">
        <v>1106</v>
      </c>
      <c r="AX21" s="61" t="s">
        <v>1131</v>
      </c>
      <c r="AY21" s="56">
        <v>500</v>
      </c>
      <c r="AZ21" s="57" t="s">
        <v>1133</v>
      </c>
      <c r="BN21" s="74" t="s">
        <v>421</v>
      </c>
      <c r="BO21" s="74" t="s">
        <v>357</v>
      </c>
      <c r="BP21" s="78">
        <v>3440</v>
      </c>
      <c r="BQ21" s="74" t="s">
        <v>388</v>
      </c>
      <c r="BR21" s="74" t="s">
        <v>1224</v>
      </c>
      <c r="BS21" s="74" t="s">
        <v>389</v>
      </c>
      <c r="BT21" s="74" t="s">
        <v>1231</v>
      </c>
      <c r="BU21" s="74" t="s">
        <v>1322</v>
      </c>
      <c r="BV21" s="74"/>
      <c r="BX21" s="74" t="s">
        <v>156</v>
      </c>
      <c r="BY21" s="74" t="s">
        <v>163</v>
      </c>
      <c r="BZ21" s="78">
        <v>24000</v>
      </c>
      <c r="CA21" s="74" t="s">
        <v>388</v>
      </c>
      <c r="CB21" s="74" t="s">
        <v>1236</v>
      </c>
      <c r="CC21" s="74" t="s">
        <v>1226</v>
      </c>
      <c r="CD21" s="41" t="s">
        <v>1237</v>
      </c>
      <c r="CE21" s="41" t="s">
        <v>1225</v>
      </c>
      <c r="CF21" s="41"/>
      <c r="CG21" s="41"/>
    </row>
    <row r="22" spans="2:85" ht="20.149999999999999" customHeight="1">
      <c r="B22" s="4" t="s">
        <v>707</v>
      </c>
      <c r="C22" s="4" t="s">
        <v>569</v>
      </c>
      <c r="D22" s="4" t="s">
        <v>1288</v>
      </c>
      <c r="E22" s="4" t="s">
        <v>115</v>
      </c>
      <c r="F22" s="73">
        <v>46252</v>
      </c>
      <c r="G22" s="5">
        <v>1500</v>
      </c>
      <c r="H22" s="6">
        <v>1018981.02</v>
      </c>
      <c r="R22" s="41" t="s">
        <v>892</v>
      </c>
      <c r="S22" s="41" t="s">
        <v>388</v>
      </c>
      <c r="T22" s="42">
        <v>45801</v>
      </c>
      <c r="U22" s="45"/>
      <c r="V22" s="41" t="s">
        <v>388</v>
      </c>
      <c r="W22" s="41" t="s">
        <v>862</v>
      </c>
      <c r="X22" s="41" t="s">
        <v>863</v>
      </c>
      <c r="Y22" s="41"/>
      <c r="Z22" s="42"/>
      <c r="AA22" s="51">
        <v>1500</v>
      </c>
      <c r="AB22" s="40" t="s">
        <v>870</v>
      </c>
      <c r="AD22" s="46" t="s">
        <v>1001</v>
      </c>
      <c r="AE22" s="46" t="s">
        <v>388</v>
      </c>
      <c r="AF22" s="42">
        <v>45885</v>
      </c>
      <c r="AG22" s="96" t="e">
        <f>#REF!</f>
        <v>#REF!</v>
      </c>
      <c r="AH22" s="46" t="s">
        <v>388</v>
      </c>
      <c r="AI22" s="46" t="s">
        <v>862</v>
      </c>
      <c r="AJ22" s="46"/>
      <c r="AK22" s="46" t="s">
        <v>976</v>
      </c>
      <c r="AL22" s="46"/>
      <c r="AM22" s="98">
        <v>100000</v>
      </c>
      <c r="AN22" s="40" t="s">
        <v>1000</v>
      </c>
      <c r="AP22" s="57" t="s">
        <v>988</v>
      </c>
      <c r="AQ22" s="56" t="s">
        <v>373</v>
      </c>
      <c r="AR22" s="56" t="s">
        <v>388</v>
      </c>
      <c r="AS22" s="68">
        <v>45802</v>
      </c>
      <c r="AT22" s="67"/>
      <c r="AU22" s="56" t="s">
        <v>388</v>
      </c>
      <c r="AV22" s="56" t="s">
        <v>862</v>
      </c>
      <c r="AW22" s="56" t="s">
        <v>1106</v>
      </c>
      <c r="AX22" s="61" t="s">
        <v>1131</v>
      </c>
      <c r="AY22" s="61">
        <v>500</v>
      </c>
      <c r="AZ22" s="63" t="s">
        <v>1134</v>
      </c>
      <c r="BN22" s="74" t="s">
        <v>421</v>
      </c>
      <c r="BO22" s="74" t="s">
        <v>431</v>
      </c>
      <c r="BP22" s="78">
        <v>200</v>
      </c>
      <c r="BQ22" s="74" t="s">
        <v>388</v>
      </c>
      <c r="BR22" s="74" t="s">
        <v>1224</v>
      </c>
      <c r="BS22" s="74" t="s">
        <v>389</v>
      </c>
      <c r="BT22" s="74" t="s">
        <v>1231</v>
      </c>
      <c r="BU22" s="74" t="s">
        <v>1322</v>
      </c>
      <c r="BV22" s="74"/>
      <c r="BX22" s="74" t="s">
        <v>156</v>
      </c>
      <c r="BY22" s="74" t="s">
        <v>166</v>
      </c>
      <c r="BZ22" s="78">
        <v>10200</v>
      </c>
      <c r="CA22" s="74" t="s">
        <v>388</v>
      </c>
      <c r="CB22" s="74" t="s">
        <v>1236</v>
      </c>
      <c r="CC22" s="74" t="s">
        <v>1226</v>
      </c>
      <c r="CD22" s="41" t="s">
        <v>1237</v>
      </c>
      <c r="CE22" s="41" t="s">
        <v>1225</v>
      </c>
      <c r="CF22" s="41"/>
      <c r="CG22" s="41"/>
    </row>
    <row r="23" spans="2:85" ht="20.149999999999999" customHeight="1">
      <c r="B23" s="4" t="s">
        <v>654</v>
      </c>
      <c r="C23" s="4" t="s">
        <v>569</v>
      </c>
      <c r="D23" s="4" t="s">
        <v>1288</v>
      </c>
      <c r="E23" s="4" t="s">
        <v>589</v>
      </c>
      <c r="F23" s="73">
        <v>46259</v>
      </c>
      <c r="G23" s="5">
        <v>18000</v>
      </c>
      <c r="H23" s="6">
        <v>647352.65</v>
      </c>
      <c r="R23" s="41" t="s">
        <v>894</v>
      </c>
      <c r="S23" s="41" t="s">
        <v>388</v>
      </c>
      <c r="T23" s="42">
        <v>45782</v>
      </c>
      <c r="U23" s="45">
        <v>44500000</v>
      </c>
      <c r="V23" s="41" t="s">
        <v>388</v>
      </c>
      <c r="W23" s="41" t="s">
        <v>862</v>
      </c>
      <c r="X23" s="41" t="s">
        <v>863</v>
      </c>
      <c r="Y23" s="41"/>
      <c r="Z23" s="41"/>
      <c r="AA23" s="51">
        <v>5000</v>
      </c>
      <c r="AB23" s="41" t="s">
        <v>888</v>
      </c>
      <c r="AD23" s="46" t="s">
        <v>1001</v>
      </c>
      <c r="AE23" s="46" t="s">
        <v>388</v>
      </c>
      <c r="AF23" s="42">
        <v>45885</v>
      </c>
      <c r="AG23" s="96" t="e">
        <f>#REF!</f>
        <v>#REF!</v>
      </c>
      <c r="AH23" s="46" t="s">
        <v>388</v>
      </c>
      <c r="AI23" s="46" t="s">
        <v>862</v>
      </c>
      <c r="AJ23" s="46"/>
      <c r="AK23" s="46" t="s">
        <v>976</v>
      </c>
      <c r="AL23" s="46"/>
      <c r="AM23" s="98">
        <v>2000</v>
      </c>
      <c r="AN23" s="40" t="s">
        <v>1002</v>
      </c>
      <c r="AP23" s="58" t="s">
        <v>992</v>
      </c>
      <c r="AQ23" s="56" t="s">
        <v>373</v>
      </c>
      <c r="AR23" s="56" t="s">
        <v>388</v>
      </c>
      <c r="AS23" s="68">
        <v>45736</v>
      </c>
      <c r="AT23" s="60">
        <v>4870000</v>
      </c>
      <c r="AU23" s="56" t="s">
        <v>388</v>
      </c>
      <c r="AV23" s="56" t="s">
        <v>862</v>
      </c>
      <c r="AW23" s="56" t="s">
        <v>1106</v>
      </c>
      <c r="AX23" s="61" t="s">
        <v>1136</v>
      </c>
      <c r="AY23" s="64">
        <v>1000</v>
      </c>
      <c r="AZ23" s="57" t="s">
        <v>1137</v>
      </c>
      <c r="BN23" s="74" t="s">
        <v>421</v>
      </c>
      <c r="BO23" s="74" t="s">
        <v>358</v>
      </c>
      <c r="BP23" s="78">
        <v>1200</v>
      </c>
      <c r="BQ23" s="74" t="s">
        <v>388</v>
      </c>
      <c r="BR23" s="74" t="s">
        <v>1224</v>
      </c>
      <c r="BS23" s="74" t="s">
        <v>389</v>
      </c>
      <c r="BT23" s="74" t="s">
        <v>1231</v>
      </c>
      <c r="BU23" s="74" t="s">
        <v>1322</v>
      </c>
      <c r="BV23" s="74"/>
      <c r="BX23" s="74" t="s">
        <v>169</v>
      </c>
      <c r="BY23" s="74" t="s">
        <v>171</v>
      </c>
      <c r="BZ23" s="78">
        <v>20000</v>
      </c>
      <c r="CA23" s="74" t="s">
        <v>388</v>
      </c>
      <c r="CB23" s="74" t="s">
        <v>1221</v>
      </c>
      <c r="CC23" s="74" t="s">
        <v>1226</v>
      </c>
      <c r="CD23" s="41" t="s">
        <v>1238</v>
      </c>
      <c r="CE23" s="41" t="s">
        <v>1225</v>
      </c>
      <c r="CF23" s="41"/>
      <c r="CG23" s="41"/>
    </row>
    <row r="24" spans="2:85" ht="20.149999999999999" customHeight="1">
      <c r="B24" s="4" t="s">
        <v>654</v>
      </c>
      <c r="C24" s="4" t="s">
        <v>569</v>
      </c>
      <c r="D24" s="4" t="s">
        <v>1288</v>
      </c>
      <c r="E24" s="4" t="s">
        <v>589</v>
      </c>
      <c r="F24" s="73">
        <v>46259</v>
      </c>
      <c r="G24" s="5">
        <v>2000</v>
      </c>
      <c r="H24" s="6">
        <v>71928.070000000007</v>
      </c>
      <c r="R24" s="41" t="s">
        <v>894</v>
      </c>
      <c r="S24" s="41" t="s">
        <v>388</v>
      </c>
      <c r="T24" s="42">
        <v>45782</v>
      </c>
      <c r="U24" s="45"/>
      <c r="V24" s="41"/>
      <c r="W24" s="41" t="s">
        <v>862</v>
      </c>
      <c r="X24" s="41" t="s">
        <v>863</v>
      </c>
      <c r="Y24" s="41"/>
      <c r="Z24" s="41"/>
      <c r="AA24" s="51">
        <v>2000</v>
      </c>
      <c r="AB24" s="41" t="s">
        <v>888</v>
      </c>
      <c r="AD24" s="40" t="s">
        <v>1003</v>
      </c>
      <c r="AE24" s="40" t="s">
        <v>388</v>
      </c>
      <c r="AF24" s="42">
        <v>45852</v>
      </c>
      <c r="AG24" s="96">
        <v>45000000</v>
      </c>
      <c r="AH24" s="40" t="s">
        <v>388</v>
      </c>
      <c r="AI24" s="40" t="s">
        <v>862</v>
      </c>
      <c r="AJ24" s="40" t="s">
        <v>1004</v>
      </c>
      <c r="AK24" s="40" t="s">
        <v>993</v>
      </c>
      <c r="AL24" s="40"/>
      <c r="AM24" s="40">
        <v>4500000</v>
      </c>
      <c r="AN24" s="40" t="s">
        <v>974</v>
      </c>
      <c r="AP24" s="58" t="s">
        <v>992</v>
      </c>
      <c r="AQ24" s="56" t="s">
        <v>373</v>
      </c>
      <c r="AR24" s="56" t="s">
        <v>388</v>
      </c>
      <c r="AS24" s="68">
        <v>45736</v>
      </c>
      <c r="AT24" s="67"/>
      <c r="AU24" s="56" t="s">
        <v>388</v>
      </c>
      <c r="AV24" s="56" t="s">
        <v>862</v>
      </c>
      <c r="AW24" s="56" t="s">
        <v>1106</v>
      </c>
      <c r="AX24" s="61" t="s">
        <v>1136</v>
      </c>
      <c r="AY24" s="62">
        <v>9000</v>
      </c>
      <c r="AZ24" s="63" t="s">
        <v>1138</v>
      </c>
      <c r="BN24" s="74" t="s">
        <v>421</v>
      </c>
      <c r="BO24" s="74" t="s">
        <v>120</v>
      </c>
      <c r="BP24" s="78">
        <v>168</v>
      </c>
      <c r="BQ24" s="74" t="s">
        <v>388</v>
      </c>
      <c r="BR24" s="74" t="s">
        <v>1224</v>
      </c>
      <c r="BS24" s="74" t="s">
        <v>389</v>
      </c>
      <c r="BT24" s="74" t="s">
        <v>1231</v>
      </c>
      <c r="BU24" s="74" t="s">
        <v>1322</v>
      </c>
      <c r="BV24" s="74"/>
      <c r="BX24" s="74" t="s">
        <v>169</v>
      </c>
      <c r="BY24" s="74" t="s">
        <v>110</v>
      </c>
      <c r="BZ24" s="78">
        <v>20000</v>
      </c>
      <c r="CA24" s="74" t="s">
        <v>388</v>
      </c>
      <c r="CB24" s="74" t="s">
        <v>1221</v>
      </c>
      <c r="CC24" s="74" t="s">
        <v>1226</v>
      </c>
      <c r="CD24" s="41" t="s">
        <v>1238</v>
      </c>
      <c r="CE24" s="41" t="s">
        <v>1225</v>
      </c>
      <c r="CF24" s="41"/>
      <c r="CG24" s="41"/>
    </row>
    <row r="25" spans="2:85" ht="20.149999999999999" customHeight="1">
      <c r="B25" s="4" t="s">
        <v>759</v>
      </c>
      <c r="C25" s="4" t="s">
        <v>569</v>
      </c>
      <c r="D25" s="4" t="s">
        <v>824</v>
      </c>
      <c r="E25" s="4" t="s">
        <v>326</v>
      </c>
      <c r="F25" s="73">
        <v>46262</v>
      </c>
      <c r="G25" s="5">
        <v>1500</v>
      </c>
      <c r="H25" s="6">
        <v>636863.14</v>
      </c>
      <c r="R25" s="41" t="s">
        <v>898</v>
      </c>
      <c r="S25" s="41" t="s">
        <v>388</v>
      </c>
      <c r="T25" s="42">
        <v>45786</v>
      </c>
      <c r="U25" s="45">
        <v>23100000</v>
      </c>
      <c r="V25" s="41" t="s">
        <v>388</v>
      </c>
      <c r="W25" s="41" t="s">
        <v>862</v>
      </c>
      <c r="X25" s="41" t="s">
        <v>863</v>
      </c>
      <c r="Y25" s="41"/>
      <c r="Z25" s="52" t="s">
        <v>1377</v>
      </c>
      <c r="AA25" s="51">
        <v>4500</v>
      </c>
      <c r="AB25" s="41" t="s">
        <v>865</v>
      </c>
      <c r="AD25" s="46" t="s">
        <v>930</v>
      </c>
      <c r="AE25" s="46" t="s">
        <v>388</v>
      </c>
      <c r="AF25" s="42">
        <v>45787</v>
      </c>
      <c r="AG25" s="96">
        <v>20000000</v>
      </c>
      <c r="AH25" s="46" t="s">
        <v>388</v>
      </c>
      <c r="AI25" s="46" t="s">
        <v>862</v>
      </c>
      <c r="AJ25" s="46" t="s">
        <v>1004</v>
      </c>
      <c r="AK25" s="46" t="s">
        <v>993</v>
      </c>
      <c r="AL25" s="46"/>
      <c r="AM25" s="40">
        <v>125000</v>
      </c>
      <c r="AN25" s="40" t="s">
        <v>974</v>
      </c>
      <c r="AP25" s="57" t="s">
        <v>1140</v>
      </c>
      <c r="AQ25" s="56" t="s">
        <v>373</v>
      </c>
      <c r="AR25" s="56" t="s">
        <v>388</v>
      </c>
      <c r="AS25" s="68">
        <v>45721</v>
      </c>
      <c r="AT25" s="67">
        <v>56250000</v>
      </c>
      <c r="AU25" s="56" t="s">
        <v>388</v>
      </c>
      <c r="AV25" s="56" t="s">
        <v>862</v>
      </c>
      <c r="AW25" s="56" t="s">
        <v>1106</v>
      </c>
      <c r="AX25" s="56" t="s">
        <v>1141</v>
      </c>
      <c r="AY25" s="62">
        <v>150000</v>
      </c>
      <c r="AZ25" s="63" t="s">
        <v>1142</v>
      </c>
      <c r="BN25" s="74" t="s">
        <v>421</v>
      </c>
      <c r="BO25" s="74" t="s">
        <v>271</v>
      </c>
      <c r="BP25" s="78">
        <v>1504</v>
      </c>
      <c r="BQ25" s="74" t="s">
        <v>388</v>
      </c>
      <c r="BR25" s="74" t="s">
        <v>1224</v>
      </c>
      <c r="BS25" s="74" t="s">
        <v>389</v>
      </c>
      <c r="BT25" s="74" t="s">
        <v>1231</v>
      </c>
      <c r="BU25" s="74" t="s">
        <v>1322</v>
      </c>
      <c r="BV25" s="74"/>
      <c r="BX25" s="74" t="s">
        <v>169</v>
      </c>
      <c r="BY25" s="74" t="s">
        <v>171</v>
      </c>
      <c r="BZ25" s="78">
        <v>20000</v>
      </c>
      <c r="CA25" s="74" t="s">
        <v>388</v>
      </c>
      <c r="CB25" s="74" t="s">
        <v>1221</v>
      </c>
      <c r="CC25" s="74" t="s">
        <v>1226</v>
      </c>
      <c r="CD25" s="41" t="s">
        <v>1239</v>
      </c>
      <c r="CE25" s="41" t="s">
        <v>1225</v>
      </c>
      <c r="CF25" s="41"/>
      <c r="CG25" s="41"/>
    </row>
    <row r="26" spans="2:85" ht="20.149999999999999" customHeight="1">
      <c r="B26" s="4" t="s">
        <v>759</v>
      </c>
      <c r="C26" s="4" t="s">
        <v>569</v>
      </c>
      <c r="D26" s="4" t="s">
        <v>824</v>
      </c>
      <c r="E26" s="4" t="s">
        <v>139</v>
      </c>
      <c r="F26" s="73">
        <v>46262</v>
      </c>
      <c r="G26" s="5">
        <v>448</v>
      </c>
      <c r="H26" s="6">
        <v>436363.64</v>
      </c>
      <c r="R26" s="41" t="s">
        <v>898</v>
      </c>
      <c r="S26" s="41" t="s">
        <v>388</v>
      </c>
      <c r="T26" s="42">
        <v>45786</v>
      </c>
      <c r="U26" s="45"/>
      <c r="V26" s="41" t="s">
        <v>388</v>
      </c>
      <c r="W26" s="41" t="s">
        <v>862</v>
      </c>
      <c r="X26" s="41" t="s">
        <v>863</v>
      </c>
      <c r="Y26" s="41"/>
      <c r="Z26" s="52" t="s">
        <v>1378</v>
      </c>
      <c r="AA26" s="51">
        <v>400</v>
      </c>
      <c r="AB26" s="41" t="s">
        <v>882</v>
      </c>
      <c r="AD26" s="40" t="s">
        <v>1005</v>
      </c>
      <c r="AE26" s="40" t="s">
        <v>388</v>
      </c>
      <c r="AF26" s="42">
        <v>45789</v>
      </c>
      <c r="AG26" s="96">
        <v>10000000</v>
      </c>
      <c r="AH26" s="40" t="s">
        <v>388</v>
      </c>
      <c r="AI26" s="40" t="s">
        <v>862</v>
      </c>
      <c r="AJ26" s="40" t="s">
        <v>1004</v>
      </c>
      <c r="AK26" s="46" t="s">
        <v>993</v>
      </c>
      <c r="AL26" s="40"/>
      <c r="AM26" s="40">
        <v>200000</v>
      </c>
      <c r="AN26" s="40" t="s">
        <v>974</v>
      </c>
      <c r="AP26" s="57" t="s">
        <v>1140</v>
      </c>
      <c r="AQ26" s="56" t="s">
        <v>373</v>
      </c>
      <c r="AR26" s="56" t="s">
        <v>388</v>
      </c>
      <c r="AS26" s="68">
        <v>45721</v>
      </c>
      <c r="AT26" s="60">
        <v>20910000</v>
      </c>
      <c r="AU26" s="56" t="s">
        <v>388</v>
      </c>
      <c r="AV26" s="56" t="s">
        <v>862</v>
      </c>
      <c r="AW26" s="56" t="s">
        <v>1106</v>
      </c>
      <c r="AX26" s="56" t="s">
        <v>1143</v>
      </c>
      <c r="AY26" s="64">
        <v>30000</v>
      </c>
      <c r="AZ26" s="57" t="s">
        <v>1144</v>
      </c>
      <c r="BN26" s="74" t="s">
        <v>421</v>
      </c>
      <c r="BO26" s="74" t="s">
        <v>441</v>
      </c>
      <c r="BP26" s="78">
        <v>600</v>
      </c>
      <c r="BQ26" s="74" t="s">
        <v>388</v>
      </c>
      <c r="BR26" s="74" t="s">
        <v>1224</v>
      </c>
      <c r="BS26" s="74" t="s">
        <v>389</v>
      </c>
      <c r="BT26" s="74" t="s">
        <v>1231</v>
      </c>
      <c r="BU26" s="74" t="s">
        <v>1322</v>
      </c>
      <c r="BV26" s="74"/>
      <c r="BX26" s="74" t="s">
        <v>169</v>
      </c>
      <c r="BY26" s="74" t="s">
        <v>103</v>
      </c>
      <c r="BZ26" s="78">
        <v>6000</v>
      </c>
      <c r="CA26" s="74" t="s">
        <v>388</v>
      </c>
      <c r="CB26" s="74" t="s">
        <v>1221</v>
      </c>
      <c r="CC26" s="74" t="s">
        <v>1226</v>
      </c>
      <c r="CD26" s="41" t="s">
        <v>1239</v>
      </c>
      <c r="CE26" s="41" t="s">
        <v>1225</v>
      </c>
      <c r="CF26" s="41"/>
      <c r="CG26" s="41"/>
    </row>
    <row r="27" spans="2:85" ht="20.149999999999999" customHeight="1">
      <c r="B27" s="4" t="s">
        <v>759</v>
      </c>
      <c r="C27" s="4" t="s">
        <v>569</v>
      </c>
      <c r="D27" s="4" t="s">
        <v>824</v>
      </c>
      <c r="E27" s="4" t="s">
        <v>139</v>
      </c>
      <c r="F27" s="73">
        <v>46262</v>
      </c>
      <c r="G27" s="5">
        <v>1052</v>
      </c>
      <c r="H27" s="6">
        <v>1024675.32</v>
      </c>
      <c r="R27" s="41" t="s">
        <v>898</v>
      </c>
      <c r="S27" s="41" t="s">
        <v>388</v>
      </c>
      <c r="T27" s="42">
        <v>45786</v>
      </c>
      <c r="U27" s="45"/>
      <c r="V27" s="41" t="s">
        <v>388</v>
      </c>
      <c r="W27" s="41" t="s">
        <v>862</v>
      </c>
      <c r="X27" s="41" t="s">
        <v>863</v>
      </c>
      <c r="Y27" s="41"/>
      <c r="Z27" s="52" t="s">
        <v>1378</v>
      </c>
      <c r="AA27" s="51">
        <v>400</v>
      </c>
      <c r="AB27" s="40" t="s">
        <v>870</v>
      </c>
      <c r="AD27" s="46" t="s">
        <v>1006</v>
      </c>
      <c r="AE27" s="46" t="s">
        <v>388</v>
      </c>
      <c r="AF27" s="42">
        <v>45797</v>
      </c>
      <c r="AG27" s="96" t="e">
        <f>#REF!</f>
        <v>#REF!</v>
      </c>
      <c r="AH27" s="46" t="s">
        <v>388</v>
      </c>
      <c r="AI27" s="46" t="s">
        <v>862</v>
      </c>
      <c r="AJ27" s="46"/>
      <c r="AK27" s="46" t="s">
        <v>976</v>
      </c>
      <c r="AL27" s="97">
        <v>46041</v>
      </c>
      <c r="AM27" s="98">
        <v>150000</v>
      </c>
      <c r="AN27" s="46" t="s">
        <v>1007</v>
      </c>
      <c r="AP27" s="57" t="s">
        <v>1140</v>
      </c>
      <c r="AQ27" s="56" t="s">
        <v>373</v>
      </c>
      <c r="AR27" s="56" t="s">
        <v>388</v>
      </c>
      <c r="AS27" s="68">
        <v>45721</v>
      </c>
      <c r="AT27" s="67">
        <v>16455000</v>
      </c>
      <c r="AU27" s="56" t="s">
        <v>388</v>
      </c>
      <c r="AV27" s="56" t="s">
        <v>862</v>
      </c>
      <c r="AW27" s="56" t="s">
        <v>1106</v>
      </c>
      <c r="AX27" s="56" t="s">
        <v>1141</v>
      </c>
      <c r="AY27" s="62">
        <v>15000</v>
      </c>
      <c r="AZ27" s="63" t="s">
        <v>1145</v>
      </c>
      <c r="BN27" s="74" t="s">
        <v>443</v>
      </c>
      <c r="BO27" s="74" t="s">
        <v>125</v>
      </c>
      <c r="BP27" s="78">
        <v>155000</v>
      </c>
      <c r="BQ27" s="74" t="s">
        <v>388</v>
      </c>
      <c r="BR27" s="74" t="s">
        <v>446</v>
      </c>
      <c r="BS27" s="74" t="s">
        <v>389</v>
      </c>
      <c r="BT27" s="74" t="s">
        <v>447</v>
      </c>
      <c r="BU27" s="74" t="s">
        <v>448</v>
      </c>
      <c r="BV27" s="74"/>
      <c r="BX27" s="74" t="s">
        <v>169</v>
      </c>
      <c r="BY27" s="74" t="s">
        <v>103</v>
      </c>
      <c r="BZ27" s="78">
        <v>12000</v>
      </c>
      <c r="CA27" s="74" t="s">
        <v>388</v>
      </c>
      <c r="CB27" s="74" t="s">
        <v>1221</v>
      </c>
      <c r="CC27" s="74" t="s">
        <v>1226</v>
      </c>
      <c r="CD27" s="41" t="s">
        <v>1241</v>
      </c>
      <c r="CE27" s="41" t="s">
        <v>1225</v>
      </c>
      <c r="CF27" s="41"/>
      <c r="CG27" s="41"/>
    </row>
    <row r="28" spans="2:85" ht="20.149999999999999" customHeight="1">
      <c r="B28" s="4" t="s">
        <v>810</v>
      </c>
      <c r="C28" s="4" t="s">
        <v>569</v>
      </c>
      <c r="D28" s="4" t="s">
        <v>824</v>
      </c>
      <c r="E28" s="4" t="s">
        <v>218</v>
      </c>
      <c r="F28" s="73">
        <v>46262</v>
      </c>
      <c r="G28" s="5">
        <v>36</v>
      </c>
      <c r="H28" s="6">
        <v>77322.679999999993</v>
      </c>
      <c r="R28" s="41" t="s">
        <v>901</v>
      </c>
      <c r="S28" s="41" t="s">
        <v>388</v>
      </c>
      <c r="T28" s="42">
        <v>45797</v>
      </c>
      <c r="U28" s="45">
        <v>3101000</v>
      </c>
      <c r="V28" s="41" t="s">
        <v>388</v>
      </c>
      <c r="W28" s="41" t="s">
        <v>862</v>
      </c>
      <c r="X28" s="41" t="s">
        <v>863</v>
      </c>
      <c r="Y28" s="41"/>
      <c r="Z28" s="42" t="s">
        <v>1379</v>
      </c>
      <c r="AA28" s="51">
        <v>7000</v>
      </c>
      <c r="AB28" s="41" t="s">
        <v>888</v>
      </c>
      <c r="AD28" s="40" t="s">
        <v>1008</v>
      </c>
      <c r="AE28" s="40" t="s">
        <v>388</v>
      </c>
      <c r="AF28" s="42">
        <v>45800</v>
      </c>
      <c r="AG28" s="96" t="e">
        <f>#REF!</f>
        <v>#REF!</v>
      </c>
      <c r="AH28" s="40" t="s">
        <v>388</v>
      </c>
      <c r="AI28" s="40" t="s">
        <v>862</v>
      </c>
      <c r="AJ28" s="40" t="s">
        <v>971</v>
      </c>
      <c r="AK28" s="46" t="s">
        <v>993</v>
      </c>
      <c r="AL28" s="40"/>
      <c r="AM28" s="40">
        <v>175000</v>
      </c>
      <c r="AN28" s="40" t="s">
        <v>1007</v>
      </c>
      <c r="AP28" s="57" t="s">
        <v>1146</v>
      </c>
      <c r="AQ28" s="56" t="s">
        <v>373</v>
      </c>
      <c r="AR28" s="56" t="s">
        <v>388</v>
      </c>
      <c r="AS28" s="68">
        <v>45832</v>
      </c>
      <c r="AT28" s="67">
        <v>61727346</v>
      </c>
      <c r="AU28" s="56" t="s">
        <v>388</v>
      </c>
      <c r="AV28" s="56" t="s">
        <v>862</v>
      </c>
      <c r="AW28" s="56" t="s">
        <v>1106</v>
      </c>
      <c r="AX28" s="61" t="s">
        <v>1147</v>
      </c>
      <c r="AY28" s="62">
        <v>146011</v>
      </c>
      <c r="AZ28" s="63" t="s">
        <v>1107</v>
      </c>
      <c r="BN28" s="74" t="s">
        <v>443</v>
      </c>
      <c r="BO28" s="74" t="s">
        <v>125</v>
      </c>
      <c r="BP28" s="78">
        <v>155000</v>
      </c>
      <c r="BQ28" s="74" t="s">
        <v>388</v>
      </c>
      <c r="BR28" s="74" t="s">
        <v>446</v>
      </c>
      <c r="BS28" s="74" t="s">
        <v>389</v>
      </c>
      <c r="BT28" s="74" t="s">
        <v>447</v>
      </c>
      <c r="BU28" s="74" t="s">
        <v>448</v>
      </c>
      <c r="BV28" s="74"/>
      <c r="BX28" s="74" t="s">
        <v>169</v>
      </c>
      <c r="BY28" s="74" t="s">
        <v>115</v>
      </c>
      <c r="BZ28" s="78">
        <v>24000</v>
      </c>
      <c r="CA28" s="74" t="s">
        <v>388</v>
      </c>
      <c r="CB28" s="74" t="s">
        <v>1221</v>
      </c>
      <c r="CC28" s="74" t="s">
        <v>1226</v>
      </c>
      <c r="CD28" s="41" t="s">
        <v>1241</v>
      </c>
      <c r="CE28" s="41" t="s">
        <v>1225</v>
      </c>
      <c r="CF28" s="41"/>
      <c r="CG28" s="41"/>
    </row>
    <row r="29" spans="2:85" ht="20.149999999999999" customHeight="1">
      <c r="B29" s="4" t="s">
        <v>810</v>
      </c>
      <c r="C29" s="4" t="s">
        <v>569</v>
      </c>
      <c r="D29" s="4" t="s">
        <v>824</v>
      </c>
      <c r="E29" s="4" t="s">
        <v>218</v>
      </c>
      <c r="F29" s="73">
        <v>46262</v>
      </c>
      <c r="G29" s="5">
        <v>81</v>
      </c>
      <c r="H29" s="6">
        <v>173976.02</v>
      </c>
      <c r="R29" s="41" t="s">
        <v>905</v>
      </c>
      <c r="S29" s="41" t="s">
        <v>388</v>
      </c>
      <c r="T29" s="42">
        <v>45803</v>
      </c>
      <c r="U29" s="45">
        <v>5340000</v>
      </c>
      <c r="V29" s="41" t="s">
        <v>388</v>
      </c>
      <c r="W29" s="41" t="s">
        <v>862</v>
      </c>
      <c r="X29" s="41" t="s">
        <v>863</v>
      </c>
      <c r="Y29" s="41"/>
      <c r="Z29" s="42" t="s">
        <v>1380</v>
      </c>
      <c r="AA29" s="51">
        <v>12000</v>
      </c>
      <c r="AB29" s="41" t="s">
        <v>888</v>
      </c>
      <c r="AD29" s="46" t="s">
        <v>920</v>
      </c>
      <c r="AE29" s="46" t="s">
        <v>388</v>
      </c>
      <c r="AF29" s="42">
        <v>45800</v>
      </c>
      <c r="AG29" s="96">
        <v>10000000</v>
      </c>
      <c r="AH29" s="46" t="s">
        <v>388</v>
      </c>
      <c r="AI29" s="46" t="s">
        <v>862</v>
      </c>
      <c r="AJ29" s="46" t="s">
        <v>971</v>
      </c>
      <c r="AK29" s="46" t="s">
        <v>993</v>
      </c>
      <c r="AL29" s="46"/>
      <c r="AM29" s="46">
        <v>150000</v>
      </c>
      <c r="AN29" s="46" t="s">
        <v>974</v>
      </c>
      <c r="AP29" s="57" t="s">
        <v>1146</v>
      </c>
      <c r="AQ29" s="56" t="s">
        <v>373</v>
      </c>
      <c r="AR29" s="56" t="s">
        <v>388</v>
      </c>
      <c r="AS29" s="68">
        <v>45832</v>
      </c>
      <c r="AT29" s="60"/>
      <c r="AU29" s="56" t="s">
        <v>388</v>
      </c>
      <c r="AV29" s="56" t="s">
        <v>862</v>
      </c>
      <c r="AW29" s="56" t="s">
        <v>1106</v>
      </c>
      <c r="AX29" s="61"/>
      <c r="AY29" s="64">
        <v>8500</v>
      </c>
      <c r="AZ29" s="57" t="s">
        <v>1149</v>
      </c>
      <c r="BN29" s="74" t="s">
        <v>443</v>
      </c>
      <c r="BO29" s="74" t="s">
        <v>125</v>
      </c>
      <c r="BP29" s="78">
        <v>155000</v>
      </c>
      <c r="BQ29" s="74" t="s">
        <v>388</v>
      </c>
      <c r="BR29" s="74" t="s">
        <v>446</v>
      </c>
      <c r="BS29" s="74" t="s">
        <v>389</v>
      </c>
      <c r="BT29" s="74" t="s">
        <v>447</v>
      </c>
      <c r="BU29" s="74" t="s">
        <v>448</v>
      </c>
      <c r="BV29" s="74"/>
      <c r="BX29" s="74" t="s">
        <v>169</v>
      </c>
      <c r="BY29" s="74" t="s">
        <v>181</v>
      </c>
      <c r="BZ29" s="78">
        <v>25000</v>
      </c>
      <c r="CA29" s="74" t="s">
        <v>388</v>
      </c>
      <c r="CB29" s="74" t="s">
        <v>1221</v>
      </c>
      <c r="CC29" s="74" t="s">
        <v>1226</v>
      </c>
      <c r="CD29" s="41" t="s">
        <v>1240</v>
      </c>
      <c r="CE29" s="41" t="s">
        <v>1225</v>
      </c>
      <c r="CF29" s="41"/>
      <c r="CG29" s="41"/>
    </row>
    <row r="30" spans="2:85" ht="20.149999999999999" customHeight="1">
      <c r="B30" s="4" t="s">
        <v>788</v>
      </c>
      <c r="C30" s="4" t="s">
        <v>1487</v>
      </c>
      <c r="D30" s="4" t="s">
        <v>1288</v>
      </c>
      <c r="E30" s="4" t="s">
        <v>110</v>
      </c>
      <c r="F30" s="73">
        <v>46232</v>
      </c>
      <c r="G30" s="5">
        <v>-4836</v>
      </c>
      <c r="H30" s="6">
        <v>-725400</v>
      </c>
      <c r="R30" s="41" t="s">
        <v>905</v>
      </c>
      <c r="S30" s="41" t="s">
        <v>388</v>
      </c>
      <c r="T30" s="42">
        <v>45803</v>
      </c>
      <c r="U30" s="45">
        <v>17325000</v>
      </c>
      <c r="V30" s="41" t="s">
        <v>388</v>
      </c>
      <c r="W30" s="41" t="s">
        <v>862</v>
      </c>
      <c r="X30" s="41" t="s">
        <v>863</v>
      </c>
      <c r="Y30" s="41"/>
      <c r="Z30" s="42" t="s">
        <v>1381</v>
      </c>
      <c r="AA30" s="51">
        <v>5000</v>
      </c>
      <c r="AB30" s="41" t="s">
        <v>1383</v>
      </c>
      <c r="AD30" s="40" t="s">
        <v>1009</v>
      </c>
      <c r="AE30" s="46" t="s">
        <v>388</v>
      </c>
      <c r="AF30" s="42">
        <v>45800</v>
      </c>
      <c r="AG30" s="96" t="e">
        <f>#REF!</f>
        <v>#REF!</v>
      </c>
      <c r="AH30" s="40" t="s">
        <v>388</v>
      </c>
      <c r="AI30" s="40" t="s">
        <v>862</v>
      </c>
      <c r="AJ30" s="40"/>
      <c r="AK30" s="40" t="s">
        <v>976</v>
      </c>
      <c r="AL30" s="40"/>
      <c r="AM30" s="44">
        <v>50000</v>
      </c>
      <c r="AN30" s="40" t="s">
        <v>969</v>
      </c>
      <c r="AP30" s="63" t="s">
        <v>1150</v>
      </c>
      <c r="AQ30" s="56" t="s">
        <v>373</v>
      </c>
      <c r="AR30" s="56" t="s">
        <v>388</v>
      </c>
      <c r="AS30" s="68">
        <v>45723</v>
      </c>
      <c r="AT30" s="60">
        <v>36250000</v>
      </c>
      <c r="AU30" s="56" t="s">
        <v>388</v>
      </c>
      <c r="AV30" s="56" t="s">
        <v>862</v>
      </c>
      <c r="AW30" s="56" t="s">
        <v>1106</v>
      </c>
      <c r="AX30" s="56" t="s">
        <v>1151</v>
      </c>
      <c r="AY30" s="64">
        <v>50000</v>
      </c>
      <c r="AZ30" s="57" t="s">
        <v>1134</v>
      </c>
      <c r="BN30" s="74" t="s">
        <v>443</v>
      </c>
      <c r="BO30" s="74" t="s">
        <v>125</v>
      </c>
      <c r="BP30" s="78">
        <v>156000</v>
      </c>
      <c r="BQ30" s="74" t="s">
        <v>388</v>
      </c>
      <c r="BR30" s="74" t="s">
        <v>446</v>
      </c>
      <c r="BS30" s="74" t="s">
        <v>389</v>
      </c>
      <c r="BT30" s="74" t="s">
        <v>447</v>
      </c>
      <c r="BU30" s="74" t="s">
        <v>448</v>
      </c>
      <c r="BV30" s="74"/>
      <c r="BX30" s="74" t="s">
        <v>184</v>
      </c>
      <c r="BY30" s="74" t="s">
        <v>187</v>
      </c>
      <c r="BZ30" s="78">
        <v>10000</v>
      </c>
      <c r="CA30" s="74"/>
      <c r="CB30" s="74"/>
      <c r="CC30" s="74"/>
      <c r="CD30" s="41"/>
      <c r="CE30" s="41"/>
      <c r="CF30" s="41"/>
      <c r="CG30" s="41" t="s">
        <v>1248</v>
      </c>
    </row>
    <row r="31" spans="2:85" ht="20.149999999999999" customHeight="1">
      <c r="B31" s="4" t="s">
        <v>788</v>
      </c>
      <c r="C31" s="4" t="s">
        <v>1487</v>
      </c>
      <c r="D31" s="4" t="s">
        <v>1288</v>
      </c>
      <c r="E31" s="4" t="s">
        <v>110</v>
      </c>
      <c r="F31" s="73">
        <v>46232</v>
      </c>
      <c r="G31" s="5">
        <v>-45851</v>
      </c>
      <c r="H31" s="6">
        <v>-6877650</v>
      </c>
      <c r="R31" s="41" t="s">
        <v>905</v>
      </c>
      <c r="S31" s="41" t="s">
        <v>388</v>
      </c>
      <c r="T31" s="42">
        <v>45803</v>
      </c>
      <c r="U31" s="45"/>
      <c r="V31" s="41" t="s">
        <v>388</v>
      </c>
      <c r="W31" s="41" t="s">
        <v>862</v>
      </c>
      <c r="X31" s="41" t="s">
        <v>863</v>
      </c>
      <c r="Y31" s="41"/>
      <c r="Z31" s="42" t="s">
        <v>1382</v>
      </c>
      <c r="AA31" s="51">
        <v>4000</v>
      </c>
      <c r="AB31" s="41" t="s">
        <v>1383</v>
      </c>
      <c r="AD31" s="40" t="s">
        <v>1009</v>
      </c>
      <c r="AE31" s="46" t="s">
        <v>388</v>
      </c>
      <c r="AF31" s="42">
        <v>45800</v>
      </c>
      <c r="AG31" s="96" t="e">
        <f>#REF!</f>
        <v>#REF!</v>
      </c>
      <c r="AH31" s="40" t="s">
        <v>388</v>
      </c>
      <c r="AI31" s="40" t="s">
        <v>862</v>
      </c>
      <c r="AJ31" s="40"/>
      <c r="AK31" s="40" t="s">
        <v>976</v>
      </c>
      <c r="AL31" s="40"/>
      <c r="AM31" s="44">
        <v>150000</v>
      </c>
      <c r="AN31" s="40" t="s">
        <v>1010</v>
      </c>
      <c r="AP31" s="63" t="s">
        <v>1154</v>
      </c>
      <c r="AQ31" s="61" t="s">
        <v>373</v>
      </c>
      <c r="AR31" s="61" t="s">
        <v>388</v>
      </c>
      <c r="AS31" s="68">
        <v>45845</v>
      </c>
      <c r="AT31" s="67">
        <v>50000000</v>
      </c>
      <c r="AU31" s="56" t="s">
        <v>388</v>
      </c>
      <c r="AV31" s="56" t="s">
        <v>862</v>
      </c>
      <c r="AW31" s="56" t="s">
        <v>1106</v>
      </c>
      <c r="AX31" s="56" t="s">
        <v>1112</v>
      </c>
      <c r="AY31" s="64">
        <v>20000</v>
      </c>
      <c r="AZ31" s="57" t="s">
        <v>1156</v>
      </c>
      <c r="BN31" s="74" t="s">
        <v>443</v>
      </c>
      <c r="BO31" s="74" t="s">
        <v>125</v>
      </c>
      <c r="BP31" s="78">
        <v>155000</v>
      </c>
      <c r="BQ31" s="74" t="s">
        <v>388</v>
      </c>
      <c r="BR31" s="74" t="s">
        <v>446</v>
      </c>
      <c r="BS31" s="74" t="s">
        <v>389</v>
      </c>
      <c r="BT31" s="74" t="s">
        <v>447</v>
      </c>
      <c r="BU31" s="74" t="s">
        <v>448</v>
      </c>
      <c r="BV31" s="74"/>
      <c r="BX31" s="74" t="s">
        <v>190</v>
      </c>
      <c r="BY31" s="74" t="s">
        <v>193</v>
      </c>
      <c r="BZ31" s="78">
        <v>9100</v>
      </c>
      <c r="CA31" s="74" t="s">
        <v>388</v>
      </c>
      <c r="CB31" s="74" t="s">
        <v>1221</v>
      </c>
      <c r="CC31" s="74" t="s">
        <v>1243</v>
      </c>
      <c r="CD31" s="41" t="s">
        <v>1244</v>
      </c>
      <c r="CE31" s="41" t="s">
        <v>1225</v>
      </c>
      <c r="CF31" s="41" t="s">
        <v>1242</v>
      </c>
      <c r="CG31" s="41"/>
    </row>
    <row r="32" spans="2:85" ht="20.149999999999999" customHeight="1">
      <c r="B32" s="4" t="s">
        <v>788</v>
      </c>
      <c r="C32" s="4" t="s">
        <v>1487</v>
      </c>
      <c r="D32" s="4" t="s">
        <v>1288</v>
      </c>
      <c r="E32" s="4" t="s">
        <v>110</v>
      </c>
      <c r="F32" s="73">
        <v>46232</v>
      </c>
      <c r="G32" s="5">
        <v>-2600</v>
      </c>
      <c r="H32" s="6">
        <v>-390000</v>
      </c>
      <c r="R32" s="41" t="s">
        <v>910</v>
      </c>
      <c r="S32" s="41" t="s">
        <v>388</v>
      </c>
      <c r="T32" s="42">
        <v>45796</v>
      </c>
      <c r="U32" s="45">
        <v>50860000</v>
      </c>
      <c r="V32" s="41" t="s">
        <v>388</v>
      </c>
      <c r="W32" s="41" t="s">
        <v>862</v>
      </c>
      <c r="X32" s="41" t="s">
        <v>863</v>
      </c>
      <c r="Y32" s="41"/>
      <c r="Z32" s="42" t="s">
        <v>1384</v>
      </c>
      <c r="AA32" s="50">
        <v>20000</v>
      </c>
      <c r="AB32" s="41" t="s">
        <v>865</v>
      </c>
      <c r="AD32" s="46" t="s">
        <v>1011</v>
      </c>
      <c r="AE32" s="46" t="s">
        <v>388</v>
      </c>
      <c r="AF32" s="42">
        <v>45789</v>
      </c>
      <c r="AG32" s="96">
        <v>25000000</v>
      </c>
      <c r="AH32" s="46" t="s">
        <v>388</v>
      </c>
      <c r="AI32" s="46" t="s">
        <v>862</v>
      </c>
      <c r="AJ32" s="46" t="s">
        <v>971</v>
      </c>
      <c r="AK32" s="46" t="s">
        <v>972</v>
      </c>
      <c r="AL32" s="46"/>
      <c r="AM32" s="46">
        <v>350000</v>
      </c>
      <c r="AN32" s="46" t="s">
        <v>974</v>
      </c>
      <c r="AP32" s="63" t="s">
        <v>1154</v>
      </c>
      <c r="AQ32" s="61" t="s">
        <v>373</v>
      </c>
      <c r="AR32" s="61" t="s">
        <v>388</v>
      </c>
      <c r="AS32" s="68">
        <v>45845</v>
      </c>
      <c r="AT32" s="67"/>
      <c r="AU32" s="56" t="s">
        <v>388</v>
      </c>
      <c r="AV32" s="56" t="s">
        <v>862</v>
      </c>
      <c r="AW32" s="56" t="s">
        <v>1106</v>
      </c>
      <c r="AX32" s="56" t="s">
        <v>1112</v>
      </c>
      <c r="AY32" s="64">
        <v>5000</v>
      </c>
      <c r="AZ32" s="63" t="s">
        <v>1133</v>
      </c>
      <c r="BN32" s="74" t="s">
        <v>443</v>
      </c>
      <c r="BO32" s="74" t="s">
        <v>125</v>
      </c>
      <c r="BP32" s="78">
        <v>1000</v>
      </c>
      <c r="BQ32" s="74" t="s">
        <v>388</v>
      </c>
      <c r="BR32" s="74" t="s">
        <v>446</v>
      </c>
      <c r="BS32" s="74" t="s">
        <v>389</v>
      </c>
      <c r="BT32" s="74" t="s">
        <v>447</v>
      </c>
      <c r="BU32" s="74" t="s">
        <v>448</v>
      </c>
      <c r="BV32" s="74"/>
      <c r="BX32" s="74" t="s">
        <v>190</v>
      </c>
      <c r="BY32" s="74" t="s">
        <v>197</v>
      </c>
      <c r="BZ32" s="78">
        <v>8000</v>
      </c>
      <c r="CA32" s="74" t="s">
        <v>388</v>
      </c>
      <c r="CB32" s="74" t="s">
        <v>1221</v>
      </c>
      <c r="CC32" s="74" t="s">
        <v>1243</v>
      </c>
      <c r="CD32" s="41" t="s">
        <v>1244</v>
      </c>
      <c r="CE32" s="41" t="s">
        <v>1225</v>
      </c>
      <c r="CF32" s="41" t="s">
        <v>1242</v>
      </c>
      <c r="CG32" s="41"/>
    </row>
    <row r="33" spans="2:85" ht="20.149999999999999" customHeight="1">
      <c r="B33" s="4" t="s">
        <v>788</v>
      </c>
      <c r="C33" s="4" t="s">
        <v>1487</v>
      </c>
      <c r="D33" s="4" t="s">
        <v>1288</v>
      </c>
      <c r="E33" s="4" t="s">
        <v>110</v>
      </c>
      <c r="F33" s="73">
        <v>46232</v>
      </c>
      <c r="G33" s="5">
        <v>-395</v>
      </c>
      <c r="H33" s="6">
        <v>-59250</v>
      </c>
      <c r="R33" s="41" t="s">
        <v>910</v>
      </c>
      <c r="S33" s="41" t="s">
        <v>388</v>
      </c>
      <c r="T33" s="42">
        <v>45796</v>
      </c>
      <c r="U33" s="45"/>
      <c r="V33" s="41" t="s">
        <v>388</v>
      </c>
      <c r="W33" s="41" t="s">
        <v>862</v>
      </c>
      <c r="X33" s="41" t="s">
        <v>863</v>
      </c>
      <c r="Y33" s="41"/>
      <c r="Z33" s="42" t="s">
        <v>1384</v>
      </c>
      <c r="AA33" s="50">
        <v>20000</v>
      </c>
      <c r="AB33" s="41" t="s">
        <v>865</v>
      </c>
      <c r="AD33" s="40" t="s">
        <v>1012</v>
      </c>
      <c r="AE33" s="40" t="s">
        <v>388</v>
      </c>
      <c r="AF33" s="42">
        <v>45831</v>
      </c>
      <c r="AG33" s="96" t="e">
        <f>#REF!</f>
        <v>#REF!</v>
      </c>
      <c r="AH33" s="40" t="s">
        <v>388</v>
      </c>
      <c r="AI33" s="40" t="s">
        <v>862</v>
      </c>
      <c r="AJ33" s="40"/>
      <c r="AK33" s="40" t="s">
        <v>976</v>
      </c>
      <c r="AL33" s="40"/>
      <c r="AM33" s="44">
        <v>173650</v>
      </c>
      <c r="AN33" s="40" t="s">
        <v>981</v>
      </c>
      <c r="AP33" s="63" t="s">
        <v>1154</v>
      </c>
      <c r="AQ33" s="61" t="s">
        <v>373</v>
      </c>
      <c r="AR33" s="61" t="s">
        <v>388</v>
      </c>
      <c r="AS33" s="68">
        <v>45845</v>
      </c>
      <c r="AT33" s="60"/>
      <c r="AU33" s="56" t="s">
        <v>388</v>
      </c>
      <c r="AV33" s="56" t="s">
        <v>862</v>
      </c>
      <c r="AW33" s="56" t="s">
        <v>1106</v>
      </c>
      <c r="AX33" s="56"/>
      <c r="AY33" s="64">
        <v>20000</v>
      </c>
      <c r="AZ33" s="57" t="s">
        <v>1157</v>
      </c>
      <c r="BN33" s="74" t="s">
        <v>443</v>
      </c>
      <c r="BO33" s="74" t="s">
        <v>125</v>
      </c>
      <c r="BP33" s="78">
        <v>155000</v>
      </c>
      <c r="BQ33" s="74" t="s">
        <v>388</v>
      </c>
      <c r="BR33" s="74" t="s">
        <v>446</v>
      </c>
      <c r="BS33" s="74" t="s">
        <v>389</v>
      </c>
      <c r="BT33" s="74" t="s">
        <v>447</v>
      </c>
      <c r="BU33" s="74" t="s">
        <v>448</v>
      </c>
      <c r="BV33" s="74"/>
      <c r="BX33" s="74" t="s">
        <v>190</v>
      </c>
      <c r="BY33" s="74" t="s">
        <v>199</v>
      </c>
      <c r="BZ33" s="78">
        <v>12000</v>
      </c>
      <c r="CA33" s="74" t="s">
        <v>388</v>
      </c>
      <c r="CB33" s="74" t="s">
        <v>1221</v>
      </c>
      <c r="CC33" s="74" t="s">
        <v>1243</v>
      </c>
      <c r="CD33" s="41" t="s">
        <v>1244</v>
      </c>
      <c r="CE33" s="41" t="s">
        <v>1225</v>
      </c>
      <c r="CF33" s="41" t="s">
        <v>1242</v>
      </c>
      <c r="CG33" s="41"/>
    </row>
    <row r="34" spans="2:85" ht="20.149999999999999" customHeight="1">
      <c r="B34" s="4" t="s">
        <v>788</v>
      </c>
      <c r="C34" s="4" t="s">
        <v>1487</v>
      </c>
      <c r="D34" s="4" t="s">
        <v>1288</v>
      </c>
      <c r="E34" s="4" t="s">
        <v>110</v>
      </c>
      <c r="F34" s="73">
        <v>46232</v>
      </c>
      <c r="G34" s="5">
        <v>-7838</v>
      </c>
      <c r="H34" s="6">
        <v>-1175700</v>
      </c>
      <c r="R34" s="41" t="s">
        <v>910</v>
      </c>
      <c r="S34" s="41" t="s">
        <v>388</v>
      </c>
      <c r="T34" s="42">
        <v>45796</v>
      </c>
      <c r="U34" s="45"/>
      <c r="V34" s="41" t="s">
        <v>388</v>
      </c>
      <c r="W34" s="41" t="s">
        <v>862</v>
      </c>
      <c r="X34" s="41" t="s">
        <v>863</v>
      </c>
      <c r="Y34" s="41"/>
      <c r="Z34" s="42" t="s">
        <v>1385</v>
      </c>
      <c r="AA34" s="50">
        <v>1000</v>
      </c>
      <c r="AB34" s="41" t="s">
        <v>882</v>
      </c>
      <c r="AD34" s="46" t="s">
        <v>1013</v>
      </c>
      <c r="AE34" s="46" t="s">
        <v>388</v>
      </c>
      <c r="AF34" s="42">
        <v>45831</v>
      </c>
      <c r="AG34" s="96" t="e">
        <f>#REF!</f>
        <v>#REF!</v>
      </c>
      <c r="AH34" s="46" t="s">
        <v>388</v>
      </c>
      <c r="AI34" s="46" t="s">
        <v>862</v>
      </c>
      <c r="AJ34" s="46"/>
      <c r="AK34" s="46" t="s">
        <v>976</v>
      </c>
      <c r="AL34" s="97">
        <v>46077</v>
      </c>
      <c r="AM34" s="98">
        <v>61500</v>
      </c>
      <c r="AN34" s="46" t="s">
        <v>981</v>
      </c>
      <c r="AP34" s="63" t="s">
        <v>1154</v>
      </c>
      <c r="AQ34" s="61" t="s">
        <v>373</v>
      </c>
      <c r="AR34" s="61" t="s">
        <v>388</v>
      </c>
      <c r="AS34" s="68">
        <v>45845</v>
      </c>
      <c r="AT34" s="67"/>
      <c r="AU34" s="56" t="s">
        <v>388</v>
      </c>
      <c r="AV34" s="56" t="s">
        <v>862</v>
      </c>
      <c r="AW34" s="56" t="s">
        <v>1106</v>
      </c>
      <c r="AX34" s="61"/>
      <c r="AY34" s="64">
        <v>80000</v>
      </c>
      <c r="AZ34" s="63" t="s">
        <v>1158</v>
      </c>
      <c r="BN34" s="74" t="s">
        <v>443</v>
      </c>
      <c r="BO34" s="74" t="s">
        <v>125</v>
      </c>
      <c r="BP34" s="78">
        <v>155000</v>
      </c>
      <c r="BQ34" s="74" t="s">
        <v>388</v>
      </c>
      <c r="BR34" s="74" t="s">
        <v>446</v>
      </c>
      <c r="BS34" s="74" t="s">
        <v>389</v>
      </c>
      <c r="BT34" s="74" t="s">
        <v>447</v>
      </c>
      <c r="BU34" s="74" t="s">
        <v>448</v>
      </c>
      <c r="BV34" s="74"/>
      <c r="BX34" s="74" t="s">
        <v>190</v>
      </c>
      <c r="BY34" s="74" t="s">
        <v>202</v>
      </c>
      <c r="BZ34" s="78">
        <v>25000</v>
      </c>
      <c r="CA34" s="74" t="s">
        <v>388</v>
      </c>
      <c r="CB34" s="74" t="s">
        <v>1221</v>
      </c>
      <c r="CC34" s="74" t="s">
        <v>1243</v>
      </c>
      <c r="CD34" s="41" t="s">
        <v>1244</v>
      </c>
      <c r="CE34" s="41" t="s">
        <v>1225</v>
      </c>
      <c r="CF34" s="41" t="s">
        <v>1242</v>
      </c>
      <c r="CG34" s="41"/>
    </row>
    <row r="35" spans="2:85" ht="20.149999999999999" customHeight="1">
      <c r="B35" s="4" t="s">
        <v>788</v>
      </c>
      <c r="C35" s="4" t="s">
        <v>1487</v>
      </c>
      <c r="D35" s="4" t="s">
        <v>1288</v>
      </c>
      <c r="E35" s="4" t="s">
        <v>110</v>
      </c>
      <c r="F35" s="73">
        <v>46232</v>
      </c>
      <c r="G35" s="5">
        <v>-3480</v>
      </c>
      <c r="H35" s="6">
        <v>-522000</v>
      </c>
      <c r="R35" s="41" t="s">
        <v>912</v>
      </c>
      <c r="S35" s="41" t="s">
        <v>388</v>
      </c>
      <c r="T35" s="42">
        <v>45790</v>
      </c>
      <c r="U35" s="45">
        <v>4005000</v>
      </c>
      <c r="V35" s="41" t="s">
        <v>388</v>
      </c>
      <c r="W35" s="41" t="s">
        <v>862</v>
      </c>
      <c r="X35" s="41" t="s">
        <v>863</v>
      </c>
      <c r="Y35" s="41"/>
      <c r="Z35" s="42" t="s">
        <v>1386</v>
      </c>
      <c r="AA35" s="50">
        <v>4000</v>
      </c>
      <c r="AB35" s="41" t="s">
        <v>888</v>
      </c>
      <c r="AD35" s="40" t="s">
        <v>1014</v>
      </c>
      <c r="AE35" s="40" t="s">
        <v>388</v>
      </c>
      <c r="AF35" s="42">
        <v>45831</v>
      </c>
      <c r="AG35" s="96" t="e">
        <f>#REF!</f>
        <v>#REF!</v>
      </c>
      <c r="AH35" s="40" t="s">
        <v>388</v>
      </c>
      <c r="AI35" s="40" t="s">
        <v>862</v>
      </c>
      <c r="AJ35" s="40"/>
      <c r="AK35" s="40" t="s">
        <v>976</v>
      </c>
      <c r="AL35" s="97">
        <v>46071</v>
      </c>
      <c r="AM35" s="44">
        <v>150000</v>
      </c>
      <c r="AN35" s="40" t="s">
        <v>981</v>
      </c>
      <c r="AP35" s="63" t="s">
        <v>1154</v>
      </c>
      <c r="AQ35" s="61" t="s">
        <v>373</v>
      </c>
      <c r="AR35" s="61" t="s">
        <v>388</v>
      </c>
      <c r="AS35" s="68">
        <v>45845</v>
      </c>
      <c r="AT35" s="60"/>
      <c r="AU35" s="56" t="s">
        <v>388</v>
      </c>
      <c r="AV35" s="56" t="s">
        <v>862</v>
      </c>
      <c r="AW35" s="56" t="s">
        <v>1106</v>
      </c>
      <c r="AX35" s="56"/>
      <c r="AY35" s="64">
        <v>50000</v>
      </c>
      <c r="AZ35" s="57" t="s">
        <v>1117</v>
      </c>
      <c r="BN35" s="74" t="s">
        <v>443</v>
      </c>
      <c r="BO35" s="74" t="s">
        <v>125</v>
      </c>
      <c r="BP35" s="78">
        <v>94000</v>
      </c>
      <c r="BQ35" s="74" t="s">
        <v>388</v>
      </c>
      <c r="BR35" s="74" t="s">
        <v>446</v>
      </c>
      <c r="BS35" s="74" t="s">
        <v>389</v>
      </c>
      <c r="BT35" s="74" t="s">
        <v>447</v>
      </c>
      <c r="BU35" s="74" t="s">
        <v>448</v>
      </c>
      <c r="BV35" s="74"/>
      <c r="BX35" s="74" t="s">
        <v>190</v>
      </c>
      <c r="BY35" s="74" t="s">
        <v>205</v>
      </c>
      <c r="BZ35" s="78">
        <v>5599</v>
      </c>
      <c r="CA35" s="74" t="s">
        <v>388</v>
      </c>
      <c r="CB35" s="74" t="s">
        <v>1221</v>
      </c>
      <c r="CC35" s="74" t="s">
        <v>1243</v>
      </c>
      <c r="CD35" s="41" t="s">
        <v>1244</v>
      </c>
      <c r="CE35" s="41" t="s">
        <v>1225</v>
      </c>
      <c r="CF35" s="41" t="s">
        <v>1242</v>
      </c>
      <c r="CG35" s="41"/>
    </row>
    <row r="36" spans="2:85" ht="20.149999999999999" customHeight="1">
      <c r="B36" s="4" t="s">
        <v>583</v>
      </c>
      <c r="C36" s="4" t="s">
        <v>569</v>
      </c>
      <c r="D36" s="4" t="s">
        <v>1288</v>
      </c>
      <c r="E36" s="4" t="s">
        <v>103</v>
      </c>
      <c r="F36" s="73">
        <v>46258</v>
      </c>
      <c r="G36" s="5">
        <v>-3040</v>
      </c>
      <c r="H36" s="6">
        <v>-1600479.52</v>
      </c>
      <c r="R36" s="41" t="s">
        <v>912</v>
      </c>
      <c r="S36" s="41" t="s">
        <v>388</v>
      </c>
      <c r="T36" s="42">
        <v>45790</v>
      </c>
      <c r="U36" s="45"/>
      <c r="V36" s="41" t="s">
        <v>388</v>
      </c>
      <c r="W36" s="41" t="s">
        <v>862</v>
      </c>
      <c r="X36" s="41" t="s">
        <v>863</v>
      </c>
      <c r="Y36" s="41"/>
      <c r="Z36" s="42" t="s">
        <v>1387</v>
      </c>
      <c r="AA36" s="50">
        <v>2600</v>
      </c>
      <c r="AB36" s="41" t="s">
        <v>888</v>
      </c>
      <c r="AD36" s="46" t="s">
        <v>1016</v>
      </c>
      <c r="AE36" s="46" t="s">
        <v>388</v>
      </c>
      <c r="AF36" s="42">
        <v>45831</v>
      </c>
      <c r="AG36" s="96" t="e">
        <f>#REF!</f>
        <v>#REF!</v>
      </c>
      <c r="AH36" s="46" t="s">
        <v>388</v>
      </c>
      <c r="AI36" s="46" t="s">
        <v>862</v>
      </c>
      <c r="AJ36" s="46"/>
      <c r="AK36" s="46" t="s">
        <v>976</v>
      </c>
      <c r="AL36" s="46"/>
      <c r="AM36" s="98">
        <v>30000</v>
      </c>
      <c r="AN36" s="46" t="s">
        <v>981</v>
      </c>
      <c r="AP36" s="63" t="s">
        <v>1160</v>
      </c>
      <c r="AQ36" s="61" t="s">
        <v>373</v>
      </c>
      <c r="AR36" s="61" t="s">
        <v>388</v>
      </c>
      <c r="AS36" s="68">
        <v>45945</v>
      </c>
      <c r="AT36" s="67">
        <v>70000000</v>
      </c>
      <c r="AU36" s="56" t="s">
        <v>388</v>
      </c>
      <c r="AV36" s="56" t="s">
        <v>862</v>
      </c>
      <c r="AW36" s="56" t="s">
        <v>1106</v>
      </c>
      <c r="AX36" s="61" t="s">
        <v>1161</v>
      </c>
      <c r="AY36" s="64">
        <v>30000</v>
      </c>
      <c r="AZ36" s="57" t="s">
        <v>1162</v>
      </c>
      <c r="BN36" s="74" t="s">
        <v>443</v>
      </c>
      <c r="BO36" s="74" t="s">
        <v>125</v>
      </c>
      <c r="BP36" s="78">
        <v>119000</v>
      </c>
      <c r="BQ36" s="74" t="s">
        <v>388</v>
      </c>
      <c r="BR36" s="74" t="s">
        <v>446</v>
      </c>
      <c r="BS36" s="74" t="s">
        <v>389</v>
      </c>
      <c r="BT36" s="74" t="s">
        <v>447</v>
      </c>
      <c r="BU36" s="74" t="s">
        <v>448</v>
      </c>
      <c r="BV36" s="74"/>
      <c r="BX36" s="74" t="s">
        <v>190</v>
      </c>
      <c r="BY36" s="74" t="s">
        <v>208</v>
      </c>
      <c r="BZ36" s="78">
        <v>4799</v>
      </c>
      <c r="CA36" s="74" t="s">
        <v>388</v>
      </c>
      <c r="CB36" s="74" t="s">
        <v>1221</v>
      </c>
      <c r="CC36" s="74" t="s">
        <v>1243</v>
      </c>
      <c r="CD36" s="41" t="s">
        <v>1244</v>
      </c>
      <c r="CE36" s="41" t="s">
        <v>1225</v>
      </c>
      <c r="CF36" s="41" t="s">
        <v>1242</v>
      </c>
      <c r="CG36" s="41"/>
    </row>
    <row r="37" spans="2:85" ht="20.149999999999999" customHeight="1">
      <c r="B37" s="4" t="s">
        <v>583</v>
      </c>
      <c r="C37" s="4" t="s">
        <v>569</v>
      </c>
      <c r="D37" s="4" t="s">
        <v>1288</v>
      </c>
      <c r="E37" s="4" t="s">
        <v>103</v>
      </c>
      <c r="F37" s="73">
        <v>46258</v>
      </c>
      <c r="G37" s="5">
        <v>-960</v>
      </c>
      <c r="H37" s="6">
        <v>-505414.58</v>
      </c>
      <c r="R37" s="41" t="s">
        <v>912</v>
      </c>
      <c r="S37" s="41" t="s">
        <v>388</v>
      </c>
      <c r="T37" s="42">
        <v>45790</v>
      </c>
      <c r="U37" s="45"/>
      <c r="V37" s="41" t="s">
        <v>388</v>
      </c>
      <c r="W37" s="41" t="s">
        <v>862</v>
      </c>
      <c r="X37" s="41" t="s">
        <v>863</v>
      </c>
      <c r="Y37" s="41"/>
      <c r="Z37" s="42" t="s">
        <v>1388</v>
      </c>
      <c r="AA37" s="50">
        <v>2400</v>
      </c>
      <c r="AB37" s="41" t="s">
        <v>888</v>
      </c>
      <c r="AD37" s="40" t="s">
        <v>1017</v>
      </c>
      <c r="AE37" s="40" t="s">
        <v>388</v>
      </c>
      <c r="AF37" s="42">
        <v>45831</v>
      </c>
      <c r="AG37" s="96" t="e">
        <f>#REF!</f>
        <v>#REF!</v>
      </c>
      <c r="AH37" s="40" t="s">
        <v>388</v>
      </c>
      <c r="AI37" s="40" t="s">
        <v>862</v>
      </c>
      <c r="AJ37" s="40"/>
      <c r="AK37" s="40" t="s">
        <v>976</v>
      </c>
      <c r="AL37" s="100">
        <v>46094</v>
      </c>
      <c r="AM37" s="44">
        <v>93000</v>
      </c>
      <c r="AN37" s="40" t="s">
        <v>981</v>
      </c>
      <c r="AP37" s="63" t="s">
        <v>1160</v>
      </c>
      <c r="AQ37" s="61" t="s">
        <v>373</v>
      </c>
      <c r="AR37" s="61" t="s">
        <v>388</v>
      </c>
      <c r="AS37" s="68">
        <v>45945</v>
      </c>
      <c r="AT37" s="67"/>
      <c r="AU37" s="56" t="s">
        <v>388</v>
      </c>
      <c r="AV37" s="56" t="s">
        <v>862</v>
      </c>
      <c r="AW37" s="56" t="s">
        <v>1106</v>
      </c>
      <c r="AX37" s="61"/>
      <c r="AY37" s="64">
        <v>0</v>
      </c>
      <c r="AZ37" s="63" t="s">
        <v>1163</v>
      </c>
      <c r="BN37" s="74" t="s">
        <v>458</v>
      </c>
      <c r="BO37" s="74" t="s">
        <v>125</v>
      </c>
      <c r="BP37" s="78">
        <v>155000</v>
      </c>
      <c r="BQ37" s="74" t="s">
        <v>388</v>
      </c>
      <c r="BR37" s="74" t="s">
        <v>461</v>
      </c>
      <c r="BS37" s="74" t="s">
        <v>389</v>
      </c>
      <c r="BT37" s="74" t="s">
        <v>447</v>
      </c>
      <c r="BU37" s="74" t="s">
        <v>462</v>
      </c>
      <c r="BV37" s="74"/>
      <c r="BX37" s="74" t="s">
        <v>210</v>
      </c>
      <c r="BY37" s="74" t="s">
        <v>103</v>
      </c>
      <c r="BZ37" s="78">
        <v>50000</v>
      </c>
      <c r="CA37" s="74" t="s">
        <v>388</v>
      </c>
      <c r="CB37" s="74" t="s">
        <v>1246</v>
      </c>
      <c r="CC37" s="74" t="s">
        <v>1226</v>
      </c>
      <c r="CD37" s="41" t="s">
        <v>1234</v>
      </c>
      <c r="CE37" s="41" t="s">
        <v>1245</v>
      </c>
      <c r="CF37" s="41"/>
      <c r="CG37" s="41"/>
    </row>
    <row r="38" spans="2:85" ht="20.149999999999999" customHeight="1">
      <c r="B38" s="4" t="s">
        <v>583</v>
      </c>
      <c r="C38" s="4" t="s">
        <v>569</v>
      </c>
      <c r="D38" s="4" t="s">
        <v>1288</v>
      </c>
      <c r="E38" s="4" t="s">
        <v>103</v>
      </c>
      <c r="F38" s="73">
        <v>46258</v>
      </c>
      <c r="G38" s="5">
        <v>-1040</v>
      </c>
      <c r="H38" s="6">
        <v>-547532.47</v>
      </c>
      <c r="R38" s="41" t="s">
        <v>915</v>
      </c>
      <c r="S38" s="41" t="s">
        <v>388</v>
      </c>
      <c r="T38" s="42">
        <v>45800</v>
      </c>
      <c r="U38" s="45">
        <v>1995715</v>
      </c>
      <c r="V38" s="41" t="s">
        <v>388</v>
      </c>
      <c r="W38" s="41" t="s">
        <v>862</v>
      </c>
      <c r="X38" s="41" t="s">
        <v>863</v>
      </c>
      <c r="Y38" s="41"/>
      <c r="Z38" s="41" t="s">
        <v>902</v>
      </c>
      <c r="AA38" s="51">
        <f>901*5</f>
        <v>4505</v>
      </c>
      <c r="AB38" s="41" t="s">
        <v>888</v>
      </c>
      <c r="AD38" s="46" t="s">
        <v>1018</v>
      </c>
      <c r="AE38" s="46" t="s">
        <v>388</v>
      </c>
      <c r="AF38" s="42">
        <v>45831</v>
      </c>
      <c r="AG38" s="96" t="e">
        <f>#REF!</f>
        <v>#REF!</v>
      </c>
      <c r="AH38" s="46" t="s">
        <v>388</v>
      </c>
      <c r="AI38" s="46" t="s">
        <v>862</v>
      </c>
      <c r="AJ38" s="46"/>
      <c r="AK38" s="46" t="s">
        <v>976</v>
      </c>
      <c r="AL38" s="46"/>
      <c r="AM38" s="98">
        <v>97000</v>
      </c>
      <c r="AN38" s="46" t="s">
        <v>981</v>
      </c>
      <c r="AP38" s="57" t="s">
        <v>1165</v>
      </c>
      <c r="AQ38" s="61" t="s">
        <v>373</v>
      </c>
      <c r="AR38" s="61" t="s">
        <v>388</v>
      </c>
      <c r="AS38" s="68">
        <v>45797</v>
      </c>
      <c r="AT38" s="60">
        <v>6000000</v>
      </c>
      <c r="AU38" s="56" t="s">
        <v>388</v>
      </c>
      <c r="AV38" s="56" t="s">
        <v>862</v>
      </c>
      <c r="AW38" s="56" t="s">
        <v>1106</v>
      </c>
      <c r="AX38" s="61" t="s">
        <v>1166</v>
      </c>
      <c r="AY38" s="62">
        <v>8000</v>
      </c>
      <c r="AZ38" s="63" t="s">
        <v>1132</v>
      </c>
      <c r="BN38" s="74" t="s">
        <v>458</v>
      </c>
      <c r="BO38" s="74" t="s">
        <v>125</v>
      </c>
      <c r="BP38" s="78">
        <v>155000</v>
      </c>
      <c r="BQ38" s="74" t="s">
        <v>388</v>
      </c>
      <c r="BR38" s="74" t="s">
        <v>461</v>
      </c>
      <c r="BS38" s="74" t="s">
        <v>389</v>
      </c>
      <c r="BT38" s="74" t="s">
        <v>447</v>
      </c>
      <c r="BU38" s="74" t="s">
        <v>462</v>
      </c>
      <c r="BV38" s="74"/>
      <c r="BX38" s="74" t="s">
        <v>210</v>
      </c>
      <c r="BY38" s="74" t="s">
        <v>110</v>
      </c>
      <c r="BZ38" s="78">
        <v>50000</v>
      </c>
      <c r="CA38" s="74" t="s">
        <v>388</v>
      </c>
      <c r="CB38" s="74" t="s">
        <v>1246</v>
      </c>
      <c r="CC38" s="74" t="s">
        <v>1226</v>
      </c>
      <c r="CD38" s="41" t="s">
        <v>1234</v>
      </c>
      <c r="CE38" s="41" t="s">
        <v>1245</v>
      </c>
      <c r="CF38" s="41"/>
      <c r="CG38" s="41"/>
    </row>
    <row r="39" spans="2:85" ht="20.149999999999999" customHeight="1">
      <c r="B39" s="4" t="s">
        <v>783</v>
      </c>
      <c r="C39" s="4" t="s">
        <v>1487</v>
      </c>
      <c r="D39" s="4" t="s">
        <v>1288</v>
      </c>
      <c r="E39" s="4" t="s">
        <v>687</v>
      </c>
      <c r="F39" s="73">
        <v>46265</v>
      </c>
      <c r="G39" s="5">
        <v>-235</v>
      </c>
      <c r="H39" s="6">
        <v>-293516.88</v>
      </c>
      <c r="R39" s="41" t="s">
        <v>917</v>
      </c>
      <c r="S39" s="41" t="s">
        <v>388</v>
      </c>
      <c r="T39" s="42">
        <v>45799</v>
      </c>
      <c r="U39" s="45">
        <v>3115000</v>
      </c>
      <c r="V39" s="41" t="s">
        <v>388</v>
      </c>
      <c r="W39" s="41" t="s">
        <v>862</v>
      </c>
      <c r="X39" s="41" t="s">
        <v>863</v>
      </c>
      <c r="Y39" s="41"/>
      <c r="Z39" s="41" t="s">
        <v>902</v>
      </c>
      <c r="AA39" s="51">
        <v>4000</v>
      </c>
      <c r="AB39" s="41" t="s">
        <v>888</v>
      </c>
      <c r="AD39" s="40" t="s">
        <v>1019</v>
      </c>
      <c r="AE39" s="40" t="s">
        <v>388</v>
      </c>
      <c r="AF39" s="42">
        <v>45831</v>
      </c>
      <c r="AG39" s="96" t="e">
        <f>#REF!</f>
        <v>#REF!</v>
      </c>
      <c r="AH39" s="40" t="s">
        <v>388</v>
      </c>
      <c r="AI39" s="40" t="s">
        <v>862</v>
      </c>
      <c r="AJ39" s="40"/>
      <c r="AK39" s="40" t="s">
        <v>976</v>
      </c>
      <c r="AL39" s="97">
        <v>46075</v>
      </c>
      <c r="AM39" s="44">
        <v>62000</v>
      </c>
      <c r="AN39" s="40" t="s">
        <v>981</v>
      </c>
      <c r="AP39" s="57" t="s">
        <v>1165</v>
      </c>
      <c r="AQ39" s="61" t="s">
        <v>373</v>
      </c>
      <c r="AR39" s="61" t="s">
        <v>388</v>
      </c>
      <c r="AS39" s="68">
        <v>45797</v>
      </c>
      <c r="AT39" s="60"/>
      <c r="AU39" s="56" t="s">
        <v>388</v>
      </c>
      <c r="AV39" s="56" t="s">
        <v>862</v>
      </c>
      <c r="AW39" s="56" t="s">
        <v>1106</v>
      </c>
      <c r="AX39" s="61" t="s">
        <v>1166</v>
      </c>
      <c r="AY39" s="64">
        <v>2000</v>
      </c>
      <c r="AZ39" s="57" t="s">
        <v>1167</v>
      </c>
      <c r="BN39" s="74" t="s">
        <v>458</v>
      </c>
      <c r="BO39" s="74" t="s">
        <v>125</v>
      </c>
      <c r="BP39" s="78">
        <v>155000</v>
      </c>
      <c r="BQ39" s="74" t="s">
        <v>388</v>
      </c>
      <c r="BR39" s="74" t="s">
        <v>461</v>
      </c>
      <c r="BS39" s="74" t="s">
        <v>389</v>
      </c>
      <c r="BT39" s="74" t="s">
        <v>447</v>
      </c>
      <c r="BU39" s="74" t="s">
        <v>462</v>
      </c>
      <c r="BV39" s="74"/>
      <c r="BX39" s="74" t="s">
        <v>215</v>
      </c>
      <c r="BY39" s="74" t="s">
        <v>218</v>
      </c>
      <c r="BZ39" s="78">
        <v>2873</v>
      </c>
      <c r="CA39" s="74" t="s">
        <v>388</v>
      </c>
      <c r="CB39" s="74"/>
      <c r="CC39" s="74" t="s">
        <v>1222</v>
      </c>
      <c r="CD39" s="41" t="s">
        <v>1247</v>
      </c>
      <c r="CE39" s="41" t="s">
        <v>1245</v>
      </c>
      <c r="CF39" s="41"/>
      <c r="CG39" s="41" t="s">
        <v>391</v>
      </c>
    </row>
    <row r="40" spans="2:85" ht="20.149999999999999" customHeight="1">
      <c r="B40" s="4" t="s">
        <v>783</v>
      </c>
      <c r="C40" s="4" t="s">
        <v>1487</v>
      </c>
      <c r="D40" s="4" t="s">
        <v>1288</v>
      </c>
      <c r="E40" s="4" t="s">
        <v>687</v>
      </c>
      <c r="F40" s="73">
        <v>46265</v>
      </c>
      <c r="G40" s="5">
        <v>-40</v>
      </c>
      <c r="H40" s="6">
        <v>-49960.32</v>
      </c>
      <c r="R40" s="41" t="s">
        <v>918</v>
      </c>
      <c r="S40" s="41" t="s">
        <v>388</v>
      </c>
      <c r="T40" s="42">
        <v>45805</v>
      </c>
      <c r="U40" s="45">
        <v>13860000</v>
      </c>
      <c r="V40" s="41" t="s">
        <v>388</v>
      </c>
      <c r="W40" s="41" t="s">
        <v>862</v>
      </c>
      <c r="X40" s="41" t="s">
        <v>863</v>
      </c>
      <c r="Y40" s="41"/>
      <c r="Z40" s="41" t="s">
        <v>902</v>
      </c>
      <c r="AA40" s="51">
        <v>12000</v>
      </c>
      <c r="AB40" s="41" t="s">
        <v>873</v>
      </c>
      <c r="AD40" s="40" t="s">
        <v>1019</v>
      </c>
      <c r="AE40" s="40" t="s">
        <v>388</v>
      </c>
      <c r="AF40" s="42">
        <v>45831</v>
      </c>
      <c r="AG40" s="96" t="e">
        <f>#REF!</f>
        <v>#REF!</v>
      </c>
      <c r="AH40" s="40" t="s">
        <v>388</v>
      </c>
      <c r="AI40" s="40" t="s">
        <v>862</v>
      </c>
      <c r="AJ40" s="40"/>
      <c r="AK40" s="40" t="s">
        <v>976</v>
      </c>
      <c r="AL40" s="40"/>
      <c r="AM40" s="44">
        <v>18600</v>
      </c>
      <c r="AN40" s="40" t="s">
        <v>1020</v>
      </c>
      <c r="AP40" s="57" t="s">
        <v>1165</v>
      </c>
      <c r="AQ40" s="61" t="s">
        <v>373</v>
      </c>
      <c r="AR40" s="61" t="s">
        <v>388</v>
      </c>
      <c r="AS40" s="68">
        <v>45797</v>
      </c>
      <c r="AT40" s="67"/>
      <c r="AU40" s="56" t="s">
        <v>388</v>
      </c>
      <c r="AV40" s="56" t="s">
        <v>862</v>
      </c>
      <c r="AW40" s="56" t="s">
        <v>1106</v>
      </c>
      <c r="AX40" s="61" t="s">
        <v>1166</v>
      </c>
      <c r="AY40" s="62">
        <v>2000</v>
      </c>
      <c r="AZ40" s="63" t="s">
        <v>1168</v>
      </c>
      <c r="BN40" s="74" t="s">
        <v>458</v>
      </c>
      <c r="BO40" s="74" t="s">
        <v>125</v>
      </c>
      <c r="BP40" s="78">
        <v>155000</v>
      </c>
      <c r="BQ40" s="74" t="s">
        <v>388</v>
      </c>
      <c r="BR40" s="74" t="s">
        <v>461</v>
      </c>
      <c r="BS40" s="74" t="s">
        <v>389</v>
      </c>
      <c r="BT40" s="74" t="s">
        <v>447</v>
      </c>
      <c r="BU40" s="74" t="s">
        <v>462</v>
      </c>
      <c r="BV40" s="74"/>
      <c r="BX40" s="74" t="s">
        <v>215</v>
      </c>
      <c r="BY40" s="74" t="s">
        <v>218</v>
      </c>
      <c r="BZ40" s="78">
        <v>1534</v>
      </c>
      <c r="CA40" s="74" t="s">
        <v>388</v>
      </c>
      <c r="CB40" s="74"/>
      <c r="CC40" s="74" t="s">
        <v>1222</v>
      </c>
      <c r="CD40" s="41" t="s">
        <v>1247</v>
      </c>
      <c r="CE40" s="41" t="s">
        <v>1245</v>
      </c>
      <c r="CF40" s="41"/>
      <c r="CG40" s="41" t="s">
        <v>391</v>
      </c>
    </row>
    <row r="41" spans="2:85" ht="20.149999999999999" customHeight="1">
      <c r="B41" s="4" t="s">
        <v>783</v>
      </c>
      <c r="C41" s="4" t="s">
        <v>1487</v>
      </c>
      <c r="D41" s="4" t="s">
        <v>1288</v>
      </c>
      <c r="E41" s="4" t="s">
        <v>687</v>
      </c>
      <c r="F41" s="73">
        <v>46265</v>
      </c>
      <c r="G41" s="5">
        <v>-10</v>
      </c>
      <c r="H41" s="6">
        <v>-12490.08</v>
      </c>
      <c r="R41" s="41" t="s">
        <v>920</v>
      </c>
      <c r="S41" s="41" t="s">
        <v>388</v>
      </c>
      <c r="T41" s="42">
        <v>45801</v>
      </c>
      <c r="U41" s="45">
        <v>17214120</v>
      </c>
      <c r="V41" s="41" t="s">
        <v>388</v>
      </c>
      <c r="W41" s="41" t="s">
        <v>862</v>
      </c>
      <c r="X41" s="41" t="s">
        <v>863</v>
      </c>
      <c r="Y41" s="41"/>
      <c r="Z41" s="42">
        <v>46039</v>
      </c>
      <c r="AA41" s="51">
        <v>14904</v>
      </c>
      <c r="AB41" s="41" t="s">
        <v>873</v>
      </c>
      <c r="AD41" s="46" t="s">
        <v>1021</v>
      </c>
      <c r="AE41" s="46" t="s">
        <v>388</v>
      </c>
      <c r="AF41" s="42">
        <v>45831</v>
      </c>
      <c r="AG41" s="96" t="e">
        <f>#REF!</f>
        <v>#REF!</v>
      </c>
      <c r="AH41" s="46" t="s">
        <v>388</v>
      </c>
      <c r="AI41" s="46" t="s">
        <v>862</v>
      </c>
      <c r="AJ41" s="46"/>
      <c r="AK41" s="46" t="s">
        <v>976</v>
      </c>
      <c r="AL41" s="46"/>
      <c r="AM41" s="44">
        <v>42425</v>
      </c>
      <c r="AN41" s="40" t="s">
        <v>981</v>
      </c>
      <c r="AP41" s="57" t="s">
        <v>1001</v>
      </c>
      <c r="AQ41" s="61" t="s">
        <v>373</v>
      </c>
      <c r="AR41" s="61" t="s">
        <v>388</v>
      </c>
      <c r="AS41" s="68">
        <v>45858</v>
      </c>
      <c r="AT41" s="60">
        <v>35000000</v>
      </c>
      <c r="AU41" s="56" t="s">
        <v>388</v>
      </c>
      <c r="AV41" s="56" t="s">
        <v>862</v>
      </c>
      <c r="AW41" s="56" t="s">
        <v>1106</v>
      </c>
      <c r="AX41" s="61" t="s">
        <v>1172</v>
      </c>
      <c r="AY41" s="62">
        <v>10000</v>
      </c>
      <c r="AZ41" s="63" t="s">
        <v>1132</v>
      </c>
      <c r="BN41" s="74" t="s">
        <v>458</v>
      </c>
      <c r="BO41" s="74" t="s">
        <v>125</v>
      </c>
      <c r="BP41" s="78">
        <v>155000</v>
      </c>
      <c r="BQ41" s="74" t="s">
        <v>388</v>
      </c>
      <c r="BR41" s="74" t="s">
        <v>461</v>
      </c>
      <c r="BS41" s="74" t="s">
        <v>389</v>
      </c>
      <c r="BT41" s="74" t="s">
        <v>447</v>
      </c>
      <c r="BU41" s="74" t="s">
        <v>462</v>
      </c>
      <c r="BV41" s="74"/>
      <c r="BX41" s="74" t="s">
        <v>215</v>
      </c>
      <c r="BY41" s="74" t="s">
        <v>218</v>
      </c>
      <c r="BZ41" s="78">
        <v>2795</v>
      </c>
      <c r="CA41" s="74" t="s">
        <v>388</v>
      </c>
      <c r="CB41" s="74"/>
      <c r="CC41" s="74" t="s">
        <v>1222</v>
      </c>
      <c r="CD41" s="41" t="s">
        <v>1247</v>
      </c>
      <c r="CE41" s="41" t="s">
        <v>1245</v>
      </c>
      <c r="CF41" s="41"/>
      <c r="CG41" s="41" t="s">
        <v>391</v>
      </c>
    </row>
    <row r="42" spans="2:85" ht="20.149999999999999" customHeight="1">
      <c r="B42" s="4" t="s">
        <v>783</v>
      </c>
      <c r="C42" s="4" t="s">
        <v>1487</v>
      </c>
      <c r="D42" s="4" t="s">
        <v>1288</v>
      </c>
      <c r="E42" s="4" t="s">
        <v>687</v>
      </c>
      <c r="F42" s="73">
        <v>46265</v>
      </c>
      <c r="G42" s="5">
        <v>-10</v>
      </c>
      <c r="H42" s="6">
        <v>-12490.08</v>
      </c>
      <c r="R42" s="41" t="s">
        <v>921</v>
      </c>
      <c r="S42" s="41" t="s">
        <v>388</v>
      </c>
      <c r="T42" s="42">
        <v>45804</v>
      </c>
      <c r="U42" s="45">
        <v>13290000</v>
      </c>
      <c r="V42" s="41" t="s">
        <v>388</v>
      </c>
      <c r="W42" s="41" t="s">
        <v>862</v>
      </c>
      <c r="X42" s="41" t="s">
        <v>863</v>
      </c>
      <c r="Y42" s="41"/>
      <c r="Z42" s="42">
        <v>45996</v>
      </c>
      <c r="AA42" s="51">
        <f>6000*5</f>
        <v>30000</v>
      </c>
      <c r="AB42" s="41" t="s">
        <v>888</v>
      </c>
      <c r="AD42" s="40" t="s">
        <v>1022</v>
      </c>
      <c r="AE42" s="40" t="s">
        <v>388</v>
      </c>
      <c r="AF42" s="42">
        <v>45831</v>
      </c>
      <c r="AG42" s="96" t="e">
        <f>#REF!</f>
        <v>#REF!</v>
      </c>
      <c r="AH42" s="40" t="s">
        <v>388</v>
      </c>
      <c r="AI42" s="40" t="s">
        <v>862</v>
      </c>
      <c r="AJ42" s="40"/>
      <c r="AK42" s="40" t="s">
        <v>976</v>
      </c>
      <c r="AL42" s="100">
        <v>46083</v>
      </c>
      <c r="AM42" s="44">
        <v>134500</v>
      </c>
      <c r="AN42" s="40" t="s">
        <v>981</v>
      </c>
      <c r="AP42" s="57" t="s">
        <v>1001</v>
      </c>
      <c r="AQ42" s="61" t="s">
        <v>373</v>
      </c>
      <c r="AR42" s="61" t="s">
        <v>388</v>
      </c>
      <c r="AS42" s="68">
        <v>45858</v>
      </c>
      <c r="AT42" s="67">
        <v>5604000</v>
      </c>
      <c r="AU42" s="56" t="s">
        <v>388</v>
      </c>
      <c r="AV42" s="56" t="s">
        <v>862</v>
      </c>
      <c r="AW42" s="56" t="s">
        <v>1106</v>
      </c>
      <c r="AX42" s="56" t="s">
        <v>1172</v>
      </c>
      <c r="AY42" s="64">
        <v>15000</v>
      </c>
      <c r="AZ42" s="57" t="s">
        <v>1134</v>
      </c>
      <c r="BN42" s="74" t="s">
        <v>458</v>
      </c>
      <c r="BO42" s="74" t="s">
        <v>125</v>
      </c>
      <c r="BP42" s="78">
        <v>155000</v>
      </c>
      <c r="BQ42" s="74" t="s">
        <v>388</v>
      </c>
      <c r="BR42" s="74" t="s">
        <v>461</v>
      </c>
      <c r="BS42" s="74" t="s">
        <v>389</v>
      </c>
      <c r="BT42" s="74" t="s">
        <v>447</v>
      </c>
      <c r="BU42" s="74" t="s">
        <v>462</v>
      </c>
      <c r="BV42" s="74"/>
      <c r="BX42" s="74" t="s">
        <v>215</v>
      </c>
      <c r="BY42" s="74" t="s">
        <v>218</v>
      </c>
      <c r="BZ42" s="78">
        <v>1391</v>
      </c>
      <c r="CA42" s="74" t="s">
        <v>388</v>
      </c>
      <c r="CB42" s="74"/>
      <c r="CC42" s="74" t="s">
        <v>1222</v>
      </c>
      <c r="CD42" s="41" t="s">
        <v>1247</v>
      </c>
      <c r="CE42" s="41" t="s">
        <v>1245</v>
      </c>
      <c r="CF42" s="41"/>
      <c r="CG42" s="41" t="s">
        <v>391</v>
      </c>
    </row>
    <row r="43" spans="2:85" ht="20.149999999999999" customHeight="1">
      <c r="B43" s="4" t="s">
        <v>783</v>
      </c>
      <c r="C43" s="4" t="s">
        <v>1487</v>
      </c>
      <c r="D43" s="4" t="s">
        <v>1288</v>
      </c>
      <c r="E43" s="4" t="s">
        <v>687</v>
      </c>
      <c r="F43" s="73">
        <v>46265</v>
      </c>
      <c r="G43" s="5">
        <v>-3935</v>
      </c>
      <c r="H43" s="6">
        <v>-4914778.88</v>
      </c>
      <c r="R43" s="41" t="s">
        <v>924</v>
      </c>
      <c r="S43" s="41" t="s">
        <v>388</v>
      </c>
      <c r="T43" s="42">
        <v>45803</v>
      </c>
      <c r="U43" s="45">
        <v>13290000</v>
      </c>
      <c r="V43" s="41" t="s">
        <v>388</v>
      </c>
      <c r="W43" s="41" t="s">
        <v>862</v>
      </c>
      <c r="X43" s="41" t="s">
        <v>863</v>
      </c>
      <c r="Y43" s="41"/>
      <c r="Z43" s="41"/>
      <c r="AA43" s="51">
        <f>6000*5</f>
        <v>30000</v>
      </c>
      <c r="AB43" s="41" t="s">
        <v>888</v>
      </c>
      <c r="AD43" s="40" t="s">
        <v>1022</v>
      </c>
      <c r="AE43" s="40" t="s">
        <v>388</v>
      </c>
      <c r="AF43" s="42">
        <v>45831</v>
      </c>
      <c r="AG43" s="96" t="e">
        <f>#REF!</f>
        <v>#REF!</v>
      </c>
      <c r="AH43" s="40" t="s">
        <v>388</v>
      </c>
      <c r="AI43" s="40" t="s">
        <v>862</v>
      </c>
      <c r="AJ43" s="40"/>
      <c r="AK43" s="40" t="s">
        <v>976</v>
      </c>
      <c r="AL43" s="40"/>
      <c r="AM43" s="44">
        <v>20175</v>
      </c>
      <c r="AN43" s="40" t="s">
        <v>1023</v>
      </c>
      <c r="AP43" s="63" t="s">
        <v>1173</v>
      </c>
      <c r="AQ43" s="61" t="s">
        <v>373</v>
      </c>
      <c r="AR43" s="61" t="s">
        <v>388</v>
      </c>
      <c r="AS43" s="68">
        <v>45853</v>
      </c>
      <c r="AT43" s="67">
        <v>20000000</v>
      </c>
      <c r="AU43" s="56" t="s">
        <v>388</v>
      </c>
      <c r="AV43" s="56" t="s">
        <v>862</v>
      </c>
      <c r="AW43" s="56" t="s">
        <v>1106</v>
      </c>
      <c r="AX43" s="56" t="s">
        <v>1112</v>
      </c>
      <c r="AY43" s="64">
        <v>2500</v>
      </c>
      <c r="AZ43" s="57" t="s">
        <v>1174</v>
      </c>
      <c r="BN43" s="74" t="s">
        <v>458</v>
      </c>
      <c r="BO43" s="74" t="s">
        <v>125</v>
      </c>
      <c r="BP43" s="78">
        <v>155000</v>
      </c>
      <c r="BQ43" s="74" t="s">
        <v>388</v>
      </c>
      <c r="BR43" s="74" t="s">
        <v>461</v>
      </c>
      <c r="BS43" s="74" t="s">
        <v>389</v>
      </c>
      <c r="BT43" s="74" t="s">
        <v>447</v>
      </c>
      <c r="BU43" s="74" t="s">
        <v>462</v>
      </c>
      <c r="BV43" s="74"/>
      <c r="BX43" s="74" t="s">
        <v>215</v>
      </c>
      <c r="BY43" s="74" t="s">
        <v>218</v>
      </c>
      <c r="BZ43" s="78">
        <v>2886</v>
      </c>
      <c r="CA43" s="74" t="s">
        <v>388</v>
      </c>
      <c r="CB43" s="74"/>
      <c r="CC43" s="74" t="s">
        <v>1222</v>
      </c>
      <c r="CD43" s="41" t="s">
        <v>1247</v>
      </c>
      <c r="CE43" s="41" t="s">
        <v>1245</v>
      </c>
      <c r="CF43" s="41"/>
      <c r="CG43" s="41" t="s">
        <v>391</v>
      </c>
    </row>
    <row r="44" spans="2:85" ht="20.149999999999999" customHeight="1">
      <c r="B44" s="4" t="s">
        <v>783</v>
      </c>
      <c r="C44" s="4" t="s">
        <v>1487</v>
      </c>
      <c r="D44" s="4" t="s">
        <v>1288</v>
      </c>
      <c r="E44" s="4" t="s">
        <v>687</v>
      </c>
      <c r="F44" s="73">
        <v>46265</v>
      </c>
      <c r="G44" s="5">
        <v>-8</v>
      </c>
      <c r="H44" s="6">
        <v>-9992.06</v>
      </c>
      <c r="R44" s="41" t="s">
        <v>925</v>
      </c>
      <c r="S44" s="41" t="s">
        <v>388</v>
      </c>
      <c r="T44" s="42">
        <v>45821</v>
      </c>
      <c r="U44" s="45">
        <v>23100000</v>
      </c>
      <c r="V44" s="41" t="s">
        <v>388</v>
      </c>
      <c r="W44" s="41" t="s">
        <v>862</v>
      </c>
      <c r="X44" s="41" t="s">
        <v>863</v>
      </c>
      <c r="Y44" s="41"/>
      <c r="Z44" s="41"/>
      <c r="AA44" s="51">
        <v>4000</v>
      </c>
      <c r="AB44" s="41" t="s">
        <v>873</v>
      </c>
      <c r="AD44" s="46" t="s">
        <v>1024</v>
      </c>
      <c r="AE44" s="46" t="s">
        <v>388</v>
      </c>
      <c r="AF44" s="42">
        <v>45831</v>
      </c>
      <c r="AG44" s="96" t="e">
        <f>#REF!</f>
        <v>#REF!</v>
      </c>
      <c r="AH44" s="46" t="s">
        <v>388</v>
      </c>
      <c r="AI44" s="46" t="s">
        <v>862</v>
      </c>
      <c r="AJ44" s="46"/>
      <c r="AK44" s="46" t="s">
        <v>976</v>
      </c>
      <c r="AL44" s="100">
        <v>46098</v>
      </c>
      <c r="AM44" s="44">
        <v>115690</v>
      </c>
      <c r="AN44" s="40" t="s">
        <v>981</v>
      </c>
      <c r="AP44" s="63" t="s">
        <v>1173</v>
      </c>
      <c r="AQ44" s="61" t="s">
        <v>373</v>
      </c>
      <c r="AR44" s="61" t="s">
        <v>388</v>
      </c>
      <c r="AS44" s="68">
        <v>45853</v>
      </c>
      <c r="AT44" s="67"/>
      <c r="AU44" s="56" t="s">
        <v>388</v>
      </c>
      <c r="AV44" s="56" t="s">
        <v>862</v>
      </c>
      <c r="AW44" s="56" t="s">
        <v>1106</v>
      </c>
      <c r="AX44" s="56" t="s">
        <v>1112</v>
      </c>
      <c r="AY44" s="64">
        <v>6000</v>
      </c>
      <c r="AZ44" s="63" t="s">
        <v>1175</v>
      </c>
      <c r="BN44" s="74" t="s">
        <v>458</v>
      </c>
      <c r="BO44" s="74" t="s">
        <v>125</v>
      </c>
      <c r="BP44" s="78">
        <v>155000</v>
      </c>
      <c r="BQ44" s="74" t="s">
        <v>388</v>
      </c>
      <c r="BR44" s="74" t="s">
        <v>461</v>
      </c>
      <c r="BS44" s="74" t="s">
        <v>389</v>
      </c>
      <c r="BT44" s="74" t="s">
        <v>447</v>
      </c>
      <c r="BU44" s="74" t="s">
        <v>462</v>
      </c>
      <c r="BV44" s="74"/>
      <c r="BX44" s="74" t="s">
        <v>215</v>
      </c>
      <c r="BY44" s="74" t="s">
        <v>218</v>
      </c>
      <c r="BZ44" s="78">
        <v>572</v>
      </c>
      <c r="CA44" s="74" t="s">
        <v>388</v>
      </c>
      <c r="CB44" s="74"/>
      <c r="CC44" s="74" t="s">
        <v>1222</v>
      </c>
      <c r="CD44" s="41" t="s">
        <v>1247</v>
      </c>
      <c r="CE44" s="41" t="s">
        <v>1245</v>
      </c>
      <c r="CF44" s="41"/>
      <c r="CG44" s="41" t="s">
        <v>391</v>
      </c>
    </row>
    <row r="45" spans="2:85" ht="20.149999999999999" customHeight="1">
      <c r="B45" s="4" t="s">
        <v>783</v>
      </c>
      <c r="C45" s="4" t="s">
        <v>1487</v>
      </c>
      <c r="D45" s="4" t="s">
        <v>1288</v>
      </c>
      <c r="E45" s="4" t="s">
        <v>687</v>
      </c>
      <c r="F45" s="73">
        <v>46265</v>
      </c>
      <c r="G45" s="5">
        <v>-1415</v>
      </c>
      <c r="H45" s="6">
        <v>-1767346.32</v>
      </c>
      <c r="R45" s="41" t="s">
        <v>926</v>
      </c>
      <c r="S45" s="41" t="s">
        <v>388</v>
      </c>
      <c r="T45" s="42">
        <v>45782</v>
      </c>
      <c r="U45" s="45">
        <v>10775000</v>
      </c>
      <c r="V45" s="41" t="s">
        <v>388</v>
      </c>
      <c r="W45" s="41" t="s">
        <v>862</v>
      </c>
      <c r="X45" s="41" t="s">
        <v>863</v>
      </c>
      <c r="Y45" s="41"/>
      <c r="Z45" s="41" t="s">
        <v>1413</v>
      </c>
      <c r="AA45" s="51">
        <f>1380*5</f>
        <v>6900</v>
      </c>
      <c r="AB45" s="41" t="s">
        <v>888</v>
      </c>
      <c r="AD45" s="40" t="s">
        <v>1025</v>
      </c>
      <c r="AE45" s="40" t="s">
        <v>388</v>
      </c>
      <c r="AF45" s="42">
        <v>45831</v>
      </c>
      <c r="AG45" s="96" t="e">
        <f>#REF!</f>
        <v>#REF!</v>
      </c>
      <c r="AH45" s="40" t="s">
        <v>388</v>
      </c>
      <c r="AI45" s="40" t="s">
        <v>862</v>
      </c>
      <c r="AJ45" s="40"/>
      <c r="AK45" s="40" t="s">
        <v>976</v>
      </c>
      <c r="AL45" s="100">
        <v>46075</v>
      </c>
      <c r="AM45" s="44">
        <v>59400</v>
      </c>
      <c r="AN45" s="40" t="s">
        <v>981</v>
      </c>
      <c r="AP45" s="63" t="s">
        <v>1173</v>
      </c>
      <c r="AQ45" s="61" t="s">
        <v>373</v>
      </c>
      <c r="AR45" s="61" t="s">
        <v>388</v>
      </c>
      <c r="AS45" s="68">
        <v>45853</v>
      </c>
      <c r="AT45" s="67"/>
      <c r="AU45" s="56" t="s">
        <v>388</v>
      </c>
      <c r="AV45" s="56" t="s">
        <v>862</v>
      </c>
      <c r="AW45" s="56" t="s">
        <v>1106</v>
      </c>
      <c r="AX45" s="56" t="s">
        <v>1112</v>
      </c>
      <c r="AY45" s="64">
        <v>12000</v>
      </c>
      <c r="AZ45" s="57" t="s">
        <v>1176</v>
      </c>
      <c r="BN45" s="74" t="s">
        <v>458</v>
      </c>
      <c r="BO45" s="74" t="s">
        <v>125</v>
      </c>
      <c r="BP45" s="78">
        <v>60000</v>
      </c>
      <c r="BQ45" s="74" t="s">
        <v>388</v>
      </c>
      <c r="BR45" s="74" t="s">
        <v>461</v>
      </c>
      <c r="BS45" s="74" t="s">
        <v>389</v>
      </c>
      <c r="BT45" s="74" t="s">
        <v>447</v>
      </c>
      <c r="BU45" s="74" t="s">
        <v>462</v>
      </c>
      <c r="BV45" s="74"/>
      <c r="BX45" s="74" t="s">
        <v>227</v>
      </c>
      <c r="BY45" s="74" t="s">
        <v>103</v>
      </c>
      <c r="BZ45" s="78">
        <v>19920</v>
      </c>
      <c r="CA45" s="74" t="s">
        <v>388</v>
      </c>
      <c r="CB45" s="74" t="s">
        <v>1249</v>
      </c>
      <c r="CC45" s="74" t="s">
        <v>1226</v>
      </c>
      <c r="CD45" s="41" t="s">
        <v>1250</v>
      </c>
      <c r="CE45" s="41" t="s">
        <v>1235</v>
      </c>
      <c r="CF45" s="41"/>
      <c r="CG45" s="41"/>
    </row>
    <row r="46" spans="2:85" ht="20.149999999999999" customHeight="1">
      <c r="B46" s="4" t="s">
        <v>783</v>
      </c>
      <c r="C46" s="4" t="s">
        <v>1487</v>
      </c>
      <c r="D46" s="4" t="s">
        <v>1288</v>
      </c>
      <c r="E46" s="4" t="s">
        <v>687</v>
      </c>
      <c r="F46" s="73">
        <v>46265</v>
      </c>
      <c r="G46" s="5">
        <v>-4</v>
      </c>
      <c r="H46" s="6">
        <v>-4996.03</v>
      </c>
      <c r="R46" s="41" t="s">
        <v>814</v>
      </c>
      <c r="S46" s="41" t="s">
        <v>388</v>
      </c>
      <c r="T46" s="42">
        <v>45782</v>
      </c>
      <c r="U46" s="45">
        <v>52245000</v>
      </c>
      <c r="V46" s="41" t="s">
        <v>899</v>
      </c>
      <c r="W46" s="41" t="s">
        <v>927</v>
      </c>
      <c r="X46" s="41" t="s">
        <v>899</v>
      </c>
      <c r="Y46" s="41"/>
      <c r="Z46" s="41"/>
      <c r="AA46" s="41">
        <v>6000</v>
      </c>
      <c r="AB46" s="41" t="s">
        <v>932</v>
      </c>
      <c r="AD46" s="40" t="s">
        <v>1025</v>
      </c>
      <c r="AE46" s="40" t="s">
        <v>388</v>
      </c>
      <c r="AF46" s="42">
        <v>45831</v>
      </c>
      <c r="AG46" s="96" t="e">
        <f>#REF!</f>
        <v>#REF!</v>
      </c>
      <c r="AH46" s="40" t="s">
        <v>388</v>
      </c>
      <c r="AI46" s="40" t="s">
        <v>862</v>
      </c>
      <c r="AJ46" s="40"/>
      <c r="AK46" s="40" t="s">
        <v>976</v>
      </c>
      <c r="AL46" s="40"/>
      <c r="AM46" s="44">
        <v>8910</v>
      </c>
      <c r="AN46" s="40" t="s">
        <v>1023</v>
      </c>
      <c r="AP46" s="57" t="s">
        <v>1178</v>
      </c>
      <c r="AQ46" s="61" t="s">
        <v>373</v>
      </c>
      <c r="AR46" s="56" t="s">
        <v>388</v>
      </c>
      <c r="AS46" s="68">
        <v>45843</v>
      </c>
      <c r="AT46" s="67">
        <v>500000</v>
      </c>
      <c r="AU46" s="56" t="s">
        <v>388</v>
      </c>
      <c r="AV46" s="56" t="s">
        <v>862</v>
      </c>
      <c r="AW46" s="56" t="s">
        <v>1106</v>
      </c>
      <c r="AX46" s="56" t="s">
        <v>1112</v>
      </c>
      <c r="AY46" s="56">
        <v>3000</v>
      </c>
      <c r="AZ46" s="57" t="s">
        <v>1180</v>
      </c>
      <c r="BN46" s="74" t="s">
        <v>470</v>
      </c>
      <c r="BO46" s="74" t="s">
        <v>474</v>
      </c>
      <c r="BP46" s="78">
        <v>355200</v>
      </c>
      <c r="BQ46" s="74" t="s">
        <v>388</v>
      </c>
      <c r="BR46" s="74"/>
      <c r="BS46" s="74" t="s">
        <v>475</v>
      </c>
      <c r="BT46" s="74" t="s">
        <v>1287</v>
      </c>
      <c r="BU46" s="74" t="s">
        <v>476</v>
      </c>
      <c r="BV46" s="74" t="s">
        <v>391</v>
      </c>
      <c r="BX46" s="74" t="s">
        <v>227</v>
      </c>
      <c r="BY46" s="74" t="s">
        <v>103</v>
      </c>
      <c r="BZ46" s="78">
        <v>30080</v>
      </c>
      <c r="CA46" s="74" t="s">
        <v>388</v>
      </c>
      <c r="CB46" s="74" t="s">
        <v>1249</v>
      </c>
      <c r="CC46" s="74" t="s">
        <v>1226</v>
      </c>
      <c r="CD46" s="41" t="s">
        <v>1250</v>
      </c>
      <c r="CE46" s="41" t="s">
        <v>1235</v>
      </c>
      <c r="CF46" s="41"/>
      <c r="CG46" s="41"/>
    </row>
    <row r="47" spans="2:85" ht="20.149999999999999" customHeight="1">
      <c r="B47" s="4" t="s">
        <v>734</v>
      </c>
      <c r="C47" s="4" t="s">
        <v>569</v>
      </c>
      <c r="D47" s="4" t="s">
        <v>828</v>
      </c>
      <c r="E47" s="4" t="s">
        <v>424</v>
      </c>
      <c r="F47" s="73">
        <v>46265</v>
      </c>
      <c r="G47" s="5">
        <v>8</v>
      </c>
      <c r="H47" s="6">
        <v>44023.77</v>
      </c>
      <c r="R47" s="41" t="s">
        <v>814</v>
      </c>
      <c r="S47" s="41" t="s">
        <v>388</v>
      </c>
      <c r="T47" s="42">
        <v>45782</v>
      </c>
      <c r="U47" s="45"/>
      <c r="V47" s="41" t="s">
        <v>899</v>
      </c>
      <c r="W47" s="41" t="s">
        <v>927</v>
      </c>
      <c r="X47" s="41" t="s">
        <v>899</v>
      </c>
      <c r="Y47" s="41"/>
      <c r="Z47" s="41"/>
      <c r="AA47" s="41">
        <v>6000</v>
      </c>
      <c r="AB47" s="41" t="s">
        <v>943</v>
      </c>
      <c r="AD47" s="46" t="s">
        <v>1026</v>
      </c>
      <c r="AE47" s="46" t="s">
        <v>388</v>
      </c>
      <c r="AF47" s="42">
        <v>45831</v>
      </c>
      <c r="AG47" s="96" t="e">
        <f>#REF!</f>
        <v>#REF!</v>
      </c>
      <c r="AH47" s="46" t="s">
        <v>388</v>
      </c>
      <c r="AI47" s="46" t="s">
        <v>862</v>
      </c>
      <c r="AJ47" s="46"/>
      <c r="AK47" s="46" t="s">
        <v>976</v>
      </c>
      <c r="AL47" s="100">
        <v>46075</v>
      </c>
      <c r="AM47" s="44">
        <v>44300</v>
      </c>
      <c r="AN47" s="40" t="s">
        <v>981</v>
      </c>
      <c r="AP47" s="57" t="s">
        <v>1178</v>
      </c>
      <c r="AQ47" s="61" t="s">
        <v>373</v>
      </c>
      <c r="AR47" s="56" t="s">
        <v>388</v>
      </c>
      <c r="AS47" s="68">
        <v>45843</v>
      </c>
      <c r="AT47" s="60"/>
      <c r="AU47" s="56" t="s">
        <v>388</v>
      </c>
      <c r="AV47" s="56" t="s">
        <v>862</v>
      </c>
      <c r="AW47" s="56" t="s">
        <v>1106</v>
      </c>
      <c r="AX47" s="56" t="s">
        <v>1112</v>
      </c>
      <c r="AY47" s="61">
        <v>6000</v>
      </c>
      <c r="AZ47" s="61" t="s">
        <v>1181</v>
      </c>
      <c r="BN47" s="74" t="s">
        <v>478</v>
      </c>
      <c r="BO47" s="74" t="s">
        <v>481</v>
      </c>
      <c r="BP47" s="78">
        <v>310000</v>
      </c>
      <c r="BQ47" s="74" t="s">
        <v>388</v>
      </c>
      <c r="BR47" s="74"/>
      <c r="BS47" s="74" t="s">
        <v>475</v>
      </c>
      <c r="BT47" s="74" t="s">
        <v>1218</v>
      </c>
      <c r="BU47" s="74" t="s">
        <v>476</v>
      </c>
      <c r="BV47" s="74" t="s">
        <v>391</v>
      </c>
      <c r="BX47" s="74" t="s">
        <v>227</v>
      </c>
      <c r="BY47" s="74" t="s">
        <v>110</v>
      </c>
      <c r="BZ47" s="78">
        <v>50000</v>
      </c>
      <c r="CA47" s="74" t="s">
        <v>388</v>
      </c>
      <c r="CB47" s="74" t="s">
        <v>1249</v>
      </c>
      <c r="CC47" s="74" t="s">
        <v>1226</v>
      </c>
      <c r="CD47" s="41" t="s">
        <v>1250</v>
      </c>
      <c r="CE47" s="41" t="s">
        <v>1235</v>
      </c>
      <c r="CF47" s="41"/>
      <c r="CG47" s="41"/>
    </row>
    <row r="48" spans="2:85" ht="20.149999999999999" customHeight="1">
      <c r="B48" s="4" t="s">
        <v>734</v>
      </c>
      <c r="C48" s="4" t="s">
        <v>569</v>
      </c>
      <c r="D48" s="4" t="s">
        <v>828</v>
      </c>
      <c r="E48" s="4" t="s">
        <v>357</v>
      </c>
      <c r="F48" s="73">
        <v>46265</v>
      </c>
      <c r="G48" s="5">
        <v>8</v>
      </c>
      <c r="H48" s="6">
        <v>44023.77</v>
      </c>
      <c r="R48" s="41" t="s">
        <v>814</v>
      </c>
      <c r="S48" s="41" t="s">
        <v>388</v>
      </c>
      <c r="T48" s="42">
        <v>45782</v>
      </c>
      <c r="U48" s="45"/>
      <c r="V48" s="41" t="s">
        <v>899</v>
      </c>
      <c r="W48" s="41" t="s">
        <v>927</v>
      </c>
      <c r="X48" s="41" t="s">
        <v>899</v>
      </c>
      <c r="Y48" s="41"/>
      <c r="Z48" s="41"/>
      <c r="AA48" s="41">
        <v>4500</v>
      </c>
      <c r="AB48" s="41" t="s">
        <v>931</v>
      </c>
      <c r="AD48" s="40" t="s">
        <v>1027</v>
      </c>
      <c r="AE48" s="40" t="s">
        <v>388</v>
      </c>
      <c r="AF48" s="42">
        <v>45831</v>
      </c>
      <c r="AG48" s="96" t="e">
        <f>#REF!</f>
        <v>#REF!</v>
      </c>
      <c r="AH48" s="40" t="s">
        <v>388</v>
      </c>
      <c r="AI48" s="40" t="s">
        <v>862</v>
      </c>
      <c r="AJ48" s="40"/>
      <c r="AK48" s="40" t="s">
        <v>976</v>
      </c>
      <c r="AL48" s="40"/>
      <c r="AM48" s="44">
        <v>102925</v>
      </c>
      <c r="AN48" s="40" t="s">
        <v>981</v>
      </c>
      <c r="AP48" s="57" t="s">
        <v>1178</v>
      </c>
      <c r="AQ48" s="61" t="s">
        <v>373</v>
      </c>
      <c r="AR48" s="56" t="s">
        <v>388</v>
      </c>
      <c r="AS48" s="68">
        <v>45843</v>
      </c>
      <c r="AT48" s="60"/>
      <c r="AU48" s="56" t="s">
        <v>388</v>
      </c>
      <c r="AV48" s="56" t="s">
        <v>862</v>
      </c>
      <c r="AW48" s="56" t="s">
        <v>1106</v>
      </c>
      <c r="AX48" s="56" t="s">
        <v>1112</v>
      </c>
      <c r="AY48" s="56">
        <v>1000</v>
      </c>
      <c r="AZ48" s="57" t="s">
        <v>1182</v>
      </c>
      <c r="BN48" s="74" t="s">
        <v>478</v>
      </c>
      <c r="BO48" s="74" t="s">
        <v>474</v>
      </c>
      <c r="BP48" s="78">
        <v>100000</v>
      </c>
      <c r="BQ48" s="74" t="s">
        <v>388</v>
      </c>
      <c r="BR48" s="74"/>
      <c r="BS48" s="74" t="s">
        <v>475</v>
      </c>
      <c r="BT48" s="74" t="s">
        <v>1218</v>
      </c>
      <c r="BU48" s="74" t="s">
        <v>476</v>
      </c>
      <c r="BV48" s="74" t="s">
        <v>391</v>
      </c>
      <c r="BX48" s="74" t="s">
        <v>233</v>
      </c>
      <c r="BY48" s="74" t="s">
        <v>115</v>
      </c>
      <c r="BZ48" s="78">
        <v>50000</v>
      </c>
      <c r="CA48" s="74" t="s">
        <v>388</v>
      </c>
      <c r="CB48" s="74" t="s">
        <v>1252</v>
      </c>
      <c r="CC48" s="74" t="s">
        <v>1226</v>
      </c>
      <c r="CD48" s="41" t="s">
        <v>1253</v>
      </c>
      <c r="CE48" s="41" t="s">
        <v>1251</v>
      </c>
      <c r="CF48" s="41"/>
      <c r="CG48" s="41"/>
    </row>
    <row r="49" spans="2:85" ht="20.149999999999999" customHeight="1">
      <c r="B49" s="4" t="s">
        <v>681</v>
      </c>
      <c r="C49" s="4" t="s">
        <v>569</v>
      </c>
      <c r="D49" s="4" t="s">
        <v>824</v>
      </c>
      <c r="E49" s="4" t="s">
        <v>139</v>
      </c>
      <c r="F49" s="73">
        <v>46265</v>
      </c>
      <c r="G49" s="5">
        <v>480</v>
      </c>
      <c r="H49" s="6">
        <v>600000</v>
      </c>
      <c r="R49" s="41" t="s">
        <v>928</v>
      </c>
      <c r="S49" s="41" t="s">
        <v>388</v>
      </c>
      <c r="T49" s="42">
        <v>46014</v>
      </c>
      <c r="U49" s="45">
        <v>654600000</v>
      </c>
      <c r="V49" s="41" t="s">
        <v>388</v>
      </c>
      <c r="W49" s="41" t="s">
        <v>862</v>
      </c>
      <c r="X49" s="41" t="s">
        <v>863</v>
      </c>
      <c r="Y49" s="41"/>
      <c r="Z49" s="41"/>
      <c r="AA49" s="51">
        <v>42768</v>
      </c>
      <c r="AB49" s="41" t="s">
        <v>865</v>
      </c>
      <c r="AD49" s="46" t="s">
        <v>1028</v>
      </c>
      <c r="AE49" s="46" t="s">
        <v>388</v>
      </c>
      <c r="AF49" s="42">
        <v>45831</v>
      </c>
      <c r="AG49" s="96" t="e">
        <f>#REF!</f>
        <v>#REF!</v>
      </c>
      <c r="AH49" s="46" t="s">
        <v>388</v>
      </c>
      <c r="AI49" s="46" t="s">
        <v>862</v>
      </c>
      <c r="AJ49" s="46"/>
      <c r="AK49" s="46" t="s">
        <v>976</v>
      </c>
      <c r="AL49" s="100">
        <v>46079</v>
      </c>
      <c r="AM49" s="44">
        <v>53130</v>
      </c>
      <c r="AN49" s="40" t="s">
        <v>981</v>
      </c>
      <c r="AP49" s="69" t="s">
        <v>1183</v>
      </c>
      <c r="AQ49" s="61" t="s">
        <v>373</v>
      </c>
      <c r="AR49" s="56" t="s">
        <v>388</v>
      </c>
      <c r="AS49" s="68">
        <v>45858</v>
      </c>
      <c r="AT49" s="60">
        <v>180000</v>
      </c>
      <c r="AU49" s="56" t="s">
        <v>388</v>
      </c>
      <c r="AV49" s="56" t="s">
        <v>862</v>
      </c>
      <c r="AW49" s="56" t="s">
        <v>1106</v>
      </c>
      <c r="AX49" s="61" t="s">
        <v>1184</v>
      </c>
      <c r="AY49" s="56">
        <v>1500</v>
      </c>
      <c r="AZ49" s="56" t="s">
        <v>1185</v>
      </c>
      <c r="BN49" s="74" t="s">
        <v>483</v>
      </c>
      <c r="BO49" s="74" t="s">
        <v>357</v>
      </c>
      <c r="BP49" s="78">
        <v>800</v>
      </c>
      <c r="BQ49" s="74" t="s">
        <v>388</v>
      </c>
      <c r="BR49" s="74" t="s">
        <v>485</v>
      </c>
      <c r="BS49" s="74" t="s">
        <v>389</v>
      </c>
      <c r="BT49" s="74" t="s">
        <v>1232</v>
      </c>
      <c r="BU49" s="74" t="s">
        <v>486</v>
      </c>
      <c r="BV49" s="74"/>
      <c r="BX49" s="74" t="s">
        <v>233</v>
      </c>
      <c r="BY49" s="74" t="s">
        <v>238</v>
      </c>
      <c r="BZ49" s="78">
        <v>50000</v>
      </c>
      <c r="CA49" s="74" t="s">
        <v>388</v>
      </c>
      <c r="CB49" s="74" t="s">
        <v>1252</v>
      </c>
      <c r="CC49" s="74" t="s">
        <v>1226</v>
      </c>
      <c r="CD49" s="41" t="s">
        <v>1253</v>
      </c>
      <c r="CE49" s="41" t="s">
        <v>1251</v>
      </c>
      <c r="CF49" s="41"/>
      <c r="CG49" s="41"/>
    </row>
    <row r="50" spans="2:85" ht="20.149999999999999" customHeight="1">
      <c r="B50" s="4" t="s">
        <v>776</v>
      </c>
      <c r="C50" s="4" t="s">
        <v>1487</v>
      </c>
      <c r="D50" s="4" t="s">
        <v>1288</v>
      </c>
      <c r="E50" s="4" t="s">
        <v>171</v>
      </c>
      <c r="F50" s="73">
        <v>46265</v>
      </c>
      <c r="G50" s="5">
        <v>5000</v>
      </c>
      <c r="H50" s="6">
        <v>1745000</v>
      </c>
      <c r="R50" s="41" t="s">
        <v>928</v>
      </c>
      <c r="S50" s="41" t="s">
        <v>388</v>
      </c>
      <c r="T50" s="42">
        <v>46014</v>
      </c>
      <c r="U50" s="45"/>
      <c r="V50" s="41" t="s">
        <v>388</v>
      </c>
      <c r="W50" s="41" t="s">
        <v>862</v>
      </c>
      <c r="X50" s="41" t="s">
        <v>863</v>
      </c>
      <c r="Y50" s="41"/>
      <c r="Z50" s="41"/>
      <c r="AA50" s="51">
        <v>213840</v>
      </c>
      <c r="AB50" s="41" t="s">
        <v>865</v>
      </c>
      <c r="AD50" s="40" t="s">
        <v>1029</v>
      </c>
      <c r="AE50" s="40" t="s">
        <v>388</v>
      </c>
      <c r="AF50" s="42">
        <v>45831</v>
      </c>
      <c r="AG50" s="96" t="e">
        <f>#REF!</f>
        <v>#REF!</v>
      </c>
      <c r="AH50" s="40" t="s">
        <v>388</v>
      </c>
      <c r="AI50" s="40" t="s">
        <v>862</v>
      </c>
      <c r="AJ50" s="40"/>
      <c r="AK50" s="40" t="s">
        <v>976</v>
      </c>
      <c r="AL50" s="40"/>
      <c r="AM50" s="44">
        <v>95000</v>
      </c>
      <c r="AN50" s="40" t="s">
        <v>981</v>
      </c>
      <c r="AP50" s="70" t="s">
        <v>1183</v>
      </c>
      <c r="AQ50" s="61" t="s">
        <v>373</v>
      </c>
      <c r="AR50" s="56" t="s">
        <v>388</v>
      </c>
      <c r="AS50" s="68">
        <v>45858</v>
      </c>
      <c r="AT50" s="60"/>
      <c r="AU50" s="56" t="s">
        <v>388</v>
      </c>
      <c r="AV50" s="56" t="s">
        <v>862</v>
      </c>
      <c r="AW50" s="56" t="s">
        <v>1106</v>
      </c>
      <c r="AX50" s="61" t="s">
        <v>1184</v>
      </c>
      <c r="AY50" s="61">
        <v>3500</v>
      </c>
      <c r="AZ50" s="61" t="s">
        <v>1186</v>
      </c>
      <c r="BN50" s="74" t="s">
        <v>483</v>
      </c>
      <c r="BO50" s="74" t="s">
        <v>358</v>
      </c>
      <c r="BP50" s="78">
        <v>2704</v>
      </c>
      <c r="BQ50" s="74" t="s">
        <v>388</v>
      </c>
      <c r="BR50" s="74" t="s">
        <v>485</v>
      </c>
      <c r="BS50" s="74" t="s">
        <v>389</v>
      </c>
      <c r="BT50" s="74" t="s">
        <v>1232</v>
      </c>
      <c r="BU50" s="74" t="s">
        <v>486</v>
      </c>
      <c r="BV50" s="74"/>
      <c r="BX50" s="74" t="s">
        <v>240</v>
      </c>
      <c r="BY50" s="74" t="s">
        <v>171</v>
      </c>
      <c r="BZ50" s="78">
        <v>50000</v>
      </c>
      <c r="CA50" s="74" t="s">
        <v>388</v>
      </c>
      <c r="CB50" s="74" t="s">
        <v>1252</v>
      </c>
      <c r="CC50" s="74" t="s">
        <v>1226</v>
      </c>
      <c r="CD50" s="41" t="s">
        <v>1254</v>
      </c>
      <c r="CE50" s="41" t="s">
        <v>1250</v>
      </c>
      <c r="CF50" s="41"/>
      <c r="CG50" s="41"/>
    </row>
    <row r="51" spans="2:85" ht="20.149999999999999" customHeight="1">
      <c r="B51" s="4" t="s">
        <v>776</v>
      </c>
      <c r="C51" s="4" t="s">
        <v>1487</v>
      </c>
      <c r="D51" s="4" t="s">
        <v>1288</v>
      </c>
      <c r="E51" s="4" t="s">
        <v>791</v>
      </c>
      <c r="F51" s="73">
        <v>46265</v>
      </c>
      <c r="G51" s="5">
        <v>3000</v>
      </c>
      <c r="H51" s="6">
        <v>81355.929999999993</v>
      </c>
      <c r="R51" s="41" t="s">
        <v>928</v>
      </c>
      <c r="S51" s="41" t="s">
        <v>388</v>
      </c>
      <c r="T51" s="42">
        <v>46014</v>
      </c>
      <c r="U51" s="45"/>
      <c r="V51" s="41" t="s">
        <v>388</v>
      </c>
      <c r="W51" s="41" t="s">
        <v>862</v>
      </c>
      <c r="X51" s="41" t="s">
        <v>863</v>
      </c>
      <c r="Y51" s="41"/>
      <c r="Z51" s="41"/>
      <c r="AA51" s="51">
        <v>128304</v>
      </c>
      <c r="AB51" s="41" t="s">
        <v>865</v>
      </c>
      <c r="AD51" s="46" t="s">
        <v>1030</v>
      </c>
      <c r="AE51" s="46" t="s">
        <v>388</v>
      </c>
      <c r="AF51" s="42">
        <v>45831</v>
      </c>
      <c r="AG51" s="96" t="e">
        <f>#REF!</f>
        <v>#REF!</v>
      </c>
      <c r="AH51" s="46" t="s">
        <v>388</v>
      </c>
      <c r="AI51" s="46" t="s">
        <v>862</v>
      </c>
      <c r="AJ51" s="46"/>
      <c r="AK51" s="46" t="s">
        <v>976</v>
      </c>
      <c r="AL51" s="100">
        <v>46089</v>
      </c>
      <c r="AM51" s="44">
        <v>50000</v>
      </c>
      <c r="AN51" s="40" t="s">
        <v>981</v>
      </c>
      <c r="AP51" s="69" t="s">
        <v>1183</v>
      </c>
      <c r="AQ51" s="61" t="s">
        <v>373</v>
      </c>
      <c r="AR51" s="56" t="s">
        <v>388</v>
      </c>
      <c r="AS51" s="68">
        <v>45858</v>
      </c>
      <c r="AT51" s="60"/>
      <c r="AU51" s="56" t="s">
        <v>388</v>
      </c>
      <c r="AV51" s="56" t="s">
        <v>862</v>
      </c>
      <c r="AW51" s="56" t="s">
        <v>1106</v>
      </c>
      <c r="AX51" s="61" t="s">
        <v>1184</v>
      </c>
      <c r="AY51" s="61">
        <v>3000</v>
      </c>
      <c r="AZ51" s="61" t="s">
        <v>1187</v>
      </c>
      <c r="BN51" s="74" t="s">
        <v>483</v>
      </c>
      <c r="BO51" s="74" t="s">
        <v>120</v>
      </c>
      <c r="BP51" s="78">
        <v>2000</v>
      </c>
      <c r="BQ51" s="74" t="s">
        <v>388</v>
      </c>
      <c r="BR51" s="74" t="s">
        <v>485</v>
      </c>
      <c r="BS51" s="74" t="s">
        <v>389</v>
      </c>
      <c r="BT51" s="74" t="s">
        <v>1232</v>
      </c>
      <c r="BU51" s="74" t="s">
        <v>486</v>
      </c>
      <c r="BV51" s="74"/>
      <c r="BX51" s="74" t="s">
        <v>240</v>
      </c>
      <c r="BY51" s="74" t="s">
        <v>245</v>
      </c>
      <c r="BZ51" s="78">
        <v>25000</v>
      </c>
      <c r="CA51" s="74" t="s">
        <v>388</v>
      </c>
      <c r="CB51" s="74" t="s">
        <v>1252</v>
      </c>
      <c r="CC51" s="74" t="s">
        <v>1226</v>
      </c>
      <c r="CD51" s="41" t="s">
        <v>1254</v>
      </c>
      <c r="CE51" s="41" t="s">
        <v>1250</v>
      </c>
      <c r="CF51" s="41"/>
      <c r="CG51" s="41"/>
    </row>
    <row r="52" spans="2:85" ht="20.149999999999999" customHeight="1">
      <c r="B52" s="4" t="s">
        <v>776</v>
      </c>
      <c r="C52" s="4" t="s">
        <v>1487</v>
      </c>
      <c r="D52" s="4" t="s">
        <v>1288</v>
      </c>
      <c r="E52" s="4" t="s">
        <v>792</v>
      </c>
      <c r="F52" s="73">
        <v>46265</v>
      </c>
      <c r="G52" s="5">
        <v>2379</v>
      </c>
      <c r="H52" s="6">
        <v>64515.25</v>
      </c>
      <c r="R52" s="41" t="s">
        <v>912</v>
      </c>
      <c r="S52" s="41" t="s">
        <v>388</v>
      </c>
      <c r="T52" s="42">
        <v>45782</v>
      </c>
      <c r="U52" s="45">
        <v>54885600</v>
      </c>
      <c r="V52" s="41" t="s">
        <v>899</v>
      </c>
      <c r="W52" s="41" t="s">
        <v>927</v>
      </c>
      <c r="X52" s="41" t="s">
        <v>899</v>
      </c>
      <c r="Y52" s="41"/>
      <c r="Z52" s="41"/>
      <c r="AA52" s="51">
        <v>47520</v>
      </c>
      <c r="AB52" s="41" t="s">
        <v>865</v>
      </c>
      <c r="AD52" s="40" t="s">
        <v>1031</v>
      </c>
      <c r="AE52" s="40" t="s">
        <v>388</v>
      </c>
      <c r="AF52" s="42">
        <v>45831</v>
      </c>
      <c r="AG52" s="96" t="e">
        <f>#REF!</f>
        <v>#REF!</v>
      </c>
      <c r="AH52" s="40" t="s">
        <v>388</v>
      </c>
      <c r="AI52" s="40" t="s">
        <v>862</v>
      </c>
      <c r="AJ52" s="40"/>
      <c r="AK52" s="40" t="s">
        <v>976</v>
      </c>
      <c r="AL52" s="100">
        <v>46021</v>
      </c>
      <c r="AM52" s="44">
        <v>87700</v>
      </c>
      <c r="AN52" s="40" t="s">
        <v>981</v>
      </c>
      <c r="AP52" s="57" t="s">
        <v>1188</v>
      </c>
      <c r="AQ52" s="56" t="s">
        <v>373</v>
      </c>
      <c r="AR52" s="56" t="s">
        <v>388</v>
      </c>
      <c r="AS52" s="68">
        <v>45858</v>
      </c>
      <c r="AT52" s="60">
        <v>200000</v>
      </c>
      <c r="AU52" s="56" t="s">
        <v>388</v>
      </c>
      <c r="AV52" s="56" t="s">
        <v>862</v>
      </c>
      <c r="AW52" s="56" t="s">
        <v>1106</v>
      </c>
      <c r="AX52" s="56" t="s">
        <v>1189</v>
      </c>
      <c r="AY52" s="62">
        <v>10000</v>
      </c>
      <c r="AZ52" s="63" t="s">
        <v>1190</v>
      </c>
      <c r="BN52" s="74" t="s">
        <v>483</v>
      </c>
      <c r="BO52" s="74" t="s">
        <v>271</v>
      </c>
      <c r="BP52" s="78">
        <v>3000</v>
      </c>
      <c r="BQ52" s="74" t="s">
        <v>388</v>
      </c>
      <c r="BR52" s="74" t="s">
        <v>485</v>
      </c>
      <c r="BS52" s="74" t="s">
        <v>389</v>
      </c>
      <c r="BT52" s="74" t="s">
        <v>1232</v>
      </c>
      <c r="BU52" s="74" t="s">
        <v>486</v>
      </c>
      <c r="BV52" s="74"/>
      <c r="BX52" s="74" t="s">
        <v>240</v>
      </c>
      <c r="BY52" s="74" t="s">
        <v>245</v>
      </c>
      <c r="BZ52" s="78">
        <v>15000</v>
      </c>
      <c r="CA52" s="74" t="s">
        <v>388</v>
      </c>
      <c r="CB52" s="74" t="s">
        <v>1252</v>
      </c>
      <c r="CC52" s="74" t="s">
        <v>1226</v>
      </c>
      <c r="CD52" s="41" t="s">
        <v>1254</v>
      </c>
      <c r="CE52" s="41" t="s">
        <v>1250</v>
      </c>
      <c r="CF52" s="41"/>
      <c r="CG52" s="41"/>
    </row>
    <row r="53" spans="2:85" ht="20.149999999999999" customHeight="1">
      <c r="B53" s="4" t="s">
        <v>583</v>
      </c>
      <c r="C53" s="4" t="s">
        <v>569</v>
      </c>
      <c r="D53" s="4" t="s">
        <v>1288</v>
      </c>
      <c r="E53" s="4" t="s">
        <v>238</v>
      </c>
      <c r="F53" s="73">
        <v>46265</v>
      </c>
      <c r="G53" s="5">
        <v>5000</v>
      </c>
      <c r="H53" s="6">
        <v>274725.27</v>
      </c>
      <c r="R53" s="41" t="s">
        <v>929</v>
      </c>
      <c r="S53" s="41" t="s">
        <v>388</v>
      </c>
      <c r="T53" s="42">
        <v>45800</v>
      </c>
      <c r="U53" s="45">
        <v>11550000</v>
      </c>
      <c r="V53" s="41" t="s">
        <v>899</v>
      </c>
      <c r="W53" s="41" t="s">
        <v>927</v>
      </c>
      <c r="X53" s="41" t="s">
        <v>899</v>
      </c>
      <c r="Y53" s="41"/>
      <c r="Z53" s="41"/>
      <c r="AA53" s="51">
        <v>10000</v>
      </c>
      <c r="AB53" s="41" t="s">
        <v>865</v>
      </c>
      <c r="AD53" s="46" t="s">
        <v>1032</v>
      </c>
      <c r="AE53" s="40" t="s">
        <v>388</v>
      </c>
      <c r="AF53" s="42">
        <v>45831</v>
      </c>
      <c r="AG53" s="96" t="e">
        <f>#REF!</f>
        <v>#REF!</v>
      </c>
      <c r="AH53" s="46" t="s">
        <v>388</v>
      </c>
      <c r="AI53" s="46" t="s">
        <v>862</v>
      </c>
      <c r="AJ53" s="46"/>
      <c r="AK53" s="46" t="s">
        <v>976</v>
      </c>
      <c r="AL53" s="100">
        <v>45999</v>
      </c>
      <c r="AM53" s="44">
        <v>145763</v>
      </c>
      <c r="AN53" s="40" t="s">
        <v>981</v>
      </c>
      <c r="AP53" s="63" t="s">
        <v>1191</v>
      </c>
      <c r="AQ53" s="56" t="s">
        <v>373</v>
      </c>
      <c r="AR53" s="56" t="s">
        <v>388</v>
      </c>
      <c r="AS53" s="68">
        <v>45858</v>
      </c>
      <c r="AT53" s="60">
        <v>1000000</v>
      </c>
      <c r="AU53" s="56" t="s">
        <v>388</v>
      </c>
      <c r="AV53" s="56" t="s">
        <v>862</v>
      </c>
      <c r="AW53" s="56" t="s">
        <v>1106</v>
      </c>
      <c r="AX53" s="56" t="s">
        <v>1192</v>
      </c>
      <c r="AY53" s="61">
        <v>6000</v>
      </c>
      <c r="AZ53" s="63" t="s">
        <v>1193</v>
      </c>
      <c r="BN53" s="74" t="s">
        <v>483</v>
      </c>
      <c r="BO53" s="74" t="s">
        <v>441</v>
      </c>
      <c r="BP53" s="78">
        <v>2000</v>
      </c>
      <c r="BQ53" s="74" t="s">
        <v>388</v>
      </c>
      <c r="BR53" s="74" t="s">
        <v>485</v>
      </c>
      <c r="BS53" s="74" t="s">
        <v>389</v>
      </c>
      <c r="BT53" s="74" t="s">
        <v>1232</v>
      </c>
      <c r="BU53" s="74" t="s">
        <v>486</v>
      </c>
      <c r="BV53" s="74"/>
      <c r="BX53" s="74" t="s">
        <v>240</v>
      </c>
      <c r="BY53" s="74" t="s">
        <v>238</v>
      </c>
      <c r="BZ53" s="78">
        <v>90000</v>
      </c>
      <c r="CA53" s="74" t="s">
        <v>388</v>
      </c>
      <c r="CB53" s="74" t="s">
        <v>1252</v>
      </c>
      <c r="CC53" s="74" t="s">
        <v>1226</v>
      </c>
      <c r="CD53" s="41" t="s">
        <v>1254</v>
      </c>
      <c r="CE53" s="41" t="s">
        <v>1250</v>
      </c>
      <c r="CF53" s="41"/>
      <c r="CG53" s="41"/>
    </row>
    <row r="54" spans="2:85" ht="20.149999999999999" customHeight="1">
      <c r="B54" s="4" t="s">
        <v>583</v>
      </c>
      <c r="C54" s="4" t="s">
        <v>569</v>
      </c>
      <c r="D54" s="4" t="s">
        <v>1288</v>
      </c>
      <c r="E54" s="4" t="s">
        <v>115</v>
      </c>
      <c r="F54" s="73">
        <v>46265</v>
      </c>
      <c r="G54" s="5">
        <v>4000</v>
      </c>
      <c r="H54" s="6">
        <v>2517482.52</v>
      </c>
      <c r="R54" s="41" t="s">
        <v>930</v>
      </c>
      <c r="S54" s="41" t="s">
        <v>388</v>
      </c>
      <c r="T54" s="42">
        <v>45789</v>
      </c>
      <c r="U54" s="45">
        <v>124910000</v>
      </c>
      <c r="V54" s="41" t="s">
        <v>899</v>
      </c>
      <c r="W54" s="41" t="s">
        <v>927</v>
      </c>
      <c r="X54" s="41" t="s">
        <v>899</v>
      </c>
      <c r="Y54" s="41"/>
      <c r="Z54" s="41"/>
      <c r="AA54" s="45">
        <v>140000</v>
      </c>
      <c r="AB54" s="41" t="s">
        <v>931</v>
      </c>
      <c r="AD54" s="40" t="s">
        <v>1033</v>
      </c>
      <c r="AE54" s="40" t="s">
        <v>388</v>
      </c>
      <c r="AF54" s="42">
        <v>45831</v>
      </c>
      <c r="AG54" s="96" t="e">
        <f>#REF!</f>
        <v>#REF!</v>
      </c>
      <c r="AH54" s="40" t="s">
        <v>388</v>
      </c>
      <c r="AI54" s="40" t="s">
        <v>862</v>
      </c>
      <c r="AJ54" s="40"/>
      <c r="AK54" s="40" t="s">
        <v>976</v>
      </c>
      <c r="AL54" s="100">
        <v>46071</v>
      </c>
      <c r="AM54" s="44">
        <v>181000</v>
      </c>
      <c r="AN54" s="40" t="s">
        <v>981</v>
      </c>
      <c r="AP54" s="63" t="s">
        <v>1195</v>
      </c>
      <c r="AQ54" s="56" t="s">
        <v>373</v>
      </c>
      <c r="AR54" s="56" t="s">
        <v>388</v>
      </c>
      <c r="AS54" s="68">
        <v>46051</v>
      </c>
      <c r="AT54" s="60">
        <v>500000</v>
      </c>
      <c r="AU54" s="56" t="s">
        <v>388</v>
      </c>
      <c r="AV54" s="56" t="s">
        <v>862</v>
      </c>
      <c r="AW54" s="56" t="s">
        <v>1106</v>
      </c>
      <c r="AX54" s="56" t="s">
        <v>1196</v>
      </c>
      <c r="AY54" s="61">
        <v>5000</v>
      </c>
      <c r="AZ54" s="63" t="s">
        <v>1193</v>
      </c>
      <c r="BN54" s="74" t="s">
        <v>393</v>
      </c>
      <c r="BO54" s="74" t="s">
        <v>424</v>
      </c>
      <c r="BP54" s="78">
        <v>744</v>
      </c>
      <c r="BQ54" s="74" t="s">
        <v>388</v>
      </c>
      <c r="BR54" s="74" t="s">
        <v>398</v>
      </c>
      <c r="BS54" s="74" t="s">
        <v>389</v>
      </c>
      <c r="BT54" s="74" t="s">
        <v>1230</v>
      </c>
      <c r="BU54" s="74" t="s">
        <v>399</v>
      </c>
      <c r="BV54" s="74"/>
      <c r="BX54" s="74" t="s">
        <v>249</v>
      </c>
      <c r="BY54" s="74" t="s">
        <v>103</v>
      </c>
      <c r="BZ54" s="78">
        <v>30000</v>
      </c>
      <c r="CA54" s="74" t="s">
        <v>388</v>
      </c>
      <c r="CB54" s="74" t="s">
        <v>1256</v>
      </c>
      <c r="CC54" s="74" t="s">
        <v>1226</v>
      </c>
      <c r="CD54" s="41" t="s">
        <v>1253</v>
      </c>
      <c r="CE54" s="41" t="s">
        <v>1255</v>
      </c>
      <c r="CF54" s="41"/>
      <c r="CG54" s="41"/>
    </row>
    <row r="55" spans="2:85" ht="20.149999999999999" customHeight="1">
      <c r="B55" s="4" t="s">
        <v>594</v>
      </c>
      <c r="C55" s="4" t="s">
        <v>569</v>
      </c>
      <c r="D55" s="4" t="s">
        <v>824</v>
      </c>
      <c r="E55" s="4" t="s">
        <v>218</v>
      </c>
      <c r="F55" s="73">
        <v>46265</v>
      </c>
      <c r="G55" s="5">
        <v>117</v>
      </c>
      <c r="H55" s="6">
        <v>233766.23</v>
      </c>
      <c r="R55" s="41" t="s">
        <v>930</v>
      </c>
      <c r="S55" s="41" t="s">
        <v>388</v>
      </c>
      <c r="T55" s="42">
        <v>45789</v>
      </c>
      <c r="U55" s="45"/>
      <c r="V55" s="41" t="s">
        <v>899</v>
      </c>
      <c r="W55" s="41" t="s">
        <v>927</v>
      </c>
      <c r="X55" s="41" t="s">
        <v>899</v>
      </c>
      <c r="Y55" s="41"/>
      <c r="Z55" s="41"/>
      <c r="AA55" s="45">
        <v>18000</v>
      </c>
      <c r="AB55" s="41" t="s">
        <v>932</v>
      </c>
      <c r="AD55" s="40" t="s">
        <v>1033</v>
      </c>
      <c r="AE55" s="40" t="s">
        <v>388</v>
      </c>
      <c r="AF55" s="42">
        <v>45831</v>
      </c>
      <c r="AG55" s="96" t="e">
        <f>#REF!</f>
        <v>#REF!</v>
      </c>
      <c r="AH55" s="40" t="s">
        <v>388</v>
      </c>
      <c r="AI55" s="40" t="s">
        <v>862</v>
      </c>
      <c r="AJ55" s="40"/>
      <c r="AK55" s="40" t="s">
        <v>976</v>
      </c>
      <c r="AL55" s="40"/>
      <c r="AM55" s="44">
        <v>27150</v>
      </c>
      <c r="AN55" s="40" t="s">
        <v>981</v>
      </c>
      <c r="AP55" s="69" t="s">
        <v>801</v>
      </c>
      <c r="AQ55" s="56" t="s">
        <v>373</v>
      </c>
      <c r="AR55" s="56" t="s">
        <v>388</v>
      </c>
      <c r="AS55" s="68">
        <v>45903</v>
      </c>
      <c r="AT55" s="60">
        <v>28900</v>
      </c>
      <c r="AU55" s="56" t="s">
        <v>388</v>
      </c>
      <c r="AV55" s="56" t="s">
        <v>862</v>
      </c>
      <c r="AW55" s="56" t="s">
        <v>1106</v>
      </c>
      <c r="AX55" s="56" t="s">
        <v>1112</v>
      </c>
      <c r="AY55" s="61">
        <v>1000</v>
      </c>
      <c r="AZ55" s="61" t="s">
        <v>1197</v>
      </c>
      <c r="BN55" s="74" t="s">
        <v>393</v>
      </c>
      <c r="BO55" s="74" t="s">
        <v>270</v>
      </c>
      <c r="BP55" s="78">
        <v>1024</v>
      </c>
      <c r="BQ55" s="74" t="s">
        <v>388</v>
      </c>
      <c r="BR55" s="74" t="s">
        <v>398</v>
      </c>
      <c r="BS55" s="74" t="s">
        <v>389</v>
      </c>
      <c r="BT55" s="74" t="s">
        <v>1230</v>
      </c>
      <c r="BU55" s="74" t="s">
        <v>399</v>
      </c>
      <c r="BV55" s="74"/>
      <c r="BX55" s="74" t="s">
        <v>249</v>
      </c>
      <c r="BY55" s="74" t="s">
        <v>245</v>
      </c>
      <c r="BZ55" s="78">
        <v>30000</v>
      </c>
      <c r="CA55" s="74" t="s">
        <v>388</v>
      </c>
      <c r="CB55" s="74" t="s">
        <v>1256</v>
      </c>
      <c r="CC55" s="74" t="s">
        <v>1226</v>
      </c>
      <c r="CD55" s="41" t="s">
        <v>1253</v>
      </c>
      <c r="CE55" s="41" t="s">
        <v>1255</v>
      </c>
      <c r="CF55" s="41"/>
      <c r="CG55" s="41"/>
    </row>
    <row r="56" spans="2:85" ht="20.149999999999999" customHeight="1">
      <c r="B56" s="4" t="s">
        <v>594</v>
      </c>
      <c r="C56" s="4" t="s">
        <v>569</v>
      </c>
      <c r="D56" s="4" t="s">
        <v>824</v>
      </c>
      <c r="E56" s="4" t="s">
        <v>187</v>
      </c>
      <c r="F56" s="73">
        <v>46265</v>
      </c>
      <c r="G56" s="5">
        <v>200</v>
      </c>
      <c r="H56" s="6">
        <v>64676.62</v>
      </c>
      <c r="R56" s="41" t="s">
        <v>928</v>
      </c>
      <c r="S56" s="41" t="s">
        <v>388</v>
      </c>
      <c r="T56" s="42">
        <v>45789</v>
      </c>
      <c r="U56" s="45">
        <v>106663395</v>
      </c>
      <c r="V56" s="41" t="s">
        <v>899</v>
      </c>
      <c r="W56" s="41" t="s">
        <v>927</v>
      </c>
      <c r="X56" s="41" t="s">
        <v>899</v>
      </c>
      <c r="Y56" s="41"/>
      <c r="Z56" s="41"/>
      <c r="AA56" s="45">
        <v>15800</v>
      </c>
      <c r="AB56" s="41" t="s">
        <v>932</v>
      </c>
      <c r="AD56" s="46" t="s">
        <v>1034</v>
      </c>
      <c r="AE56" s="46" t="s">
        <v>388</v>
      </c>
      <c r="AF56" s="42">
        <v>45831</v>
      </c>
      <c r="AG56" s="96" t="e">
        <f>#REF!</f>
        <v>#REF!</v>
      </c>
      <c r="AH56" s="46" t="s">
        <v>388</v>
      </c>
      <c r="AI56" s="46" t="s">
        <v>862</v>
      </c>
      <c r="AJ56" s="46"/>
      <c r="AK56" s="46" t="s">
        <v>976</v>
      </c>
      <c r="AL56" s="46"/>
      <c r="AM56" s="44">
        <v>87000</v>
      </c>
      <c r="AN56" s="40" t="s">
        <v>981</v>
      </c>
      <c r="AP56" s="69" t="s">
        <v>801</v>
      </c>
      <c r="AQ56" s="56" t="s">
        <v>373</v>
      </c>
      <c r="AR56" s="56" t="s">
        <v>388</v>
      </c>
      <c r="AS56" s="68">
        <v>45903</v>
      </c>
      <c r="AT56" s="60"/>
      <c r="AU56" s="56" t="s">
        <v>388</v>
      </c>
      <c r="AV56" s="56" t="s">
        <v>862</v>
      </c>
      <c r="AW56" s="56" t="s">
        <v>1106</v>
      </c>
      <c r="AX56" s="56" t="s">
        <v>1112</v>
      </c>
      <c r="AY56" s="61">
        <v>3000</v>
      </c>
      <c r="AZ56" s="61" t="s">
        <v>1198</v>
      </c>
      <c r="BN56" s="74" t="s">
        <v>393</v>
      </c>
      <c r="BO56" s="74" t="s">
        <v>357</v>
      </c>
      <c r="BP56" s="78">
        <v>4144</v>
      </c>
      <c r="BQ56" s="74" t="s">
        <v>388</v>
      </c>
      <c r="BR56" s="74" t="s">
        <v>398</v>
      </c>
      <c r="BS56" s="74" t="s">
        <v>389</v>
      </c>
      <c r="BT56" s="74" t="s">
        <v>1230</v>
      </c>
      <c r="BU56" s="74" t="s">
        <v>399</v>
      </c>
      <c r="BV56" s="74"/>
      <c r="BX56" s="74" t="s">
        <v>249</v>
      </c>
      <c r="BY56" s="74" t="s">
        <v>238</v>
      </c>
      <c r="BZ56" s="78">
        <v>40800</v>
      </c>
      <c r="CA56" s="74" t="s">
        <v>388</v>
      </c>
      <c r="CB56" s="74" t="s">
        <v>1256</v>
      </c>
      <c r="CC56" s="74" t="s">
        <v>1226</v>
      </c>
      <c r="CD56" s="41" t="s">
        <v>1253</v>
      </c>
      <c r="CE56" s="41" t="s">
        <v>1255</v>
      </c>
      <c r="CF56" s="41"/>
      <c r="CG56" s="41"/>
    </row>
    <row r="57" spans="2:85" ht="20.149999999999999" customHeight="1">
      <c r="B57" s="4" t="s">
        <v>701</v>
      </c>
      <c r="C57" s="4" t="s">
        <v>569</v>
      </c>
      <c r="D57" s="4" t="s">
        <v>824</v>
      </c>
      <c r="E57" s="4" t="s">
        <v>326</v>
      </c>
      <c r="F57" s="73">
        <v>46265</v>
      </c>
      <c r="G57" s="5">
        <v>1468</v>
      </c>
      <c r="H57" s="6">
        <v>675280</v>
      </c>
      <c r="R57" s="41" t="s">
        <v>928</v>
      </c>
      <c r="S57" s="41" t="s">
        <v>388</v>
      </c>
      <c r="T57" s="42">
        <v>45789</v>
      </c>
      <c r="U57" s="45"/>
      <c r="V57" s="41" t="s">
        <v>899</v>
      </c>
      <c r="W57" s="41" t="s">
        <v>927</v>
      </c>
      <c r="X57" s="41" t="s">
        <v>899</v>
      </c>
      <c r="Y57" s="41"/>
      <c r="Z57" s="41"/>
      <c r="AA57" s="45">
        <v>119377</v>
      </c>
      <c r="AB57" s="41" t="s">
        <v>931</v>
      </c>
      <c r="AD57" s="40" t="s">
        <v>1035</v>
      </c>
      <c r="AE57" s="40" t="s">
        <v>388</v>
      </c>
      <c r="AF57" s="42">
        <v>45831</v>
      </c>
      <c r="AG57" s="96" t="e">
        <f>#REF!</f>
        <v>#REF!</v>
      </c>
      <c r="AH57" s="40" t="s">
        <v>388</v>
      </c>
      <c r="AI57" s="40" t="s">
        <v>862</v>
      </c>
      <c r="AJ57" s="40"/>
      <c r="AK57" s="40" t="s">
        <v>976</v>
      </c>
      <c r="AL57" s="100">
        <v>46078</v>
      </c>
      <c r="AM57" s="44">
        <v>53700</v>
      </c>
      <c r="AN57" s="40" t="s">
        <v>981</v>
      </c>
      <c r="AP57" s="70" t="s">
        <v>1199</v>
      </c>
      <c r="AQ57" s="61" t="s">
        <v>373</v>
      </c>
      <c r="AR57" s="61" t="s">
        <v>388</v>
      </c>
      <c r="AS57" s="68">
        <v>46085</v>
      </c>
      <c r="AT57" s="67">
        <v>314944810</v>
      </c>
      <c r="AU57" s="56" t="s">
        <v>899</v>
      </c>
      <c r="AV57" s="56" t="s">
        <v>1200</v>
      </c>
      <c r="AW57" s="56" t="s">
        <v>1106</v>
      </c>
      <c r="AX57" s="56"/>
      <c r="AY57" s="62">
        <v>646211</v>
      </c>
      <c r="AZ57" s="63" t="s">
        <v>1198</v>
      </c>
      <c r="BN57" s="74" t="s">
        <v>393</v>
      </c>
      <c r="BO57" s="74" t="s">
        <v>431</v>
      </c>
      <c r="BP57" s="78">
        <v>984</v>
      </c>
      <c r="BQ57" s="74" t="s">
        <v>388</v>
      </c>
      <c r="BR57" s="74" t="s">
        <v>398</v>
      </c>
      <c r="BS57" s="74" t="s">
        <v>389</v>
      </c>
      <c r="BT57" s="74" t="s">
        <v>1230</v>
      </c>
      <c r="BU57" s="74" t="s">
        <v>399</v>
      </c>
      <c r="BV57" s="74"/>
      <c r="BX57" s="74" t="s">
        <v>249</v>
      </c>
      <c r="BY57" s="74" t="s">
        <v>238</v>
      </c>
      <c r="BZ57" s="78">
        <v>19200</v>
      </c>
      <c r="CA57" s="74" t="s">
        <v>388</v>
      </c>
      <c r="CB57" s="74" t="s">
        <v>1256</v>
      </c>
      <c r="CC57" s="74" t="s">
        <v>1226</v>
      </c>
      <c r="CD57" s="41" t="s">
        <v>1253</v>
      </c>
      <c r="CE57" s="41" t="s">
        <v>1255</v>
      </c>
      <c r="CF57" s="41"/>
      <c r="CG57" s="41"/>
    </row>
    <row r="58" spans="2:85" ht="20.149999999999999" customHeight="1">
      <c r="B58" s="4" t="s">
        <v>701</v>
      </c>
      <c r="C58" s="4" t="s">
        <v>569</v>
      </c>
      <c r="D58" s="4" t="s">
        <v>824</v>
      </c>
      <c r="E58" s="4" t="s">
        <v>326</v>
      </c>
      <c r="F58" s="73">
        <v>46265</v>
      </c>
      <c r="G58" s="5">
        <v>32</v>
      </c>
      <c r="H58" s="6">
        <v>14720</v>
      </c>
      <c r="R58" s="41" t="s">
        <v>933</v>
      </c>
      <c r="S58" s="41" t="s">
        <v>388</v>
      </c>
      <c r="T58" s="42">
        <v>46114</v>
      </c>
      <c r="U58" s="45">
        <v>142792760</v>
      </c>
      <c r="V58" s="41" t="s">
        <v>899</v>
      </c>
      <c r="W58" s="41" t="s">
        <v>927</v>
      </c>
      <c r="X58" s="41" t="s">
        <v>899</v>
      </c>
      <c r="Y58" s="41"/>
      <c r="Z58" s="41"/>
      <c r="AA58" s="45">
        <v>359680</v>
      </c>
      <c r="AB58" s="41" t="s">
        <v>932</v>
      </c>
      <c r="AD58" s="46" t="s">
        <v>1036</v>
      </c>
      <c r="AE58" s="46" t="s">
        <v>388</v>
      </c>
      <c r="AF58" s="42">
        <v>45831</v>
      </c>
      <c r="AG58" s="96" t="e">
        <f>#REF!</f>
        <v>#REF!</v>
      </c>
      <c r="AH58" s="46" t="s">
        <v>388</v>
      </c>
      <c r="AI58" s="46" t="s">
        <v>862</v>
      </c>
      <c r="AJ58" s="46"/>
      <c r="AK58" s="46" t="s">
        <v>976</v>
      </c>
      <c r="AL58" s="100">
        <v>46077</v>
      </c>
      <c r="AM58" s="44">
        <v>55000</v>
      </c>
      <c r="AN58" s="40" t="s">
        <v>981</v>
      </c>
      <c r="AP58" s="70" t="s">
        <v>1199</v>
      </c>
      <c r="AQ58" s="61" t="s">
        <v>373</v>
      </c>
      <c r="AR58" s="61" t="s">
        <v>388</v>
      </c>
      <c r="AS58" s="68">
        <v>46085</v>
      </c>
      <c r="AT58" s="67"/>
      <c r="AU58" s="56" t="s">
        <v>899</v>
      </c>
      <c r="AV58" s="56" t="s">
        <v>1200</v>
      </c>
      <c r="AW58" s="56" t="s">
        <v>1106</v>
      </c>
      <c r="AX58" s="56"/>
      <c r="AY58" s="62">
        <v>185000</v>
      </c>
      <c r="AZ58" s="63" t="s">
        <v>1201</v>
      </c>
      <c r="BN58" s="74" t="s">
        <v>393</v>
      </c>
      <c r="BO58" s="74" t="s">
        <v>358</v>
      </c>
      <c r="BP58" s="78">
        <v>400</v>
      </c>
      <c r="BQ58" s="74" t="s">
        <v>388</v>
      </c>
      <c r="BR58" s="74" t="s">
        <v>398</v>
      </c>
      <c r="BS58" s="74" t="s">
        <v>389</v>
      </c>
      <c r="BT58" s="74" t="s">
        <v>1230</v>
      </c>
      <c r="BU58" s="74" t="s">
        <v>399</v>
      </c>
      <c r="BV58" s="74"/>
      <c r="BX58" s="74" t="s">
        <v>254</v>
      </c>
      <c r="BY58" s="74" t="s">
        <v>171</v>
      </c>
      <c r="BZ58" s="78">
        <v>12000</v>
      </c>
      <c r="CA58" s="74" t="s">
        <v>388</v>
      </c>
      <c r="CB58" s="74" t="s">
        <v>1249</v>
      </c>
      <c r="CC58" s="74" t="s">
        <v>1226</v>
      </c>
      <c r="CD58" s="41" t="s">
        <v>1257</v>
      </c>
      <c r="CE58" s="41" t="s">
        <v>1250</v>
      </c>
      <c r="CF58" s="41"/>
      <c r="CG58" s="41"/>
    </row>
    <row r="59" spans="2:85" ht="20.149999999999999" customHeight="1">
      <c r="B59" s="4" t="s">
        <v>701</v>
      </c>
      <c r="C59" s="4" t="s">
        <v>569</v>
      </c>
      <c r="D59" s="4" t="s">
        <v>824</v>
      </c>
      <c r="E59" s="4" t="s">
        <v>139</v>
      </c>
      <c r="F59" s="73">
        <v>46265</v>
      </c>
      <c r="G59" s="5">
        <v>1500</v>
      </c>
      <c r="H59" s="6">
        <v>1740000</v>
      </c>
      <c r="R59" s="41" t="s">
        <v>933</v>
      </c>
      <c r="S59" s="41" t="s">
        <v>388</v>
      </c>
      <c r="T59" s="42">
        <v>46115</v>
      </c>
      <c r="U59" s="45">
        <v>594049680</v>
      </c>
      <c r="V59" s="41" t="s">
        <v>899</v>
      </c>
      <c r="W59" s="41" t="s">
        <v>927</v>
      </c>
      <c r="X59" s="41" t="s">
        <v>899</v>
      </c>
      <c r="Y59" s="41"/>
      <c r="Z59" s="41"/>
      <c r="AA59" s="45">
        <v>420120</v>
      </c>
      <c r="AB59" s="41" t="s">
        <v>935</v>
      </c>
      <c r="AD59" s="40" t="s">
        <v>1037</v>
      </c>
      <c r="AE59" s="40" t="s">
        <v>388</v>
      </c>
      <c r="AF59" s="42">
        <v>45831</v>
      </c>
      <c r="AG59" s="96" t="e">
        <f>#REF!</f>
        <v>#REF!</v>
      </c>
      <c r="AH59" s="40" t="s">
        <v>388</v>
      </c>
      <c r="AI59" s="40" t="s">
        <v>862</v>
      </c>
      <c r="AJ59" s="40"/>
      <c r="AK59" s="40" t="s">
        <v>976</v>
      </c>
      <c r="AL59" s="100">
        <v>46098</v>
      </c>
      <c r="AM59" s="44">
        <v>108170</v>
      </c>
      <c r="AN59" s="40" t="s">
        <v>981</v>
      </c>
      <c r="AP59" s="70" t="s">
        <v>1199</v>
      </c>
      <c r="AQ59" s="61" t="s">
        <v>373</v>
      </c>
      <c r="AR59" s="61" t="s">
        <v>388</v>
      </c>
      <c r="AS59" s="68">
        <v>46085</v>
      </c>
      <c r="AT59" s="67"/>
      <c r="AU59" s="56" t="s">
        <v>899</v>
      </c>
      <c r="AV59" s="56" t="s">
        <v>1200</v>
      </c>
      <c r="AW59" s="56" t="s">
        <v>1106</v>
      </c>
      <c r="AX59" s="56"/>
      <c r="AY59" s="62">
        <v>433640</v>
      </c>
      <c r="AZ59" s="63" t="s">
        <v>1202</v>
      </c>
      <c r="BN59" s="74" t="s">
        <v>393</v>
      </c>
      <c r="BO59" s="74" t="s">
        <v>120</v>
      </c>
      <c r="BP59" s="78">
        <v>824</v>
      </c>
      <c r="BQ59" s="74" t="s">
        <v>388</v>
      </c>
      <c r="BR59" s="74" t="s">
        <v>398</v>
      </c>
      <c r="BS59" s="74" t="s">
        <v>389</v>
      </c>
      <c r="BT59" s="74" t="s">
        <v>1230</v>
      </c>
      <c r="BU59" s="74" t="s">
        <v>399</v>
      </c>
      <c r="BV59" s="74"/>
      <c r="BX59" s="74" t="s">
        <v>254</v>
      </c>
      <c r="BY59" s="74" t="s">
        <v>238</v>
      </c>
      <c r="BZ59" s="78">
        <v>12000</v>
      </c>
      <c r="CA59" s="74" t="s">
        <v>388</v>
      </c>
      <c r="CB59" s="74" t="s">
        <v>1249</v>
      </c>
      <c r="CC59" s="74" t="s">
        <v>1226</v>
      </c>
      <c r="CD59" s="41" t="s">
        <v>1257</v>
      </c>
      <c r="CE59" s="41" t="s">
        <v>1250</v>
      </c>
      <c r="CF59" s="41"/>
      <c r="CG59" s="41"/>
    </row>
    <row r="60" spans="2:85" ht="20.149999999999999" customHeight="1">
      <c r="B60" s="4" t="s">
        <v>701</v>
      </c>
      <c r="C60" s="4" t="s">
        <v>569</v>
      </c>
      <c r="D60" s="4" t="s">
        <v>824</v>
      </c>
      <c r="E60" s="4" t="s">
        <v>159</v>
      </c>
      <c r="F60" s="73">
        <v>46265</v>
      </c>
      <c r="G60" s="5">
        <v>1200</v>
      </c>
      <c r="H60" s="6">
        <v>138000</v>
      </c>
      <c r="R60" s="41" t="s">
        <v>662</v>
      </c>
      <c r="S60" s="41" t="s">
        <v>388</v>
      </c>
      <c r="T60" s="42">
        <v>45790</v>
      </c>
      <c r="U60" s="45">
        <v>29400000</v>
      </c>
      <c r="V60" s="41" t="s">
        <v>388</v>
      </c>
      <c r="W60" s="41" t="s">
        <v>862</v>
      </c>
      <c r="X60" s="41" t="s">
        <v>863</v>
      </c>
      <c r="Y60" s="41"/>
      <c r="Z60" s="42">
        <v>46113</v>
      </c>
      <c r="AA60" s="51">
        <v>6500</v>
      </c>
      <c r="AB60" s="41" t="s">
        <v>932</v>
      </c>
      <c r="AD60" s="40" t="s">
        <v>1037</v>
      </c>
      <c r="AE60" s="40" t="s">
        <v>388</v>
      </c>
      <c r="AF60" s="42">
        <v>45831</v>
      </c>
      <c r="AG60" s="96" t="e">
        <f>#REF!</f>
        <v>#REF!</v>
      </c>
      <c r="AH60" s="40" t="s">
        <v>388</v>
      </c>
      <c r="AI60" s="40" t="s">
        <v>862</v>
      </c>
      <c r="AJ60" s="40"/>
      <c r="AK60" s="40" t="s">
        <v>976</v>
      </c>
      <c r="AL60" s="40"/>
      <c r="AM60" s="44">
        <v>16226</v>
      </c>
      <c r="AN60" s="40" t="s">
        <v>981</v>
      </c>
      <c r="AP60" s="70" t="s">
        <v>1199</v>
      </c>
      <c r="AQ60" s="61" t="s">
        <v>373</v>
      </c>
      <c r="AR60" s="61" t="s">
        <v>388</v>
      </c>
      <c r="AS60" s="68">
        <v>46085</v>
      </c>
      <c r="AT60" s="67"/>
      <c r="AU60" s="56" t="s">
        <v>899</v>
      </c>
      <c r="AV60" s="56" t="s">
        <v>1200</v>
      </c>
      <c r="AW60" s="56" t="s">
        <v>1106</v>
      </c>
      <c r="AX60" s="56"/>
      <c r="AY60" s="62">
        <v>1228395</v>
      </c>
      <c r="AZ60" s="63" t="s">
        <v>1203</v>
      </c>
      <c r="BN60" s="74" t="s">
        <v>393</v>
      </c>
      <c r="BO60" s="74" t="s">
        <v>271</v>
      </c>
      <c r="BP60" s="78">
        <v>904</v>
      </c>
      <c r="BQ60" s="74" t="s">
        <v>388</v>
      </c>
      <c r="BR60" s="74" t="s">
        <v>398</v>
      </c>
      <c r="BS60" s="74" t="s">
        <v>389</v>
      </c>
      <c r="BT60" s="74" t="s">
        <v>1230</v>
      </c>
      <c r="BU60" s="74" t="s">
        <v>399</v>
      </c>
      <c r="BV60" s="74"/>
      <c r="BX60" s="74" t="s">
        <v>254</v>
      </c>
      <c r="BY60" s="74" t="s">
        <v>171</v>
      </c>
      <c r="BZ60" s="78">
        <v>5</v>
      </c>
      <c r="CA60" s="74" t="s">
        <v>388</v>
      </c>
      <c r="CB60" s="74" t="s">
        <v>1249</v>
      </c>
      <c r="CC60" s="74" t="s">
        <v>1226</v>
      </c>
      <c r="CD60" s="41" t="s">
        <v>1254</v>
      </c>
      <c r="CE60" s="41" t="s">
        <v>1250</v>
      </c>
      <c r="CF60" s="41"/>
      <c r="CG60" s="41"/>
    </row>
    <row r="61" spans="2:85" ht="20.149999999999999" customHeight="1">
      <c r="B61" s="4" t="s">
        <v>692</v>
      </c>
      <c r="C61" s="4" t="s">
        <v>569</v>
      </c>
      <c r="D61" s="4" t="s">
        <v>828</v>
      </c>
      <c r="E61" s="4" t="s">
        <v>358</v>
      </c>
      <c r="F61" s="73">
        <v>46265</v>
      </c>
      <c r="G61" s="5">
        <v>13</v>
      </c>
      <c r="H61" s="6">
        <v>69957.63</v>
      </c>
      <c r="R61" s="41" t="s">
        <v>662</v>
      </c>
      <c r="S61" s="41" t="s">
        <v>388</v>
      </c>
      <c r="T61" s="42">
        <v>45790</v>
      </c>
      <c r="U61" s="45"/>
      <c r="V61" s="41" t="s">
        <v>388</v>
      </c>
      <c r="W61" s="41" t="s">
        <v>862</v>
      </c>
      <c r="X61" s="41" t="s">
        <v>863</v>
      </c>
      <c r="Y61" s="41"/>
      <c r="Z61" s="42">
        <v>46113</v>
      </c>
      <c r="AA61" s="51">
        <v>6500</v>
      </c>
      <c r="AB61" s="41" t="s">
        <v>932</v>
      </c>
      <c r="AD61" s="46" t="s">
        <v>1038</v>
      </c>
      <c r="AE61" s="46" t="s">
        <v>388</v>
      </c>
      <c r="AF61" s="42">
        <v>45831</v>
      </c>
      <c r="AG61" s="96" t="e">
        <f>#REF!</f>
        <v>#REF!</v>
      </c>
      <c r="AH61" s="46" t="s">
        <v>388</v>
      </c>
      <c r="AI61" s="46" t="s">
        <v>862</v>
      </c>
      <c r="AJ61" s="46"/>
      <c r="AK61" s="46" t="s">
        <v>976</v>
      </c>
      <c r="AL61" s="46"/>
      <c r="AM61" s="44">
        <v>46200</v>
      </c>
      <c r="AN61" s="40" t="s">
        <v>981</v>
      </c>
      <c r="AP61" s="69" t="s">
        <v>1205</v>
      </c>
      <c r="AQ61" s="56" t="s">
        <v>1206</v>
      </c>
      <c r="AR61" s="56" t="s">
        <v>388</v>
      </c>
      <c r="AS61" s="42">
        <v>45754</v>
      </c>
      <c r="AT61" s="60">
        <v>1523026.2102000001</v>
      </c>
      <c r="AU61" s="56" t="s">
        <v>899</v>
      </c>
      <c r="AV61" s="56" t="s">
        <v>1200</v>
      </c>
      <c r="AW61" s="56" t="s">
        <v>1106</v>
      </c>
      <c r="AX61" s="56"/>
      <c r="AY61" s="62">
        <v>407967</v>
      </c>
      <c r="AZ61" s="61" t="s">
        <v>1197</v>
      </c>
      <c r="BN61" s="74" t="s">
        <v>393</v>
      </c>
      <c r="BO61" s="74" t="s">
        <v>441</v>
      </c>
      <c r="BP61" s="78">
        <v>200</v>
      </c>
      <c r="BQ61" s="74" t="s">
        <v>388</v>
      </c>
      <c r="BR61" s="74" t="s">
        <v>398</v>
      </c>
      <c r="BS61" s="74" t="s">
        <v>389</v>
      </c>
      <c r="BT61" s="74" t="s">
        <v>1230</v>
      </c>
      <c r="BU61" s="74" t="s">
        <v>399</v>
      </c>
      <c r="BV61" s="74"/>
      <c r="BX61" s="74" t="s">
        <v>254</v>
      </c>
      <c r="BY61" s="74" t="s">
        <v>171</v>
      </c>
      <c r="BZ61" s="78">
        <v>137995</v>
      </c>
      <c r="CA61" s="74" t="s">
        <v>388</v>
      </c>
      <c r="CB61" s="74" t="s">
        <v>1249</v>
      </c>
      <c r="CC61" s="74" t="s">
        <v>1226</v>
      </c>
      <c r="CD61" s="41" t="s">
        <v>1254</v>
      </c>
      <c r="CE61" s="41" t="s">
        <v>1250</v>
      </c>
      <c r="CF61" s="41"/>
      <c r="CG61" s="41"/>
    </row>
    <row r="62" spans="2:85" ht="20.149999999999999" customHeight="1">
      <c r="B62" s="4" t="s">
        <v>692</v>
      </c>
      <c r="C62" s="4" t="s">
        <v>569</v>
      </c>
      <c r="D62" s="4" t="s">
        <v>828</v>
      </c>
      <c r="E62" s="4" t="s">
        <v>120</v>
      </c>
      <c r="F62" s="73">
        <v>46265</v>
      </c>
      <c r="G62" s="5">
        <v>6</v>
      </c>
      <c r="H62" s="6">
        <v>32288.14</v>
      </c>
      <c r="R62" s="41" t="s">
        <v>662</v>
      </c>
      <c r="S62" s="41" t="s">
        <v>388</v>
      </c>
      <c r="T62" s="42">
        <v>45790</v>
      </c>
      <c r="U62" s="45"/>
      <c r="V62" s="41" t="s">
        <v>388</v>
      </c>
      <c r="W62" s="41" t="s">
        <v>862</v>
      </c>
      <c r="X62" s="41" t="s">
        <v>863</v>
      </c>
      <c r="Y62" s="41"/>
      <c r="Z62" s="42">
        <v>46123</v>
      </c>
      <c r="AA62" s="51">
        <v>6500</v>
      </c>
      <c r="AB62" s="41" t="s">
        <v>932</v>
      </c>
      <c r="AD62" s="40" t="s">
        <v>1039</v>
      </c>
      <c r="AE62" s="40" t="s">
        <v>388</v>
      </c>
      <c r="AF62" s="42">
        <v>45831</v>
      </c>
      <c r="AG62" s="96" t="e">
        <f>#REF!</f>
        <v>#REF!</v>
      </c>
      <c r="AH62" s="40" t="s">
        <v>388</v>
      </c>
      <c r="AI62" s="40" t="s">
        <v>862</v>
      </c>
      <c r="AJ62" s="40"/>
      <c r="AK62" s="40" t="s">
        <v>976</v>
      </c>
      <c r="AL62" s="40"/>
      <c r="AM62" s="44">
        <v>119100</v>
      </c>
      <c r="AN62" s="40" t="s">
        <v>981</v>
      </c>
      <c r="AP62" s="69" t="s">
        <v>1205</v>
      </c>
      <c r="AQ62" s="56" t="s">
        <v>1206</v>
      </c>
      <c r="AR62" s="56" t="s">
        <v>388</v>
      </c>
      <c r="AS62" s="42">
        <v>45754</v>
      </c>
      <c r="AT62" s="60"/>
      <c r="AU62" s="56" t="s">
        <v>899</v>
      </c>
      <c r="AV62" s="56" t="s">
        <v>1200</v>
      </c>
      <c r="AW62" s="56" t="s">
        <v>1106</v>
      </c>
      <c r="AX62" s="56"/>
      <c r="AY62" s="62">
        <v>438830</v>
      </c>
      <c r="AZ62" s="61" t="s">
        <v>1207</v>
      </c>
      <c r="BN62" s="74" t="s">
        <v>393</v>
      </c>
      <c r="BO62" s="74" t="s">
        <v>424</v>
      </c>
      <c r="BP62" s="78">
        <v>56</v>
      </c>
      <c r="BQ62" s="74" t="s">
        <v>388</v>
      </c>
      <c r="BR62" s="74" t="s">
        <v>398</v>
      </c>
      <c r="BS62" s="74" t="s">
        <v>389</v>
      </c>
      <c r="BT62" s="74" t="s">
        <v>1230</v>
      </c>
      <c r="BU62" s="74" t="s">
        <v>399</v>
      </c>
      <c r="BV62" s="74"/>
      <c r="BX62" s="74" t="s">
        <v>254</v>
      </c>
      <c r="BY62" s="74" t="s">
        <v>171</v>
      </c>
      <c r="BZ62" s="78">
        <v>150000</v>
      </c>
      <c r="CA62" s="74" t="s">
        <v>388</v>
      </c>
      <c r="CB62" s="74" t="s">
        <v>1249</v>
      </c>
      <c r="CC62" s="74" t="s">
        <v>1226</v>
      </c>
      <c r="CD62" s="41" t="s">
        <v>1254</v>
      </c>
      <c r="CE62" s="41" t="s">
        <v>1250</v>
      </c>
      <c r="CF62" s="41"/>
      <c r="CG62" s="41"/>
    </row>
    <row r="63" spans="2:85" ht="20.149999999999999" customHeight="1">
      <c r="B63" s="4" t="s">
        <v>692</v>
      </c>
      <c r="C63" s="4" t="s">
        <v>569</v>
      </c>
      <c r="D63" s="4" t="s">
        <v>828</v>
      </c>
      <c r="E63" s="4" t="s">
        <v>441</v>
      </c>
      <c r="F63" s="73">
        <v>46265</v>
      </c>
      <c r="G63" s="5">
        <v>3</v>
      </c>
      <c r="H63" s="6">
        <v>16144.07</v>
      </c>
      <c r="R63" s="41" t="s">
        <v>662</v>
      </c>
      <c r="S63" s="41" t="s">
        <v>388</v>
      </c>
      <c r="T63" s="42">
        <v>45790</v>
      </c>
      <c r="U63" s="45"/>
      <c r="V63" s="41" t="s">
        <v>388</v>
      </c>
      <c r="W63" s="41" t="s">
        <v>862</v>
      </c>
      <c r="X63" s="41" t="s">
        <v>863</v>
      </c>
      <c r="Y63" s="41"/>
      <c r="Z63" s="42">
        <v>46123</v>
      </c>
      <c r="AA63" s="51">
        <v>5000</v>
      </c>
      <c r="AB63" s="41" t="s">
        <v>932</v>
      </c>
      <c r="AD63" s="40" t="s">
        <v>1039</v>
      </c>
      <c r="AE63" s="40" t="s">
        <v>388</v>
      </c>
      <c r="AF63" s="42">
        <v>45831</v>
      </c>
      <c r="AG63" s="96" t="e">
        <f>#REF!</f>
        <v>#REF!</v>
      </c>
      <c r="AH63" s="40" t="s">
        <v>388</v>
      </c>
      <c r="AI63" s="40" t="s">
        <v>862</v>
      </c>
      <c r="AJ63" s="40"/>
      <c r="AK63" s="40" t="s">
        <v>976</v>
      </c>
      <c r="AL63" s="40"/>
      <c r="AM63" s="44">
        <v>20000</v>
      </c>
      <c r="AN63" s="40" t="s">
        <v>981</v>
      </c>
      <c r="AP63" s="69" t="s">
        <v>1205</v>
      </c>
      <c r="AQ63" s="56" t="s">
        <v>1206</v>
      </c>
      <c r="AR63" s="56" t="s">
        <v>388</v>
      </c>
      <c r="AS63" s="42">
        <v>45754</v>
      </c>
      <c r="AT63" s="60"/>
      <c r="AU63" s="56" t="s">
        <v>899</v>
      </c>
      <c r="AV63" s="56" t="s">
        <v>1200</v>
      </c>
      <c r="AW63" s="56" t="s">
        <v>1106</v>
      </c>
      <c r="AX63" s="56"/>
      <c r="AY63" s="62">
        <v>441657</v>
      </c>
      <c r="AZ63" s="61" t="s">
        <v>1203</v>
      </c>
      <c r="BN63" s="74" t="s">
        <v>393</v>
      </c>
      <c r="BO63" s="74" t="s">
        <v>270</v>
      </c>
      <c r="BP63" s="78">
        <v>96</v>
      </c>
      <c r="BQ63" s="74" t="s">
        <v>388</v>
      </c>
      <c r="BR63" s="74" t="s">
        <v>398</v>
      </c>
      <c r="BS63" s="74" t="s">
        <v>389</v>
      </c>
      <c r="BT63" s="74" t="s">
        <v>1230</v>
      </c>
      <c r="BU63" s="74" t="s">
        <v>399</v>
      </c>
      <c r="BV63" s="74"/>
      <c r="BX63" s="74" t="s">
        <v>254</v>
      </c>
      <c r="BY63" s="74" t="s">
        <v>238</v>
      </c>
      <c r="BZ63" s="78">
        <v>140000</v>
      </c>
      <c r="CA63" s="74" t="s">
        <v>388</v>
      </c>
      <c r="CB63" s="74" t="s">
        <v>1249</v>
      </c>
      <c r="CC63" s="74" t="s">
        <v>1226</v>
      </c>
      <c r="CD63" s="41" t="s">
        <v>1254</v>
      </c>
      <c r="CE63" s="41" t="s">
        <v>1250</v>
      </c>
      <c r="CF63" s="41"/>
      <c r="CG63" s="41"/>
    </row>
    <row r="64" spans="2:85" ht="20.149999999999999" customHeight="1">
      <c r="B64" s="4" t="s">
        <v>692</v>
      </c>
      <c r="C64" s="4" t="s">
        <v>569</v>
      </c>
      <c r="D64" s="4" t="s">
        <v>828</v>
      </c>
      <c r="E64" s="4" t="s">
        <v>271</v>
      </c>
      <c r="F64" s="73">
        <v>46265</v>
      </c>
      <c r="G64" s="5">
        <v>24</v>
      </c>
      <c r="H64" s="6">
        <v>129152.54</v>
      </c>
      <c r="R64" s="41" t="s">
        <v>662</v>
      </c>
      <c r="S64" s="41" t="s">
        <v>388</v>
      </c>
      <c r="T64" s="42">
        <v>45790</v>
      </c>
      <c r="U64" s="45"/>
      <c r="V64" s="41" t="s">
        <v>388</v>
      </c>
      <c r="W64" s="41" t="s">
        <v>862</v>
      </c>
      <c r="X64" s="41" t="s">
        <v>863</v>
      </c>
      <c r="Y64" s="41"/>
      <c r="Z64" s="42">
        <v>46004</v>
      </c>
      <c r="AA64" s="51">
        <v>5000</v>
      </c>
      <c r="AB64" s="41" t="s">
        <v>943</v>
      </c>
      <c r="AD64" s="46" t="s">
        <v>1040</v>
      </c>
      <c r="AE64" s="46" t="s">
        <v>388</v>
      </c>
      <c r="AF64" s="42">
        <v>45831</v>
      </c>
      <c r="AG64" s="96" t="e">
        <f>#REF!</f>
        <v>#REF!</v>
      </c>
      <c r="AH64" s="46" t="s">
        <v>388</v>
      </c>
      <c r="AI64" s="46" t="s">
        <v>862</v>
      </c>
      <c r="AJ64" s="46"/>
      <c r="AK64" s="46" t="s">
        <v>976</v>
      </c>
      <c r="AL64" s="46" t="s">
        <v>1041</v>
      </c>
      <c r="AM64" s="44">
        <v>154560</v>
      </c>
      <c r="AN64" s="40" t="s">
        <v>981</v>
      </c>
      <c r="AP64" s="70" t="s">
        <v>1150</v>
      </c>
      <c r="AQ64" s="61" t="s">
        <v>373</v>
      </c>
      <c r="AR64" s="61" t="s">
        <v>388</v>
      </c>
      <c r="AS64" s="68">
        <v>46030</v>
      </c>
      <c r="AT64" s="67">
        <v>1000000</v>
      </c>
      <c r="AU64" s="56" t="s">
        <v>899</v>
      </c>
      <c r="AV64" s="56" t="s">
        <v>1208</v>
      </c>
      <c r="AW64" s="56" t="s">
        <v>1209</v>
      </c>
      <c r="AX64" s="56"/>
      <c r="AY64" s="62">
        <v>151000</v>
      </c>
      <c r="AZ64" s="61" t="s">
        <v>1210</v>
      </c>
      <c r="BN64" s="74" t="s">
        <v>393</v>
      </c>
      <c r="BO64" s="74" t="s">
        <v>357</v>
      </c>
      <c r="BP64" s="78">
        <v>176</v>
      </c>
      <c r="BQ64" s="74" t="s">
        <v>388</v>
      </c>
      <c r="BR64" s="74" t="s">
        <v>398</v>
      </c>
      <c r="BS64" s="74" t="s">
        <v>389</v>
      </c>
      <c r="BT64" s="74" t="s">
        <v>1230</v>
      </c>
      <c r="BU64" s="74" t="s">
        <v>399</v>
      </c>
      <c r="BV64" s="74"/>
      <c r="BX64" s="74" t="s">
        <v>254</v>
      </c>
      <c r="BY64" s="74" t="s">
        <v>238</v>
      </c>
      <c r="BZ64" s="78">
        <v>140000</v>
      </c>
      <c r="CA64" s="74" t="s">
        <v>388</v>
      </c>
      <c r="CB64" s="74" t="s">
        <v>1249</v>
      </c>
      <c r="CC64" s="74" t="s">
        <v>1226</v>
      </c>
      <c r="CD64" s="41" t="s">
        <v>1254</v>
      </c>
      <c r="CE64" s="41" t="s">
        <v>1250</v>
      </c>
      <c r="CF64" s="41"/>
      <c r="CG64" s="41"/>
    </row>
    <row r="65" spans="2:85" ht="20.149999999999999" customHeight="1">
      <c r="B65" s="4" t="s">
        <v>671</v>
      </c>
      <c r="C65" s="4" t="s">
        <v>569</v>
      </c>
      <c r="D65" s="4" t="s">
        <v>828</v>
      </c>
      <c r="E65" s="4" t="s">
        <v>424</v>
      </c>
      <c r="F65" s="73">
        <v>46265</v>
      </c>
      <c r="G65" s="5">
        <v>16</v>
      </c>
      <c r="H65" s="6">
        <v>88135.59</v>
      </c>
      <c r="R65" s="41" t="s">
        <v>662</v>
      </c>
      <c r="S65" s="41" t="s">
        <v>388</v>
      </c>
      <c r="T65" s="42">
        <v>45790</v>
      </c>
      <c r="U65" s="45"/>
      <c r="V65" s="41" t="s">
        <v>388</v>
      </c>
      <c r="W65" s="41" t="s">
        <v>862</v>
      </c>
      <c r="X65" s="41" t="s">
        <v>863</v>
      </c>
      <c r="Y65" s="41"/>
      <c r="Z65" s="42">
        <v>46126</v>
      </c>
      <c r="AA65" s="51">
        <v>6500</v>
      </c>
      <c r="AB65" s="41" t="s">
        <v>943</v>
      </c>
      <c r="AD65" s="46" t="s">
        <v>1040</v>
      </c>
      <c r="AE65" s="46" t="s">
        <v>388</v>
      </c>
      <c r="AF65" s="42">
        <v>45831</v>
      </c>
      <c r="AG65" s="96" t="e">
        <f>#REF!</f>
        <v>#REF!</v>
      </c>
      <c r="AH65" s="46" t="s">
        <v>388</v>
      </c>
      <c r="AI65" s="46" t="s">
        <v>862</v>
      </c>
      <c r="AJ65" s="46"/>
      <c r="AK65" s="46" t="s">
        <v>976</v>
      </c>
      <c r="AL65" s="46"/>
      <c r="AM65" s="44">
        <v>23184</v>
      </c>
      <c r="AN65" s="40" t="s">
        <v>981</v>
      </c>
      <c r="AP65" s="70" t="s">
        <v>1140</v>
      </c>
      <c r="AQ65" s="61" t="s">
        <v>373</v>
      </c>
      <c r="AR65" s="61" t="s">
        <v>388</v>
      </c>
      <c r="AS65" s="68">
        <v>46122</v>
      </c>
      <c r="AT65" s="67">
        <v>1375000</v>
      </c>
      <c r="AU65" s="56" t="s">
        <v>899</v>
      </c>
      <c r="AV65" s="56" t="s">
        <v>1211</v>
      </c>
      <c r="AW65" s="56" t="s">
        <v>1106</v>
      </c>
      <c r="AX65" s="56"/>
      <c r="AY65" s="62">
        <v>10000</v>
      </c>
      <c r="AZ65" s="61" t="s">
        <v>1212</v>
      </c>
      <c r="BN65" s="74" t="s">
        <v>393</v>
      </c>
      <c r="BO65" s="74" t="s">
        <v>120</v>
      </c>
      <c r="BP65" s="78">
        <v>8</v>
      </c>
      <c r="BQ65" s="74" t="s">
        <v>388</v>
      </c>
      <c r="BR65" s="74" t="s">
        <v>398</v>
      </c>
      <c r="BS65" s="74" t="s">
        <v>389</v>
      </c>
      <c r="BT65" s="74" t="s">
        <v>1230</v>
      </c>
      <c r="BU65" s="74" t="s">
        <v>399</v>
      </c>
      <c r="BV65" s="74"/>
      <c r="BX65" s="74" t="s">
        <v>254</v>
      </c>
      <c r="BY65" s="74" t="s">
        <v>238</v>
      </c>
      <c r="BZ65" s="78">
        <v>8000</v>
      </c>
      <c r="CA65" s="74" t="s">
        <v>388</v>
      </c>
      <c r="CB65" s="74" t="s">
        <v>1249</v>
      </c>
      <c r="CC65" s="74" t="s">
        <v>1226</v>
      </c>
      <c r="CD65" s="41" t="s">
        <v>1254</v>
      </c>
      <c r="CE65" s="41" t="s">
        <v>1250</v>
      </c>
      <c r="CF65" s="41"/>
      <c r="CG65" s="41"/>
    </row>
    <row r="66" spans="2:85" ht="20.149999999999999" customHeight="1">
      <c r="B66" s="4" t="s">
        <v>671</v>
      </c>
      <c r="C66" s="4" t="s">
        <v>569</v>
      </c>
      <c r="D66" s="4" t="s">
        <v>828</v>
      </c>
      <c r="E66" s="4" t="s">
        <v>125</v>
      </c>
      <c r="F66" s="73">
        <v>46265</v>
      </c>
      <c r="G66" s="5">
        <v>850</v>
      </c>
      <c r="H66" s="6">
        <v>93644.07</v>
      </c>
      <c r="R66" s="41" t="s">
        <v>662</v>
      </c>
      <c r="S66" s="41" t="s">
        <v>388</v>
      </c>
      <c r="T66" s="42">
        <v>45790</v>
      </c>
      <c r="U66" s="45"/>
      <c r="V66" s="41" t="s">
        <v>388</v>
      </c>
      <c r="W66" s="41" t="s">
        <v>862</v>
      </c>
      <c r="X66" s="41" t="s">
        <v>863</v>
      </c>
      <c r="Y66" s="41"/>
      <c r="Z66" s="42">
        <v>45958</v>
      </c>
      <c r="AA66" s="51">
        <v>1500</v>
      </c>
      <c r="AB66" s="41" t="s">
        <v>946</v>
      </c>
      <c r="AD66" s="40" t="s">
        <v>1042</v>
      </c>
      <c r="AE66" s="40" t="s">
        <v>388</v>
      </c>
      <c r="AF66" s="42">
        <v>45831</v>
      </c>
      <c r="AG66" s="96" t="e">
        <f>#REF!</f>
        <v>#REF!</v>
      </c>
      <c r="AH66" s="40" t="s">
        <v>388</v>
      </c>
      <c r="AI66" s="40" t="s">
        <v>862</v>
      </c>
      <c r="AJ66" s="40"/>
      <c r="AK66" s="40" t="s">
        <v>976</v>
      </c>
      <c r="AL66" s="40"/>
      <c r="AM66" s="44">
        <v>66815</v>
      </c>
      <c r="AN66" s="40" t="s">
        <v>981</v>
      </c>
      <c r="AP66" s="70" t="s">
        <v>1140</v>
      </c>
      <c r="AQ66" s="61" t="s">
        <v>373</v>
      </c>
      <c r="AR66" s="61" t="s">
        <v>388</v>
      </c>
      <c r="AS66" s="68">
        <v>46030</v>
      </c>
      <c r="AT66" s="67"/>
      <c r="AU66" s="56" t="s">
        <v>899</v>
      </c>
      <c r="AV66" s="56" t="s">
        <v>1211</v>
      </c>
      <c r="AW66" s="56" t="s">
        <v>1106</v>
      </c>
      <c r="AX66" s="56"/>
      <c r="AY66" s="62">
        <v>400000</v>
      </c>
      <c r="AZ66" s="61" t="s">
        <v>1213</v>
      </c>
      <c r="BN66" s="74" t="s">
        <v>489</v>
      </c>
      <c r="BO66" s="74" t="s">
        <v>125</v>
      </c>
      <c r="BP66" s="78">
        <v>633</v>
      </c>
      <c r="BQ66" s="74" t="s">
        <v>388</v>
      </c>
      <c r="BR66" s="74" t="s">
        <v>461</v>
      </c>
      <c r="BS66" s="74" t="s">
        <v>389</v>
      </c>
      <c r="BT66" s="74" t="s">
        <v>1286</v>
      </c>
      <c r="BU66" s="74" t="s">
        <v>462</v>
      </c>
      <c r="BV66" s="74"/>
      <c r="BX66" s="74" t="s">
        <v>267</v>
      </c>
      <c r="BY66" s="74" t="s">
        <v>115</v>
      </c>
      <c r="BZ66" s="78">
        <v>80000</v>
      </c>
      <c r="CA66" s="74" t="s">
        <v>388</v>
      </c>
      <c r="CB66" s="74" t="s">
        <v>1249</v>
      </c>
      <c r="CC66" s="74" t="s">
        <v>1226</v>
      </c>
      <c r="CD66" s="41" t="s">
        <v>1259</v>
      </c>
      <c r="CE66" s="41" t="s">
        <v>1258</v>
      </c>
      <c r="CF66" s="41"/>
      <c r="CG66" s="41"/>
    </row>
    <row r="67" spans="2:85" ht="20.149999999999999" customHeight="1">
      <c r="B67" s="4" t="s">
        <v>671</v>
      </c>
      <c r="C67" s="4" t="s">
        <v>569</v>
      </c>
      <c r="D67" s="4" t="s">
        <v>828</v>
      </c>
      <c r="E67" s="4" t="s">
        <v>125</v>
      </c>
      <c r="F67" s="73">
        <v>46265</v>
      </c>
      <c r="G67" s="5">
        <v>650</v>
      </c>
      <c r="H67" s="6">
        <v>71610.17</v>
      </c>
      <c r="R67" s="41" t="s">
        <v>662</v>
      </c>
      <c r="S67" s="41" t="s">
        <v>388</v>
      </c>
      <c r="T67" s="42">
        <v>45790</v>
      </c>
      <c r="U67" s="45"/>
      <c r="V67" s="41" t="s">
        <v>388</v>
      </c>
      <c r="W67" s="41" t="s">
        <v>862</v>
      </c>
      <c r="X67" s="41" t="s">
        <v>863</v>
      </c>
      <c r="Y67" s="41"/>
      <c r="Z67" s="42">
        <v>46039</v>
      </c>
      <c r="AA67" s="51">
        <v>5000</v>
      </c>
      <c r="AB67" s="41" t="s">
        <v>946</v>
      </c>
      <c r="AD67" s="46" t="s">
        <v>1043</v>
      </c>
      <c r="AE67" s="46" t="s">
        <v>388</v>
      </c>
      <c r="AF67" s="42">
        <v>45831</v>
      </c>
      <c r="AG67" s="96" t="e">
        <f>#REF!</f>
        <v>#REF!</v>
      </c>
      <c r="AH67" s="46" t="s">
        <v>388</v>
      </c>
      <c r="AI67" s="46" t="s">
        <v>862</v>
      </c>
      <c r="AJ67" s="46"/>
      <c r="AK67" s="46" t="s">
        <v>976</v>
      </c>
      <c r="AL67" s="46"/>
      <c r="AM67" s="44">
        <v>62000</v>
      </c>
      <c r="AN67" s="40" t="s">
        <v>981</v>
      </c>
      <c r="AP67" s="70" t="s">
        <v>1140</v>
      </c>
      <c r="AQ67" s="61" t="s">
        <v>373</v>
      </c>
      <c r="AR67" s="61" t="s">
        <v>388</v>
      </c>
      <c r="AS67" s="68">
        <v>46030</v>
      </c>
      <c r="AT67" s="67"/>
      <c r="AU67" s="56" t="s">
        <v>899</v>
      </c>
      <c r="AV67" s="56" t="s">
        <v>1211</v>
      </c>
      <c r="AW67" s="56" t="s">
        <v>1106</v>
      </c>
      <c r="AX67" s="56"/>
      <c r="AY67" s="62">
        <v>40000</v>
      </c>
      <c r="AZ67" s="61" t="s">
        <v>1214</v>
      </c>
      <c r="BN67" s="74" t="s">
        <v>489</v>
      </c>
      <c r="BO67" s="74" t="s">
        <v>125</v>
      </c>
      <c r="BP67" s="78">
        <v>75000</v>
      </c>
      <c r="BQ67" s="74" t="s">
        <v>388</v>
      </c>
      <c r="BR67" s="74" t="s">
        <v>461</v>
      </c>
      <c r="BS67" s="74" t="s">
        <v>389</v>
      </c>
      <c r="BT67" s="74" t="s">
        <v>1286</v>
      </c>
      <c r="BU67" s="74" t="s">
        <v>462</v>
      </c>
      <c r="BV67" s="74"/>
      <c r="BX67" s="74" t="s">
        <v>267</v>
      </c>
      <c r="BY67" s="74" t="s">
        <v>238</v>
      </c>
      <c r="BZ67" s="78">
        <v>76000</v>
      </c>
      <c r="CA67" s="74" t="s">
        <v>388</v>
      </c>
      <c r="CB67" s="74" t="s">
        <v>1249</v>
      </c>
      <c r="CC67" s="74" t="s">
        <v>1226</v>
      </c>
      <c r="CD67" s="41" t="s">
        <v>1259</v>
      </c>
      <c r="CE67" s="41" t="s">
        <v>1258</v>
      </c>
      <c r="CF67" s="41"/>
      <c r="CG67" s="41"/>
    </row>
    <row r="68" spans="2:85" ht="20.149999999999999" customHeight="1">
      <c r="B68" s="4" t="s">
        <v>671</v>
      </c>
      <c r="C68" s="4" t="s">
        <v>569</v>
      </c>
      <c r="D68" s="4" t="s">
        <v>828</v>
      </c>
      <c r="E68" s="4" t="s">
        <v>1642</v>
      </c>
      <c r="F68" s="73">
        <v>46265</v>
      </c>
      <c r="G68" s="5">
        <v>1500</v>
      </c>
      <c r="H68" s="6">
        <v>75000</v>
      </c>
      <c r="R68" s="41" t="s">
        <v>662</v>
      </c>
      <c r="S68" s="41" t="s">
        <v>388</v>
      </c>
      <c r="T68" s="42">
        <v>45790</v>
      </c>
      <c r="U68" s="45"/>
      <c r="V68" s="41" t="s">
        <v>388</v>
      </c>
      <c r="W68" s="41" t="s">
        <v>862</v>
      </c>
      <c r="X68" s="41" t="s">
        <v>863</v>
      </c>
      <c r="Y68" s="41"/>
      <c r="Z68" s="42"/>
      <c r="AA68" s="51">
        <v>5000</v>
      </c>
      <c r="AB68" s="41" t="s">
        <v>946</v>
      </c>
      <c r="AD68" s="40" t="s">
        <v>1044</v>
      </c>
      <c r="AE68" s="40" t="s">
        <v>388</v>
      </c>
      <c r="AF68" s="42">
        <v>45831</v>
      </c>
      <c r="AG68" s="96" t="e">
        <f>#REF!</f>
        <v>#REF!</v>
      </c>
      <c r="AH68" s="40" t="s">
        <v>388</v>
      </c>
      <c r="AI68" s="40" t="s">
        <v>862</v>
      </c>
      <c r="AJ68" s="40"/>
      <c r="AK68" s="40" t="s">
        <v>976</v>
      </c>
      <c r="AL68" s="40" t="s">
        <v>1045</v>
      </c>
      <c r="AM68" s="44">
        <v>58420</v>
      </c>
      <c r="AN68" s="40" t="s">
        <v>981</v>
      </c>
      <c r="AP68" s="70" t="s">
        <v>1140</v>
      </c>
      <c r="AQ68" s="61" t="s">
        <v>373</v>
      </c>
      <c r="AR68" s="61" t="s">
        <v>388</v>
      </c>
      <c r="AS68" s="68">
        <v>46030</v>
      </c>
      <c r="AT68" s="67"/>
      <c r="AU68" s="56" t="s">
        <v>899</v>
      </c>
      <c r="AV68" s="56" t="s">
        <v>1211</v>
      </c>
      <c r="AW68" s="56" t="s">
        <v>1106</v>
      </c>
      <c r="AX68" s="56"/>
      <c r="AY68" s="62">
        <v>30000</v>
      </c>
      <c r="AZ68" s="61" t="s">
        <v>1215</v>
      </c>
      <c r="BN68" s="74" t="s">
        <v>489</v>
      </c>
      <c r="BO68" s="74" t="s">
        <v>125</v>
      </c>
      <c r="BP68" s="78">
        <v>50000</v>
      </c>
      <c r="BQ68" s="74" t="s">
        <v>388</v>
      </c>
      <c r="BR68" s="74" t="s">
        <v>461</v>
      </c>
      <c r="BS68" s="74" t="s">
        <v>389</v>
      </c>
      <c r="BT68" s="74" t="s">
        <v>1286</v>
      </c>
      <c r="BU68" s="74" t="s">
        <v>462</v>
      </c>
      <c r="BV68" s="74"/>
      <c r="BX68" s="74" t="s">
        <v>272</v>
      </c>
      <c r="BY68" s="74" t="s">
        <v>139</v>
      </c>
      <c r="BZ68" s="78">
        <v>376</v>
      </c>
      <c r="CA68" s="74" t="s">
        <v>388</v>
      </c>
      <c r="CB68" s="74" t="s">
        <v>1261</v>
      </c>
      <c r="CC68" s="74" t="s">
        <v>1260</v>
      </c>
      <c r="CD68" s="41" t="s">
        <v>1262</v>
      </c>
      <c r="CE68" s="41" t="s">
        <v>1249</v>
      </c>
      <c r="CF68" s="41"/>
      <c r="CG68" s="41"/>
    </row>
    <row r="69" spans="2:85" ht="20.149999999999999" customHeight="1">
      <c r="B69" s="4" t="s">
        <v>725</v>
      </c>
      <c r="C69" s="4" t="s">
        <v>569</v>
      </c>
      <c r="D69" s="4" t="s">
        <v>828</v>
      </c>
      <c r="E69" s="4" t="s">
        <v>771</v>
      </c>
      <c r="F69" s="73">
        <v>46265</v>
      </c>
      <c r="G69" s="5">
        <v>2000</v>
      </c>
      <c r="H69" s="6">
        <v>110000</v>
      </c>
      <c r="R69" s="41" t="s">
        <v>948</v>
      </c>
      <c r="S69" s="41" t="s">
        <v>388</v>
      </c>
      <c r="T69" s="42">
        <v>45885</v>
      </c>
      <c r="U69" s="45">
        <v>1369200</v>
      </c>
      <c r="V69" s="41" t="s">
        <v>388</v>
      </c>
      <c r="W69" s="41" t="s">
        <v>862</v>
      </c>
      <c r="X69" s="41" t="s">
        <v>863</v>
      </c>
      <c r="Y69" s="41"/>
      <c r="Z69" s="41"/>
      <c r="AA69" s="41">
        <v>500</v>
      </c>
      <c r="AB69" s="41" t="s">
        <v>932</v>
      </c>
      <c r="AD69" s="40" t="s">
        <v>1044</v>
      </c>
      <c r="AE69" s="40" t="s">
        <v>388</v>
      </c>
      <c r="AF69" s="42">
        <v>45831</v>
      </c>
      <c r="AG69" s="96" t="e">
        <f>#REF!</f>
        <v>#REF!</v>
      </c>
      <c r="AH69" s="40" t="s">
        <v>388</v>
      </c>
      <c r="AI69" s="40" t="s">
        <v>862</v>
      </c>
      <c r="AJ69" s="40"/>
      <c r="AK69" s="40" t="s">
        <v>976</v>
      </c>
      <c r="AL69" s="40" t="s">
        <v>1046</v>
      </c>
      <c r="AM69" s="44">
        <v>8700</v>
      </c>
      <c r="AN69" s="40" t="s">
        <v>981</v>
      </c>
      <c r="AP69" s="70" t="s">
        <v>1140</v>
      </c>
      <c r="AQ69" s="61" t="s">
        <v>373</v>
      </c>
      <c r="AR69" s="61" t="s">
        <v>388</v>
      </c>
      <c r="AS69" s="68">
        <v>46030</v>
      </c>
      <c r="AT69" s="67"/>
      <c r="AU69" s="56" t="s">
        <v>899</v>
      </c>
      <c r="AV69" s="56" t="s">
        <v>1211</v>
      </c>
      <c r="AW69" s="56" t="s">
        <v>1106</v>
      </c>
      <c r="AX69" s="56"/>
      <c r="AY69" s="62">
        <v>5000</v>
      </c>
      <c r="AZ69" s="61" t="s">
        <v>1198</v>
      </c>
      <c r="BN69" s="74" t="s">
        <v>489</v>
      </c>
      <c r="BO69" s="74" t="s">
        <v>125</v>
      </c>
      <c r="BP69" s="78">
        <v>155000</v>
      </c>
      <c r="BQ69" s="74" t="s">
        <v>388</v>
      </c>
      <c r="BR69" s="74" t="s">
        <v>461</v>
      </c>
      <c r="BS69" s="74" t="s">
        <v>389</v>
      </c>
      <c r="BT69" s="74" t="s">
        <v>1286</v>
      </c>
      <c r="BU69" s="74" t="s">
        <v>462</v>
      </c>
      <c r="BV69" s="74"/>
      <c r="BX69" s="74" t="s">
        <v>272</v>
      </c>
      <c r="BY69" s="74" t="s">
        <v>139</v>
      </c>
      <c r="BZ69" s="78">
        <v>3584</v>
      </c>
      <c r="CA69" s="74" t="s">
        <v>388</v>
      </c>
      <c r="CB69" s="74" t="s">
        <v>1261</v>
      </c>
      <c r="CC69" s="74" t="s">
        <v>1260</v>
      </c>
      <c r="CD69" s="41" t="s">
        <v>1262</v>
      </c>
      <c r="CE69" s="41" t="s">
        <v>1249</v>
      </c>
      <c r="CF69" s="41"/>
      <c r="CG69" s="41"/>
    </row>
    <row r="70" spans="2:85" ht="20.149999999999999" customHeight="1">
      <c r="B70" s="4" t="s">
        <v>576</v>
      </c>
      <c r="C70" s="4" t="s">
        <v>569</v>
      </c>
      <c r="D70" s="4" t="s">
        <v>824</v>
      </c>
      <c r="E70" s="4" t="s">
        <v>326</v>
      </c>
      <c r="F70" s="73">
        <v>46265</v>
      </c>
      <c r="G70" s="5">
        <v>1000</v>
      </c>
      <c r="H70" s="6">
        <v>435000</v>
      </c>
      <c r="AD70" s="46" t="s">
        <v>1047</v>
      </c>
      <c r="AE70" s="46" t="s">
        <v>388</v>
      </c>
      <c r="AF70" s="42">
        <v>45831</v>
      </c>
      <c r="AG70" s="96" t="e">
        <f>#REF!</f>
        <v>#REF!</v>
      </c>
      <c r="AH70" s="46" t="s">
        <v>388</v>
      </c>
      <c r="AI70" s="46" t="s">
        <v>862</v>
      </c>
      <c r="AJ70" s="46"/>
      <c r="AK70" s="46" t="s">
        <v>976</v>
      </c>
      <c r="AL70" s="46"/>
      <c r="AM70" s="44">
        <v>42245</v>
      </c>
      <c r="AN70" s="40" t="s">
        <v>981</v>
      </c>
      <c r="BN70" s="74" t="s">
        <v>489</v>
      </c>
      <c r="BO70" s="74" t="s">
        <v>125</v>
      </c>
      <c r="BP70" s="78">
        <v>95000</v>
      </c>
      <c r="BQ70" s="74" t="s">
        <v>388</v>
      </c>
      <c r="BR70" s="74" t="s">
        <v>461</v>
      </c>
      <c r="BS70" s="74" t="s">
        <v>389</v>
      </c>
      <c r="BT70" s="74" t="s">
        <v>1286</v>
      </c>
      <c r="BU70" s="74" t="s">
        <v>462</v>
      </c>
      <c r="BV70" s="74"/>
      <c r="BX70" s="74" t="s">
        <v>272</v>
      </c>
      <c r="BY70" s="74" t="s">
        <v>139</v>
      </c>
      <c r="BZ70" s="78">
        <v>48065</v>
      </c>
      <c r="CA70" s="74" t="s">
        <v>388</v>
      </c>
      <c r="CB70" s="74" t="s">
        <v>1261</v>
      </c>
      <c r="CC70" s="74" t="s">
        <v>1260</v>
      </c>
      <c r="CD70" s="41" t="s">
        <v>1262</v>
      </c>
      <c r="CE70" s="41" t="s">
        <v>1249</v>
      </c>
      <c r="CF70" s="41"/>
      <c r="CG70" s="41"/>
    </row>
    <row r="71" spans="2:85" ht="20.149999999999999" customHeight="1">
      <c r="B71" s="4" t="s">
        <v>576</v>
      </c>
      <c r="C71" s="4" t="s">
        <v>569</v>
      </c>
      <c r="D71" s="4" t="s">
        <v>824</v>
      </c>
      <c r="E71" s="4" t="s">
        <v>139</v>
      </c>
      <c r="F71" s="73">
        <v>46265</v>
      </c>
      <c r="G71" s="5">
        <v>1000</v>
      </c>
      <c r="H71" s="6">
        <v>1050000</v>
      </c>
      <c r="AD71" s="40" t="s">
        <v>1048</v>
      </c>
      <c r="AE71" s="40" t="s">
        <v>388</v>
      </c>
      <c r="AF71" s="42">
        <v>45831</v>
      </c>
      <c r="AG71" s="96" t="e">
        <f>#REF!</f>
        <v>#REF!</v>
      </c>
      <c r="AH71" s="40" t="s">
        <v>388</v>
      </c>
      <c r="AI71" s="40" t="s">
        <v>862</v>
      </c>
      <c r="AJ71" s="40"/>
      <c r="AK71" s="40" t="s">
        <v>976</v>
      </c>
      <c r="AL71" s="40"/>
      <c r="AM71" s="44">
        <v>57000</v>
      </c>
      <c r="AN71" s="40" t="s">
        <v>981</v>
      </c>
      <c r="BN71" s="74" t="s">
        <v>495</v>
      </c>
      <c r="BO71" s="74" t="s">
        <v>125</v>
      </c>
      <c r="BP71" s="78">
        <v>155000</v>
      </c>
      <c r="BQ71" s="74" t="s">
        <v>388</v>
      </c>
      <c r="BR71" s="74" t="s">
        <v>446</v>
      </c>
      <c r="BS71" s="74" t="s">
        <v>389</v>
      </c>
      <c r="BT71" s="74" t="s">
        <v>1286</v>
      </c>
      <c r="BU71" s="74" t="s">
        <v>498</v>
      </c>
      <c r="BV71" s="74"/>
      <c r="BX71" s="74" t="s">
        <v>272</v>
      </c>
      <c r="BY71" s="74" t="s">
        <v>139</v>
      </c>
      <c r="BZ71" s="78">
        <v>51935</v>
      </c>
      <c r="CA71" s="74" t="s">
        <v>388</v>
      </c>
      <c r="CB71" s="74" t="s">
        <v>1261</v>
      </c>
      <c r="CC71" s="74" t="s">
        <v>1260</v>
      </c>
      <c r="CD71" s="41" t="s">
        <v>1262</v>
      </c>
      <c r="CE71" s="41" t="s">
        <v>1249</v>
      </c>
      <c r="CF71" s="41"/>
      <c r="CG71" s="41"/>
    </row>
    <row r="72" spans="2:85" ht="20.149999999999999" customHeight="1">
      <c r="B72" s="4" t="s">
        <v>730</v>
      </c>
      <c r="C72" s="4" t="s">
        <v>569</v>
      </c>
      <c r="D72" s="4" t="s">
        <v>1288</v>
      </c>
      <c r="E72" s="4" t="s">
        <v>115</v>
      </c>
      <c r="F72" s="73">
        <v>46265</v>
      </c>
      <c r="G72" s="5">
        <v>2500</v>
      </c>
      <c r="H72" s="6">
        <v>1748251.75</v>
      </c>
      <c r="AD72" s="40" t="s">
        <v>1048</v>
      </c>
      <c r="AE72" s="40" t="s">
        <v>388</v>
      </c>
      <c r="AF72" s="42">
        <v>45831</v>
      </c>
      <c r="AG72" s="96" t="e">
        <f>#REF!</f>
        <v>#REF!</v>
      </c>
      <c r="AH72" s="40" t="s">
        <v>388</v>
      </c>
      <c r="AI72" s="40" t="s">
        <v>862</v>
      </c>
      <c r="AJ72" s="40"/>
      <c r="AK72" s="40" t="s">
        <v>976</v>
      </c>
      <c r="AL72" s="40"/>
      <c r="AM72" s="44">
        <v>15000</v>
      </c>
      <c r="AN72" s="40" t="s">
        <v>981</v>
      </c>
      <c r="BN72" s="74" t="s">
        <v>495</v>
      </c>
      <c r="BO72" s="74" t="s">
        <v>125</v>
      </c>
      <c r="BP72" s="78">
        <v>155000</v>
      </c>
      <c r="BQ72" s="74" t="s">
        <v>388</v>
      </c>
      <c r="BR72" s="74" t="s">
        <v>446</v>
      </c>
      <c r="BS72" s="74" t="s">
        <v>389</v>
      </c>
      <c r="BT72" s="74" t="s">
        <v>1286</v>
      </c>
      <c r="BU72" s="74" t="s">
        <v>498</v>
      </c>
      <c r="BV72" s="74"/>
      <c r="BX72" s="74" t="s">
        <v>278</v>
      </c>
      <c r="BY72" s="74" t="s">
        <v>218</v>
      </c>
      <c r="BZ72" s="78">
        <v>1901</v>
      </c>
      <c r="CA72" s="74" t="s">
        <v>388</v>
      </c>
      <c r="CB72" s="74" t="s">
        <v>1264</v>
      </c>
      <c r="CC72" s="74" t="s">
        <v>1222</v>
      </c>
      <c r="CD72" s="41" t="s">
        <v>1265</v>
      </c>
      <c r="CE72" s="41" t="s">
        <v>1263</v>
      </c>
      <c r="CF72" s="41"/>
      <c r="CG72" s="41"/>
    </row>
    <row r="73" spans="2:85" ht="20.149999999999999" customHeight="1">
      <c r="B73" s="4" t="s">
        <v>2139</v>
      </c>
      <c r="C73" s="4" t="s">
        <v>569</v>
      </c>
      <c r="D73" s="4" t="s">
        <v>824</v>
      </c>
      <c r="E73" s="4" t="s">
        <v>218</v>
      </c>
      <c r="F73" s="73">
        <v>46265</v>
      </c>
      <c r="G73" s="5">
        <v>117</v>
      </c>
      <c r="H73" s="6">
        <v>249077.92</v>
      </c>
      <c r="AD73" s="46" t="s">
        <v>1049</v>
      </c>
      <c r="AE73" s="46" t="s">
        <v>388</v>
      </c>
      <c r="AF73" s="42">
        <v>45831</v>
      </c>
      <c r="AG73" s="96" t="e">
        <f>#REF!</f>
        <v>#REF!</v>
      </c>
      <c r="AH73" s="46" t="s">
        <v>388</v>
      </c>
      <c r="AI73" s="46" t="s">
        <v>862</v>
      </c>
      <c r="AJ73" s="46"/>
      <c r="AK73" s="46" t="s">
        <v>976</v>
      </c>
      <c r="AL73" s="100">
        <v>46001</v>
      </c>
      <c r="AM73" s="44">
        <v>51250</v>
      </c>
      <c r="AN73" s="40" t="s">
        <v>981</v>
      </c>
      <c r="BN73" s="74" t="s">
        <v>495</v>
      </c>
      <c r="BO73" s="74" t="s">
        <v>125</v>
      </c>
      <c r="BP73" s="78">
        <v>60000</v>
      </c>
      <c r="BQ73" s="74" t="s">
        <v>388</v>
      </c>
      <c r="BR73" s="74" t="s">
        <v>446</v>
      </c>
      <c r="BS73" s="74" t="s">
        <v>389</v>
      </c>
      <c r="BT73" s="74" t="s">
        <v>1286</v>
      </c>
      <c r="BU73" s="74" t="s">
        <v>498</v>
      </c>
      <c r="BV73" s="74"/>
      <c r="BX73" s="74" t="s">
        <v>278</v>
      </c>
      <c r="BY73" s="74" t="s">
        <v>218</v>
      </c>
      <c r="BZ73" s="78">
        <v>1222</v>
      </c>
      <c r="CA73" s="74" t="s">
        <v>388</v>
      </c>
      <c r="CB73" s="74" t="s">
        <v>1264</v>
      </c>
      <c r="CC73" s="74" t="s">
        <v>1222</v>
      </c>
      <c r="CD73" s="41" t="s">
        <v>1265</v>
      </c>
      <c r="CE73" s="41" t="s">
        <v>1263</v>
      </c>
      <c r="CF73" s="41"/>
      <c r="CG73" s="41"/>
    </row>
    <row r="74" spans="2:85" ht="20.149999999999999" customHeight="1">
      <c r="B74" s="4" t="s">
        <v>821</v>
      </c>
      <c r="C74" s="4" t="s">
        <v>569</v>
      </c>
      <c r="D74" s="4" t="s">
        <v>828</v>
      </c>
      <c r="E74" s="4" t="s">
        <v>332</v>
      </c>
      <c r="F74" s="73">
        <v>46265</v>
      </c>
      <c r="G74" s="5">
        <v>5000</v>
      </c>
      <c r="H74" s="6">
        <v>235000</v>
      </c>
      <c r="AD74" s="40" t="s">
        <v>1050</v>
      </c>
      <c r="AE74" s="40" t="s">
        <v>388</v>
      </c>
      <c r="AF74" s="42">
        <v>45831</v>
      </c>
      <c r="AG74" s="96" t="e">
        <f>#REF!</f>
        <v>#REF!</v>
      </c>
      <c r="AH74" s="40" t="s">
        <v>388</v>
      </c>
      <c r="AI74" s="40" t="s">
        <v>862</v>
      </c>
      <c r="AJ74" s="40"/>
      <c r="AK74" s="40" t="s">
        <v>976</v>
      </c>
      <c r="AL74" s="40"/>
      <c r="AM74" s="44">
        <v>93100</v>
      </c>
      <c r="AN74" s="40" t="s">
        <v>981</v>
      </c>
      <c r="BN74" s="74" t="s">
        <v>495</v>
      </c>
      <c r="BO74" s="74" t="s">
        <v>125</v>
      </c>
      <c r="BP74" s="78">
        <v>155000</v>
      </c>
      <c r="BQ74" s="74" t="s">
        <v>388</v>
      </c>
      <c r="BR74" s="74" t="s">
        <v>446</v>
      </c>
      <c r="BS74" s="74" t="s">
        <v>389</v>
      </c>
      <c r="BT74" s="74" t="s">
        <v>1286</v>
      </c>
      <c r="BU74" s="74" t="s">
        <v>498</v>
      </c>
      <c r="BV74" s="74"/>
      <c r="BX74" s="74" t="s">
        <v>278</v>
      </c>
      <c r="BY74" s="74" t="s">
        <v>218</v>
      </c>
      <c r="BZ74" s="78">
        <v>2782</v>
      </c>
      <c r="CA74" s="74" t="s">
        <v>388</v>
      </c>
      <c r="CB74" s="74" t="s">
        <v>1264</v>
      </c>
      <c r="CC74" s="74" t="s">
        <v>1222</v>
      </c>
      <c r="CD74" s="41" t="s">
        <v>1265</v>
      </c>
      <c r="CE74" s="41" t="s">
        <v>1263</v>
      </c>
      <c r="CF74" s="41"/>
      <c r="CG74" s="41"/>
    </row>
    <row r="75" spans="2:85" ht="20.149999999999999" customHeight="1">
      <c r="B75" s="4" t="s">
        <v>762</v>
      </c>
      <c r="C75" s="4" t="s">
        <v>1487</v>
      </c>
      <c r="D75" s="4" t="s">
        <v>1288</v>
      </c>
      <c r="E75" s="4" t="s">
        <v>666</v>
      </c>
      <c r="F75" s="73">
        <v>46265</v>
      </c>
      <c r="G75" s="5">
        <v>2500</v>
      </c>
      <c r="H75" s="6">
        <v>1350000</v>
      </c>
      <c r="AD75" s="46" t="s">
        <v>1051</v>
      </c>
      <c r="AE75" s="46" t="s">
        <v>388</v>
      </c>
      <c r="AF75" s="42">
        <v>45831</v>
      </c>
      <c r="AG75" s="96" t="e">
        <f>#REF!</f>
        <v>#REF!</v>
      </c>
      <c r="AH75" s="46" t="s">
        <v>388</v>
      </c>
      <c r="AI75" s="46" t="s">
        <v>862</v>
      </c>
      <c r="AJ75" s="46"/>
      <c r="AK75" s="46" t="s">
        <v>976</v>
      </c>
      <c r="AL75" s="100">
        <v>46001</v>
      </c>
      <c r="AM75" s="44">
        <v>82658</v>
      </c>
      <c r="AN75" s="40" t="s">
        <v>981</v>
      </c>
      <c r="BN75" s="74" t="s">
        <v>495</v>
      </c>
      <c r="BO75" s="74" t="s">
        <v>125</v>
      </c>
      <c r="BP75" s="78">
        <v>155000</v>
      </c>
      <c r="BQ75" s="74" t="s">
        <v>388</v>
      </c>
      <c r="BR75" s="74" t="s">
        <v>446</v>
      </c>
      <c r="BS75" s="74" t="s">
        <v>389</v>
      </c>
      <c r="BT75" s="74" t="s">
        <v>1286</v>
      </c>
      <c r="BU75" s="74" t="s">
        <v>498</v>
      </c>
      <c r="BV75" s="74"/>
      <c r="BX75" s="74" t="s">
        <v>278</v>
      </c>
      <c r="BY75" s="74" t="s">
        <v>218</v>
      </c>
      <c r="BZ75" s="78">
        <v>1443</v>
      </c>
      <c r="CA75" s="74" t="s">
        <v>388</v>
      </c>
      <c r="CB75" s="74" t="s">
        <v>1264</v>
      </c>
      <c r="CC75" s="74" t="s">
        <v>1222</v>
      </c>
      <c r="CD75" s="41" t="s">
        <v>1265</v>
      </c>
      <c r="CE75" s="41" t="s">
        <v>1263</v>
      </c>
      <c r="CF75" s="41"/>
      <c r="CG75" s="41"/>
    </row>
    <row r="76" spans="2:85" ht="20.149999999999999" customHeight="1">
      <c r="B76" s="4" t="s">
        <v>744</v>
      </c>
      <c r="C76" s="4" t="s">
        <v>569</v>
      </c>
      <c r="D76" s="4" t="s">
        <v>828</v>
      </c>
      <c r="E76" s="4" t="s">
        <v>771</v>
      </c>
      <c r="F76" s="73">
        <v>46265</v>
      </c>
      <c r="G76" s="5">
        <v>6100</v>
      </c>
      <c r="H76" s="6">
        <v>248135.59</v>
      </c>
      <c r="AD76" s="46" t="s">
        <v>1051</v>
      </c>
      <c r="AE76" s="46" t="s">
        <v>388</v>
      </c>
      <c r="AF76" s="42">
        <v>45831</v>
      </c>
      <c r="AG76" s="96" t="e">
        <f>#REF!</f>
        <v>#REF!</v>
      </c>
      <c r="AH76" s="46" t="s">
        <v>388</v>
      </c>
      <c r="AI76" s="46" t="s">
        <v>862</v>
      </c>
      <c r="AJ76" s="46"/>
      <c r="AK76" s="46" t="s">
        <v>976</v>
      </c>
      <c r="AL76" s="46"/>
      <c r="AM76" s="44">
        <v>12399</v>
      </c>
      <c r="AN76" s="40" t="s">
        <v>981</v>
      </c>
      <c r="BN76" s="74" t="s">
        <v>495</v>
      </c>
      <c r="BO76" s="74" t="s">
        <v>125</v>
      </c>
      <c r="BP76" s="78">
        <v>155000</v>
      </c>
      <c r="BQ76" s="74" t="s">
        <v>388</v>
      </c>
      <c r="BR76" s="74" t="s">
        <v>446</v>
      </c>
      <c r="BS76" s="74" t="s">
        <v>389</v>
      </c>
      <c r="BT76" s="74" t="s">
        <v>1286</v>
      </c>
      <c r="BU76" s="74" t="s">
        <v>498</v>
      </c>
      <c r="BV76" s="74"/>
      <c r="BX76" s="74" t="s">
        <v>278</v>
      </c>
      <c r="BY76" s="74" t="s">
        <v>218</v>
      </c>
      <c r="BZ76" s="78">
        <v>2574</v>
      </c>
      <c r="CA76" s="74" t="s">
        <v>388</v>
      </c>
      <c r="CB76" s="74" t="s">
        <v>1264</v>
      </c>
      <c r="CC76" s="74" t="s">
        <v>1222</v>
      </c>
      <c r="CD76" s="41" t="s">
        <v>1265</v>
      </c>
      <c r="CE76" s="41" t="s">
        <v>1263</v>
      </c>
      <c r="CF76" s="41"/>
      <c r="CG76" s="41"/>
    </row>
    <row r="77" spans="2:85" ht="20.149999999999999" customHeight="1">
      <c r="B77" s="4" t="s">
        <v>744</v>
      </c>
      <c r="C77" s="4" t="s">
        <v>569</v>
      </c>
      <c r="D77" s="4" t="s">
        <v>828</v>
      </c>
      <c r="E77" s="4" t="s">
        <v>632</v>
      </c>
      <c r="F77" s="73">
        <v>46265</v>
      </c>
      <c r="G77" s="5">
        <v>163</v>
      </c>
      <c r="H77" s="6">
        <v>7735.59</v>
      </c>
      <c r="AD77" s="40" t="s">
        <v>1052</v>
      </c>
      <c r="AE77" s="40" t="s">
        <v>388</v>
      </c>
      <c r="AF77" s="42">
        <v>45831</v>
      </c>
      <c r="AG77" s="96" t="e">
        <f>#REF!</f>
        <v>#REF!</v>
      </c>
      <c r="AH77" s="40" t="s">
        <v>388</v>
      </c>
      <c r="AI77" s="40" t="s">
        <v>862</v>
      </c>
      <c r="AJ77" s="40"/>
      <c r="AK77" s="40" t="s">
        <v>976</v>
      </c>
      <c r="AL77" s="40"/>
      <c r="AM77" s="44">
        <v>63800</v>
      </c>
      <c r="AN77" s="40" t="s">
        <v>981</v>
      </c>
      <c r="BN77" s="74" t="s">
        <v>495</v>
      </c>
      <c r="BO77" s="74" t="s">
        <v>125</v>
      </c>
      <c r="BP77" s="78">
        <v>155000</v>
      </c>
      <c r="BQ77" s="74" t="s">
        <v>388</v>
      </c>
      <c r="BR77" s="74" t="s">
        <v>446</v>
      </c>
      <c r="BS77" s="74" t="s">
        <v>389</v>
      </c>
      <c r="BT77" s="74" t="s">
        <v>1286</v>
      </c>
      <c r="BU77" s="74" t="s">
        <v>498</v>
      </c>
      <c r="BV77" s="74"/>
      <c r="BX77" s="74" t="s">
        <v>278</v>
      </c>
      <c r="BY77" s="74" t="s">
        <v>218</v>
      </c>
      <c r="BZ77" s="78">
        <v>1521</v>
      </c>
      <c r="CA77" s="74" t="s">
        <v>388</v>
      </c>
      <c r="CB77" s="74" t="s">
        <v>1264</v>
      </c>
      <c r="CC77" s="74" t="s">
        <v>1222</v>
      </c>
      <c r="CD77" s="41" t="s">
        <v>1265</v>
      </c>
      <c r="CE77" s="41" t="s">
        <v>1263</v>
      </c>
      <c r="CF77" s="41"/>
      <c r="CG77" s="41"/>
    </row>
    <row r="78" spans="2:85" ht="20.149999999999999" customHeight="1">
      <c r="B78" s="4" t="s">
        <v>744</v>
      </c>
      <c r="C78" s="4" t="s">
        <v>569</v>
      </c>
      <c r="D78" s="4" t="s">
        <v>828</v>
      </c>
      <c r="E78" s="4" t="s">
        <v>632</v>
      </c>
      <c r="F78" s="73">
        <v>46265</v>
      </c>
      <c r="G78" s="5">
        <v>3137</v>
      </c>
      <c r="H78" s="6">
        <v>148874.57999999999</v>
      </c>
      <c r="AD78" s="46" t="s">
        <v>1053</v>
      </c>
      <c r="AE78" s="46" t="s">
        <v>388</v>
      </c>
      <c r="AF78" s="42">
        <v>45831</v>
      </c>
      <c r="AG78" s="96" t="e">
        <f>#REF!</f>
        <v>#REF!</v>
      </c>
      <c r="AH78" s="46" t="s">
        <v>388</v>
      </c>
      <c r="AI78" s="46" t="s">
        <v>862</v>
      </c>
      <c r="AJ78" s="46"/>
      <c r="AK78" s="46" t="s">
        <v>976</v>
      </c>
      <c r="AL78" s="46"/>
      <c r="AM78" s="44">
        <v>91200</v>
      </c>
      <c r="AN78" s="40" t="s">
        <v>981</v>
      </c>
      <c r="BN78" s="74" t="s">
        <v>495</v>
      </c>
      <c r="BO78" s="74" t="s">
        <v>125</v>
      </c>
      <c r="BP78" s="78">
        <v>155000</v>
      </c>
      <c r="BQ78" s="74" t="s">
        <v>388</v>
      </c>
      <c r="BR78" s="74" t="s">
        <v>446</v>
      </c>
      <c r="BS78" s="74" t="s">
        <v>389</v>
      </c>
      <c r="BT78" s="74" t="s">
        <v>1286</v>
      </c>
      <c r="BU78" s="74" t="s">
        <v>498</v>
      </c>
      <c r="BV78" s="74"/>
      <c r="BX78" s="74" t="s">
        <v>278</v>
      </c>
      <c r="BY78" s="74" t="s">
        <v>218</v>
      </c>
      <c r="BZ78" s="78">
        <v>2743</v>
      </c>
      <c r="CA78" s="74" t="s">
        <v>388</v>
      </c>
      <c r="CB78" s="74" t="s">
        <v>1264</v>
      </c>
      <c r="CC78" s="74" t="s">
        <v>1222</v>
      </c>
      <c r="CD78" s="41" t="s">
        <v>1265</v>
      </c>
      <c r="CE78" s="41" t="s">
        <v>1263</v>
      </c>
      <c r="CF78" s="41"/>
      <c r="CG78" s="41"/>
    </row>
    <row r="79" spans="2:85" ht="20.149999999999999" customHeight="1">
      <c r="B79" s="4" t="s">
        <v>783</v>
      </c>
      <c r="C79" s="4" t="s">
        <v>1487</v>
      </c>
      <c r="D79" s="4" t="s">
        <v>1288</v>
      </c>
      <c r="E79" s="4" t="s">
        <v>687</v>
      </c>
      <c r="F79" s="73">
        <v>46265</v>
      </c>
      <c r="G79" s="5">
        <v>3705</v>
      </c>
      <c r="H79" s="6">
        <v>4627545</v>
      </c>
      <c r="AD79" s="40" t="s">
        <v>1054</v>
      </c>
      <c r="AE79" s="46" t="s">
        <v>388</v>
      </c>
      <c r="AF79" s="42">
        <v>45831</v>
      </c>
      <c r="AG79" s="96" t="e">
        <f>#REF!</f>
        <v>#REF!</v>
      </c>
      <c r="AH79" s="46" t="s">
        <v>388</v>
      </c>
      <c r="AI79" s="46" t="s">
        <v>862</v>
      </c>
      <c r="AJ79" s="46"/>
      <c r="AK79" s="46" t="s">
        <v>976</v>
      </c>
      <c r="AL79" s="40"/>
      <c r="AM79" s="44">
        <v>250000</v>
      </c>
      <c r="AN79" s="40" t="s">
        <v>981</v>
      </c>
      <c r="BN79" s="74" t="s">
        <v>495</v>
      </c>
      <c r="BO79" s="74" t="s">
        <v>125</v>
      </c>
      <c r="BP79" s="78">
        <v>155000</v>
      </c>
      <c r="BQ79" s="74" t="s">
        <v>388</v>
      </c>
      <c r="BR79" s="74" t="s">
        <v>446</v>
      </c>
      <c r="BS79" s="74" t="s">
        <v>389</v>
      </c>
      <c r="BT79" s="74" t="s">
        <v>1286</v>
      </c>
      <c r="BU79" s="74" t="s">
        <v>498</v>
      </c>
      <c r="BV79" s="74"/>
      <c r="BX79" s="74" t="s">
        <v>278</v>
      </c>
      <c r="BY79" s="74" t="s">
        <v>218</v>
      </c>
      <c r="BZ79" s="78">
        <v>1495</v>
      </c>
      <c r="CA79" s="74" t="s">
        <v>388</v>
      </c>
      <c r="CB79" s="74" t="s">
        <v>1264</v>
      </c>
      <c r="CC79" s="74" t="s">
        <v>1222</v>
      </c>
      <c r="CD79" s="41" t="s">
        <v>1265</v>
      </c>
      <c r="CE79" s="41" t="s">
        <v>1263</v>
      </c>
      <c r="CF79" s="41"/>
      <c r="CG79" s="41"/>
    </row>
    <row r="80" spans="2:85" ht="20.149999999999999" customHeight="1">
      <c r="B80" s="4" t="s">
        <v>783</v>
      </c>
      <c r="C80" s="4" t="s">
        <v>1487</v>
      </c>
      <c r="D80" s="4" t="s">
        <v>1288</v>
      </c>
      <c r="E80" s="4" t="s">
        <v>687</v>
      </c>
      <c r="F80" s="73">
        <v>46265</v>
      </c>
      <c r="G80" s="5">
        <v>1410</v>
      </c>
      <c r="H80" s="6">
        <v>1761090</v>
      </c>
      <c r="AD80" s="40" t="s">
        <v>1057</v>
      </c>
      <c r="AE80" s="40" t="s">
        <v>388</v>
      </c>
      <c r="AF80" s="42">
        <v>45797</v>
      </c>
      <c r="AG80" s="44">
        <v>19147500</v>
      </c>
      <c r="AH80" s="40" t="s">
        <v>388</v>
      </c>
      <c r="AI80" s="40" t="s">
        <v>862</v>
      </c>
      <c r="AJ80" s="40"/>
      <c r="AK80" s="40" t="s">
        <v>976</v>
      </c>
      <c r="AL80" s="100">
        <v>46109</v>
      </c>
      <c r="AM80" s="44">
        <v>300000</v>
      </c>
      <c r="AN80" s="40" t="s">
        <v>1010</v>
      </c>
      <c r="BN80" s="74" t="s">
        <v>507</v>
      </c>
      <c r="BO80" s="74" t="s">
        <v>133</v>
      </c>
      <c r="BP80" s="78">
        <v>55000</v>
      </c>
      <c r="BQ80" s="74" t="s">
        <v>388</v>
      </c>
      <c r="BR80" s="74" t="s">
        <v>461</v>
      </c>
      <c r="BS80" s="74" t="s">
        <v>389</v>
      </c>
      <c r="BT80" s="74" t="s">
        <v>1217</v>
      </c>
      <c r="BU80" s="74" t="s">
        <v>511</v>
      </c>
      <c r="BV80" s="74"/>
      <c r="BX80" s="74" t="s">
        <v>278</v>
      </c>
      <c r="BY80" s="74" t="s">
        <v>218</v>
      </c>
      <c r="BZ80" s="78">
        <v>2119</v>
      </c>
      <c r="CA80" s="74" t="s">
        <v>388</v>
      </c>
      <c r="CB80" s="74" t="s">
        <v>1264</v>
      </c>
      <c r="CC80" s="74" t="s">
        <v>1222</v>
      </c>
      <c r="CD80" s="41" t="s">
        <v>1265</v>
      </c>
      <c r="CE80" s="41" t="s">
        <v>1263</v>
      </c>
      <c r="CF80" s="41"/>
      <c r="CG80" s="41"/>
    </row>
    <row r="81" spans="2:85" ht="20.149999999999999" customHeight="1">
      <c r="B81" s="4" t="s">
        <v>783</v>
      </c>
      <c r="C81" s="4" t="s">
        <v>1487</v>
      </c>
      <c r="D81" s="4" t="s">
        <v>1288</v>
      </c>
      <c r="E81" s="4" t="s">
        <v>687</v>
      </c>
      <c r="F81" s="73">
        <v>46265</v>
      </c>
      <c r="G81" s="5">
        <v>4885</v>
      </c>
      <c r="H81" s="6">
        <v>6101365</v>
      </c>
      <c r="AD81" s="46" t="s">
        <v>1059</v>
      </c>
      <c r="AE81" s="46" t="s">
        <v>388</v>
      </c>
      <c r="AF81" s="101">
        <v>46115</v>
      </c>
      <c r="AG81" s="102">
        <f>AV81*AX81</f>
        <v>0</v>
      </c>
      <c r="AH81" s="46" t="s">
        <v>899</v>
      </c>
      <c r="AI81" s="46" t="s">
        <v>1060</v>
      </c>
      <c r="AJ81" s="46"/>
      <c r="AK81" s="46" t="s">
        <v>1060</v>
      </c>
      <c r="AL81" s="46"/>
      <c r="AM81" s="44">
        <v>2000000</v>
      </c>
      <c r="AN81" s="46" t="s">
        <v>1061</v>
      </c>
      <c r="BN81" s="74" t="s">
        <v>507</v>
      </c>
      <c r="BO81" s="74" t="s">
        <v>133</v>
      </c>
      <c r="BP81" s="78">
        <v>155000</v>
      </c>
      <c r="BQ81" s="74" t="s">
        <v>388</v>
      </c>
      <c r="BR81" s="74" t="s">
        <v>461</v>
      </c>
      <c r="BS81" s="74" t="s">
        <v>389</v>
      </c>
      <c r="BT81" s="74" t="s">
        <v>1217</v>
      </c>
      <c r="BU81" s="74" t="s">
        <v>511</v>
      </c>
      <c r="BV81" s="74"/>
      <c r="BX81" s="74" t="s">
        <v>290</v>
      </c>
      <c r="BY81" s="74" t="s">
        <v>139</v>
      </c>
      <c r="BZ81" s="78">
        <v>398</v>
      </c>
      <c r="CA81" s="74" t="s">
        <v>388</v>
      </c>
      <c r="CB81" s="74" t="s">
        <v>1267</v>
      </c>
      <c r="CC81" s="74" t="s">
        <v>1260</v>
      </c>
      <c r="CD81" s="41" t="s">
        <v>1268</v>
      </c>
      <c r="CE81" s="41" t="s">
        <v>1266</v>
      </c>
      <c r="CF81" s="41"/>
      <c r="CG81" s="41"/>
    </row>
    <row r="82" spans="2:85" ht="20.149999999999999" customHeight="1">
      <c r="B82" s="4" t="s">
        <v>783</v>
      </c>
      <c r="C82" s="4" t="s">
        <v>1487</v>
      </c>
      <c r="D82" s="4" t="s">
        <v>1288</v>
      </c>
      <c r="E82" s="4" t="s">
        <v>687</v>
      </c>
      <c r="F82" s="73">
        <v>46265</v>
      </c>
      <c r="G82" s="5">
        <v>-450</v>
      </c>
      <c r="H82" s="6">
        <v>-562049.52</v>
      </c>
      <c r="AD82" s="46" t="s">
        <v>1059</v>
      </c>
      <c r="AE82" s="46" t="s">
        <v>388</v>
      </c>
      <c r="AF82" s="101">
        <v>46115</v>
      </c>
      <c r="AG82" s="102">
        <f t="shared" ref="AG82:AG119" si="0">AV82*AX82</f>
        <v>0</v>
      </c>
      <c r="AH82" s="46" t="s">
        <v>899</v>
      </c>
      <c r="AI82" s="46" t="s">
        <v>1060</v>
      </c>
      <c r="AJ82" s="46"/>
      <c r="AK82" s="46" t="s">
        <v>1060</v>
      </c>
      <c r="AL82" s="40"/>
      <c r="AM82" s="44">
        <v>2122044</v>
      </c>
      <c r="AN82" s="40" t="s">
        <v>1065</v>
      </c>
      <c r="BN82" s="74" t="s">
        <v>507</v>
      </c>
      <c r="BO82" s="74" t="s">
        <v>133</v>
      </c>
      <c r="BP82" s="78">
        <v>155000</v>
      </c>
      <c r="BQ82" s="74" t="s">
        <v>388</v>
      </c>
      <c r="BR82" s="74" t="s">
        <v>461</v>
      </c>
      <c r="BS82" s="74" t="s">
        <v>389</v>
      </c>
      <c r="BT82" s="74" t="s">
        <v>1217</v>
      </c>
      <c r="BU82" s="74" t="s">
        <v>511</v>
      </c>
      <c r="BV82" s="74"/>
      <c r="BX82" s="74" t="s">
        <v>290</v>
      </c>
      <c r="BY82" s="74" t="s">
        <v>139</v>
      </c>
      <c r="BZ82" s="78">
        <v>18026</v>
      </c>
      <c r="CA82" s="74" t="s">
        <v>388</v>
      </c>
      <c r="CB82" s="74" t="s">
        <v>1267</v>
      </c>
      <c r="CC82" s="74" t="s">
        <v>1260</v>
      </c>
      <c r="CD82" s="41" t="s">
        <v>1268</v>
      </c>
      <c r="CE82" s="41" t="s">
        <v>1266</v>
      </c>
      <c r="CF82" s="41"/>
      <c r="CG82" s="41"/>
    </row>
    <row r="83" spans="2:85" ht="20.149999999999999" customHeight="1">
      <c r="B83" s="4" t="s">
        <v>783</v>
      </c>
      <c r="C83" s="4" t="s">
        <v>1487</v>
      </c>
      <c r="D83" s="4" t="s">
        <v>1288</v>
      </c>
      <c r="E83" s="4" t="s">
        <v>687</v>
      </c>
      <c r="F83" s="73">
        <v>46265</v>
      </c>
      <c r="G83" s="5">
        <v>-5170</v>
      </c>
      <c r="H83" s="6">
        <v>-6457324.4900000002</v>
      </c>
      <c r="AD83" s="46" t="s">
        <v>1059</v>
      </c>
      <c r="AE83" s="46" t="s">
        <v>388</v>
      </c>
      <c r="AF83" s="101">
        <v>46115</v>
      </c>
      <c r="AG83" s="102">
        <f t="shared" si="0"/>
        <v>0</v>
      </c>
      <c r="AH83" s="46" t="s">
        <v>899</v>
      </c>
      <c r="AI83" s="46" t="s">
        <v>1060</v>
      </c>
      <c r="AJ83" s="46"/>
      <c r="AK83" s="46" t="s">
        <v>1060</v>
      </c>
      <c r="AL83" s="46"/>
      <c r="AM83" s="102">
        <v>1098043</v>
      </c>
      <c r="AN83" s="46" t="s">
        <v>1066</v>
      </c>
      <c r="BN83" s="74" t="s">
        <v>507</v>
      </c>
      <c r="BO83" s="74" t="s">
        <v>133</v>
      </c>
      <c r="BP83" s="78">
        <v>60000</v>
      </c>
      <c r="BQ83" s="74" t="s">
        <v>388</v>
      </c>
      <c r="BR83" s="74" t="s">
        <v>461</v>
      </c>
      <c r="BS83" s="74" t="s">
        <v>389</v>
      </c>
      <c r="BT83" s="74" t="s">
        <v>1217</v>
      </c>
      <c r="BU83" s="74" t="s">
        <v>511</v>
      </c>
      <c r="BV83" s="74"/>
      <c r="BX83" s="74" t="s">
        <v>295</v>
      </c>
      <c r="BY83" s="74" t="s">
        <v>298</v>
      </c>
      <c r="BZ83" s="78">
        <v>35</v>
      </c>
      <c r="CA83" s="74" t="s">
        <v>388</v>
      </c>
      <c r="CB83" s="74" t="s">
        <v>1264</v>
      </c>
      <c r="CC83" s="74" t="s">
        <v>1270</v>
      </c>
      <c r="CD83" s="41" t="s">
        <v>1264</v>
      </c>
      <c r="CE83" s="41" t="s">
        <v>1269</v>
      </c>
      <c r="CF83" s="41" t="s">
        <v>1271</v>
      </c>
      <c r="CG83" s="41"/>
    </row>
    <row r="84" spans="2:85" ht="20.149999999999999" customHeight="1">
      <c r="B84" s="4" t="s">
        <v>783</v>
      </c>
      <c r="C84" s="4" t="s">
        <v>1487</v>
      </c>
      <c r="D84" s="4" t="s">
        <v>1288</v>
      </c>
      <c r="E84" s="4" t="s">
        <v>687</v>
      </c>
      <c r="F84" s="73">
        <v>46265</v>
      </c>
      <c r="G84" s="5">
        <v>-2925</v>
      </c>
      <c r="H84" s="6">
        <v>-3653321.89</v>
      </c>
      <c r="AD84" s="46" t="s">
        <v>1059</v>
      </c>
      <c r="AE84" s="46" t="s">
        <v>388</v>
      </c>
      <c r="AF84" s="101">
        <v>46115</v>
      </c>
      <c r="AG84" s="102">
        <f t="shared" si="0"/>
        <v>0</v>
      </c>
      <c r="AH84" s="46" t="s">
        <v>899</v>
      </c>
      <c r="AI84" s="46" t="s">
        <v>1060</v>
      </c>
      <c r="AJ84" s="46"/>
      <c r="AK84" s="46" t="s">
        <v>1060</v>
      </c>
      <c r="AL84" s="40"/>
      <c r="AM84" s="102">
        <v>2570671</v>
      </c>
      <c r="AN84" s="40" t="s">
        <v>1067</v>
      </c>
      <c r="BN84" s="74" t="s">
        <v>516</v>
      </c>
      <c r="BO84" s="74" t="s">
        <v>519</v>
      </c>
      <c r="BP84" s="78">
        <v>60000</v>
      </c>
      <c r="BQ84" s="74" t="s">
        <v>388</v>
      </c>
      <c r="BR84" s="74" t="s">
        <v>461</v>
      </c>
      <c r="BS84" s="74" t="s">
        <v>389</v>
      </c>
      <c r="BT84" s="74" t="s">
        <v>1217</v>
      </c>
      <c r="BU84" s="74" t="s">
        <v>511</v>
      </c>
      <c r="BV84" s="74"/>
      <c r="BX84" s="74" t="s">
        <v>303</v>
      </c>
      <c r="BY84" s="74" t="s">
        <v>171</v>
      </c>
      <c r="BZ84" s="78">
        <v>128200</v>
      </c>
      <c r="CA84" s="74" t="s">
        <v>388</v>
      </c>
      <c r="CB84" s="74" t="s">
        <v>1273</v>
      </c>
      <c r="CC84" s="74" t="s">
        <v>1272</v>
      </c>
      <c r="CD84" s="41" t="s">
        <v>1274</v>
      </c>
      <c r="CE84" s="41" t="s">
        <v>1266</v>
      </c>
      <c r="CF84" s="41"/>
      <c r="CG84" s="41"/>
    </row>
    <row r="85" spans="2:85" ht="20.149999999999999" customHeight="1">
      <c r="B85" s="4" t="s">
        <v>783</v>
      </c>
      <c r="C85" s="4" t="s">
        <v>1487</v>
      </c>
      <c r="D85" s="4" t="s">
        <v>1288</v>
      </c>
      <c r="E85" s="4" t="s">
        <v>687</v>
      </c>
      <c r="F85" s="73">
        <v>46265</v>
      </c>
      <c r="G85" s="5">
        <v>-30</v>
      </c>
      <c r="H85" s="6">
        <v>-37470.6</v>
      </c>
      <c r="AD85" s="46" t="s">
        <v>1059</v>
      </c>
      <c r="AE85" s="46" t="s">
        <v>388</v>
      </c>
      <c r="AF85" s="101">
        <v>46115</v>
      </c>
      <c r="AG85" s="102">
        <f t="shared" si="0"/>
        <v>0</v>
      </c>
      <c r="AH85" s="46" t="s">
        <v>899</v>
      </c>
      <c r="AI85" s="46" t="s">
        <v>1060</v>
      </c>
      <c r="AJ85" s="46"/>
      <c r="AK85" s="46" t="s">
        <v>1060</v>
      </c>
      <c r="AL85" s="46"/>
      <c r="AM85" s="102">
        <v>4511329</v>
      </c>
      <c r="AN85" s="46" t="s">
        <v>1023</v>
      </c>
      <c r="BN85" s="74" t="s">
        <v>516</v>
      </c>
      <c r="BO85" s="74" t="s">
        <v>368</v>
      </c>
      <c r="BP85" s="78">
        <v>155000</v>
      </c>
      <c r="BQ85" s="74" t="s">
        <v>388</v>
      </c>
      <c r="BR85" s="74" t="s">
        <v>461</v>
      </c>
      <c r="BS85" s="74" t="s">
        <v>389</v>
      </c>
      <c r="BT85" s="74" t="s">
        <v>1217</v>
      </c>
      <c r="BU85" s="74" t="s">
        <v>511</v>
      </c>
      <c r="BV85" s="74"/>
      <c r="BX85" s="74" t="s">
        <v>303</v>
      </c>
      <c r="BY85" s="74" t="s">
        <v>110</v>
      </c>
      <c r="BZ85" s="78">
        <v>128200</v>
      </c>
      <c r="CA85" s="74" t="s">
        <v>388</v>
      </c>
      <c r="CB85" s="74" t="s">
        <v>1273</v>
      </c>
      <c r="CC85" s="74" t="s">
        <v>1272</v>
      </c>
      <c r="CD85" s="41" t="s">
        <v>1274</v>
      </c>
      <c r="CE85" s="41" t="s">
        <v>1266</v>
      </c>
      <c r="CF85" s="41"/>
      <c r="CG85" s="41"/>
    </row>
    <row r="86" spans="2:85" ht="20.149999999999999" customHeight="1">
      <c r="B86" s="4" t="s">
        <v>607</v>
      </c>
      <c r="C86" s="4" t="s">
        <v>569</v>
      </c>
      <c r="D86" s="4" t="s">
        <v>828</v>
      </c>
      <c r="E86" s="4" t="s">
        <v>358</v>
      </c>
      <c r="F86" s="73">
        <v>46206</v>
      </c>
      <c r="G86" s="5">
        <v>1</v>
      </c>
      <c r="H86" s="6">
        <v>6000</v>
      </c>
      <c r="AD86" s="46" t="s">
        <v>1059</v>
      </c>
      <c r="AE86" s="46" t="s">
        <v>388</v>
      </c>
      <c r="AF86" s="101">
        <v>46115</v>
      </c>
      <c r="AG86" s="102">
        <f t="shared" si="0"/>
        <v>0</v>
      </c>
      <c r="AH86" s="46" t="s">
        <v>899</v>
      </c>
      <c r="AI86" s="46" t="s">
        <v>1060</v>
      </c>
      <c r="AJ86" s="46"/>
      <c r="AK86" s="46" t="s">
        <v>1060</v>
      </c>
      <c r="AL86" s="90"/>
      <c r="AM86" s="102">
        <v>4167963</v>
      </c>
      <c r="AN86" s="90" t="s">
        <v>990</v>
      </c>
      <c r="BN86" s="74" t="s">
        <v>516</v>
      </c>
      <c r="BO86" s="74" t="s">
        <v>368</v>
      </c>
      <c r="BP86" s="78">
        <v>25000</v>
      </c>
      <c r="BQ86" s="74" t="s">
        <v>388</v>
      </c>
      <c r="BR86" s="74" t="s">
        <v>461</v>
      </c>
      <c r="BS86" s="74" t="s">
        <v>389</v>
      </c>
      <c r="BT86" s="74" t="s">
        <v>1217</v>
      </c>
      <c r="BU86" s="74" t="s">
        <v>511</v>
      </c>
      <c r="BV86" s="74"/>
      <c r="BX86" s="74" t="s">
        <v>308</v>
      </c>
      <c r="BY86" s="74" t="s">
        <v>115</v>
      </c>
      <c r="BZ86" s="78">
        <v>25000</v>
      </c>
      <c r="CA86" s="74" t="s">
        <v>388</v>
      </c>
      <c r="CB86" s="74" t="s">
        <v>1273</v>
      </c>
      <c r="CC86" s="74" t="s">
        <v>1226</v>
      </c>
      <c r="CD86" s="41" t="s">
        <v>1275</v>
      </c>
      <c r="CE86" s="41" t="s">
        <v>1266</v>
      </c>
      <c r="CF86" s="41"/>
      <c r="CG86" s="41"/>
    </row>
    <row r="87" spans="2:85" ht="20.149999999999999" customHeight="1">
      <c r="B87" s="4" t="s">
        <v>607</v>
      </c>
      <c r="C87" s="4" t="s">
        <v>569</v>
      </c>
      <c r="D87" s="4" t="s">
        <v>828</v>
      </c>
      <c r="E87" s="4" t="s">
        <v>358</v>
      </c>
      <c r="F87" s="73">
        <v>46206</v>
      </c>
      <c r="G87" s="5">
        <v>11</v>
      </c>
      <c r="H87" s="6">
        <v>66000</v>
      </c>
      <c r="AD87" s="46" t="s">
        <v>1059</v>
      </c>
      <c r="AE87" s="46" t="s">
        <v>388</v>
      </c>
      <c r="AF87" s="101">
        <v>46115</v>
      </c>
      <c r="AG87" s="102">
        <f t="shared" si="0"/>
        <v>0</v>
      </c>
      <c r="AH87" s="46" t="s">
        <v>899</v>
      </c>
      <c r="AI87" s="46" t="s">
        <v>1060</v>
      </c>
      <c r="AJ87" s="46"/>
      <c r="AK87" s="46" t="s">
        <v>1060</v>
      </c>
      <c r="AL87" s="90"/>
      <c r="AM87" s="102">
        <v>1606600</v>
      </c>
      <c r="AN87" s="90" t="s">
        <v>1068</v>
      </c>
      <c r="BN87" s="74" t="s">
        <v>516</v>
      </c>
      <c r="BO87" s="74" t="s">
        <v>125</v>
      </c>
      <c r="BP87" s="78">
        <v>30000</v>
      </c>
      <c r="BQ87" s="74" t="s">
        <v>388</v>
      </c>
      <c r="BR87" s="74" t="s">
        <v>461</v>
      </c>
      <c r="BS87" s="74" t="s">
        <v>389</v>
      </c>
      <c r="BT87" s="74" t="s">
        <v>1217</v>
      </c>
      <c r="BU87" s="74" t="s">
        <v>511</v>
      </c>
      <c r="BV87" s="74"/>
      <c r="BX87" s="74" t="s">
        <v>308</v>
      </c>
      <c r="BY87" s="74" t="s">
        <v>115</v>
      </c>
      <c r="BZ87" s="78">
        <v>25000</v>
      </c>
      <c r="CA87" s="74" t="s">
        <v>388</v>
      </c>
      <c r="CB87" s="74" t="s">
        <v>1273</v>
      </c>
      <c r="CC87" s="74" t="s">
        <v>1226</v>
      </c>
      <c r="CD87" s="41" t="s">
        <v>1275</v>
      </c>
      <c r="CE87" s="41" t="s">
        <v>1266</v>
      </c>
      <c r="CF87" s="41"/>
      <c r="CG87" s="41"/>
    </row>
    <row r="88" spans="2:85" ht="20.149999999999999" customHeight="1">
      <c r="B88" s="4" t="s">
        <v>607</v>
      </c>
      <c r="C88" s="4" t="s">
        <v>569</v>
      </c>
      <c r="D88" s="4" t="s">
        <v>828</v>
      </c>
      <c r="E88" s="4" t="s">
        <v>120</v>
      </c>
      <c r="F88" s="73">
        <v>46206</v>
      </c>
      <c r="G88" s="5">
        <v>16</v>
      </c>
      <c r="H88" s="6">
        <v>96000</v>
      </c>
      <c r="AD88" s="46" t="s">
        <v>1059</v>
      </c>
      <c r="AE88" s="46" t="s">
        <v>388</v>
      </c>
      <c r="AF88" s="101">
        <v>46115</v>
      </c>
      <c r="AG88" s="102">
        <f t="shared" si="0"/>
        <v>0</v>
      </c>
      <c r="AH88" s="46" t="s">
        <v>899</v>
      </c>
      <c r="AI88" s="46" t="s">
        <v>1060</v>
      </c>
      <c r="AJ88" s="46"/>
      <c r="AK88" s="46" t="s">
        <v>1060</v>
      </c>
      <c r="AL88" s="90"/>
      <c r="AM88" s="102">
        <v>2025732</v>
      </c>
      <c r="AN88" s="90" t="s">
        <v>1069</v>
      </c>
      <c r="BN88" s="74" t="s">
        <v>516</v>
      </c>
      <c r="BO88" s="74" t="s">
        <v>125</v>
      </c>
      <c r="BP88" s="78">
        <v>155000</v>
      </c>
      <c r="BQ88" s="74" t="s">
        <v>388</v>
      </c>
      <c r="BR88" s="74" t="s">
        <v>461</v>
      </c>
      <c r="BS88" s="74" t="s">
        <v>389</v>
      </c>
      <c r="BT88" s="74" t="s">
        <v>1217</v>
      </c>
      <c r="BU88" s="74" t="s">
        <v>511</v>
      </c>
      <c r="BV88" s="74"/>
      <c r="BX88" s="74" t="s">
        <v>308</v>
      </c>
      <c r="BY88" s="74" t="s">
        <v>238</v>
      </c>
      <c r="BZ88" s="78">
        <v>50000</v>
      </c>
      <c r="CA88" s="74" t="s">
        <v>388</v>
      </c>
      <c r="CB88" s="74" t="s">
        <v>1273</v>
      </c>
      <c r="CC88" s="74" t="s">
        <v>1226</v>
      </c>
      <c r="CD88" s="41" t="s">
        <v>1275</v>
      </c>
      <c r="CE88" s="41" t="s">
        <v>1266</v>
      </c>
      <c r="CF88" s="41"/>
      <c r="CG88" s="41"/>
    </row>
    <row r="89" spans="2:85" ht="20.149999999999999" customHeight="1">
      <c r="B89" s="4" t="s">
        <v>607</v>
      </c>
      <c r="C89" s="4" t="s">
        <v>569</v>
      </c>
      <c r="D89" s="4" t="s">
        <v>828</v>
      </c>
      <c r="E89" s="4" t="s">
        <v>424</v>
      </c>
      <c r="F89" s="73">
        <v>46206</v>
      </c>
      <c r="G89" s="5">
        <v>72</v>
      </c>
      <c r="H89" s="6">
        <v>432000</v>
      </c>
      <c r="AD89" s="46" t="s">
        <v>1059</v>
      </c>
      <c r="AE89" s="46" t="s">
        <v>388</v>
      </c>
      <c r="AF89" s="101">
        <v>46115</v>
      </c>
      <c r="AG89" s="102">
        <f t="shared" si="0"/>
        <v>0</v>
      </c>
      <c r="AH89" s="46" t="s">
        <v>899</v>
      </c>
      <c r="AI89" s="46" t="s">
        <v>1060</v>
      </c>
      <c r="AJ89" s="46"/>
      <c r="AK89" s="46" t="s">
        <v>1060</v>
      </c>
      <c r="AL89" s="90"/>
      <c r="AM89" s="102">
        <v>2922596</v>
      </c>
      <c r="AN89" s="90" t="s">
        <v>1070</v>
      </c>
      <c r="BN89" s="74" t="s">
        <v>516</v>
      </c>
      <c r="BO89" s="74" t="s">
        <v>125</v>
      </c>
      <c r="BP89" s="78">
        <v>155000</v>
      </c>
      <c r="BQ89" s="74" t="s">
        <v>388</v>
      </c>
      <c r="BR89" s="74" t="s">
        <v>461</v>
      </c>
      <c r="BS89" s="74" t="s">
        <v>389</v>
      </c>
      <c r="BT89" s="74" t="s">
        <v>1217</v>
      </c>
      <c r="BU89" s="74" t="s">
        <v>511</v>
      </c>
      <c r="BV89" s="74"/>
      <c r="BX89" s="74" t="s">
        <v>267</v>
      </c>
      <c r="BY89" s="74" t="s">
        <v>238</v>
      </c>
      <c r="BZ89" s="78">
        <v>4000</v>
      </c>
      <c r="CA89" s="74" t="s">
        <v>388</v>
      </c>
      <c r="CB89" s="74" t="s">
        <v>1249</v>
      </c>
      <c r="CC89" s="74" t="s">
        <v>1226</v>
      </c>
      <c r="CD89" s="41" t="s">
        <v>1259</v>
      </c>
      <c r="CE89" s="41" t="s">
        <v>1258</v>
      </c>
      <c r="CF89" s="41"/>
      <c r="CG89" s="41"/>
    </row>
    <row r="90" spans="2:85" ht="20.149999999999999" customHeight="1">
      <c r="B90" s="4" t="s">
        <v>607</v>
      </c>
      <c r="C90" s="4" t="s">
        <v>569</v>
      </c>
      <c r="D90" s="4" t="s">
        <v>828</v>
      </c>
      <c r="E90" s="4" t="s">
        <v>357</v>
      </c>
      <c r="F90" s="73">
        <v>46206</v>
      </c>
      <c r="G90" s="5">
        <v>92</v>
      </c>
      <c r="H90" s="6">
        <v>552000</v>
      </c>
      <c r="AD90" s="46" t="s">
        <v>1059</v>
      </c>
      <c r="AE90" s="46" t="s">
        <v>388</v>
      </c>
      <c r="AF90" s="101">
        <v>46115</v>
      </c>
      <c r="AG90" s="102">
        <f t="shared" si="0"/>
        <v>0</v>
      </c>
      <c r="AH90" s="46" t="s">
        <v>899</v>
      </c>
      <c r="AI90" s="46" t="s">
        <v>1060</v>
      </c>
      <c r="AJ90" s="46"/>
      <c r="AK90" s="46" t="s">
        <v>1060</v>
      </c>
      <c r="AL90" s="90"/>
      <c r="AM90" s="102">
        <v>934000</v>
      </c>
      <c r="AN90" s="90" t="s">
        <v>1071</v>
      </c>
      <c r="BN90" s="74" t="s">
        <v>516</v>
      </c>
      <c r="BO90" s="74" t="s">
        <v>133</v>
      </c>
      <c r="BP90" s="78">
        <v>155000</v>
      </c>
      <c r="BQ90" s="74" t="s">
        <v>388</v>
      </c>
      <c r="BR90" s="74" t="s">
        <v>461</v>
      </c>
      <c r="BS90" s="74" t="s">
        <v>389</v>
      </c>
      <c r="BT90" s="74" t="s">
        <v>1217</v>
      </c>
      <c r="BU90" s="74" t="s">
        <v>511</v>
      </c>
      <c r="BV90" s="74"/>
      <c r="BX90" s="74" t="s">
        <v>290</v>
      </c>
      <c r="BY90" s="74" t="s">
        <v>139</v>
      </c>
      <c r="BZ90" s="78">
        <v>785</v>
      </c>
      <c r="CA90" s="74" t="s">
        <v>388</v>
      </c>
      <c r="CB90" s="74" t="s">
        <v>1267</v>
      </c>
      <c r="CC90" s="74" t="s">
        <v>1260</v>
      </c>
      <c r="CD90" s="41" t="s">
        <v>1268</v>
      </c>
      <c r="CE90" s="41" t="s">
        <v>1266</v>
      </c>
      <c r="CF90" s="41"/>
      <c r="CG90" s="41"/>
    </row>
    <row r="91" spans="2:85" ht="20.149999999999999" customHeight="1">
      <c r="B91" s="4" t="s">
        <v>734</v>
      </c>
      <c r="C91" s="4" t="s">
        <v>569</v>
      </c>
      <c r="D91" s="4" t="s">
        <v>828</v>
      </c>
      <c r="E91" s="4" t="s">
        <v>406</v>
      </c>
      <c r="F91" s="73">
        <v>46209</v>
      </c>
      <c r="G91" s="5">
        <v>500</v>
      </c>
      <c r="H91" s="6">
        <v>46563.6</v>
      </c>
      <c r="AD91" s="90" t="s">
        <v>1073</v>
      </c>
      <c r="AE91" s="90" t="s">
        <v>388</v>
      </c>
      <c r="AF91" s="101">
        <v>46119</v>
      </c>
      <c r="AG91" s="102">
        <f t="shared" si="0"/>
        <v>0</v>
      </c>
      <c r="AH91" s="46" t="s">
        <v>899</v>
      </c>
      <c r="AI91" s="46" t="s">
        <v>1060</v>
      </c>
      <c r="AJ91" s="46"/>
      <c r="AK91" s="46" t="s">
        <v>1060</v>
      </c>
      <c r="AL91" s="90"/>
      <c r="AM91" s="102">
        <v>6137000</v>
      </c>
      <c r="AN91" s="90" t="s">
        <v>1074</v>
      </c>
      <c r="BN91" s="74" t="s">
        <v>516</v>
      </c>
      <c r="BO91" s="74" t="s">
        <v>133</v>
      </c>
      <c r="BP91" s="78">
        <v>95000</v>
      </c>
      <c r="BQ91" s="74" t="s">
        <v>388</v>
      </c>
      <c r="BR91" s="74" t="s">
        <v>461</v>
      </c>
      <c r="BS91" s="74" t="s">
        <v>389</v>
      </c>
      <c r="BT91" s="74" t="s">
        <v>1217</v>
      </c>
      <c r="BU91" s="74" t="s">
        <v>511</v>
      </c>
      <c r="BV91" s="74"/>
      <c r="BX91" s="74" t="s">
        <v>290</v>
      </c>
      <c r="BY91" s="74" t="s">
        <v>139</v>
      </c>
      <c r="BZ91" s="78">
        <v>49215</v>
      </c>
      <c r="CA91" s="74" t="s">
        <v>388</v>
      </c>
      <c r="CB91" s="74" t="s">
        <v>1267</v>
      </c>
      <c r="CC91" s="74" t="s">
        <v>1260</v>
      </c>
      <c r="CD91" s="41" t="s">
        <v>1268</v>
      </c>
      <c r="CE91" s="41" t="s">
        <v>1266</v>
      </c>
      <c r="CF91" s="41"/>
      <c r="CG91" s="41"/>
    </row>
    <row r="92" spans="2:85" ht="20.149999999999999" customHeight="1">
      <c r="B92" s="4" t="s">
        <v>734</v>
      </c>
      <c r="C92" s="4" t="s">
        <v>569</v>
      </c>
      <c r="D92" s="4" t="s">
        <v>828</v>
      </c>
      <c r="E92" s="4" t="s">
        <v>410</v>
      </c>
      <c r="F92" s="73">
        <v>46209</v>
      </c>
      <c r="G92" s="5">
        <v>800</v>
      </c>
      <c r="H92" s="6">
        <v>74501.77</v>
      </c>
      <c r="AD92" s="90" t="s">
        <v>1073</v>
      </c>
      <c r="AE92" s="90" t="s">
        <v>388</v>
      </c>
      <c r="AF92" s="101">
        <v>46119</v>
      </c>
      <c r="AG92" s="102">
        <f t="shared" si="0"/>
        <v>0</v>
      </c>
      <c r="AH92" s="46" t="s">
        <v>899</v>
      </c>
      <c r="AI92" s="46" t="s">
        <v>1060</v>
      </c>
      <c r="AJ92" s="46"/>
      <c r="AK92" s="46" t="s">
        <v>1060</v>
      </c>
      <c r="AL92" s="90"/>
      <c r="AM92" s="102">
        <v>7001263</v>
      </c>
      <c r="AN92" s="54" t="s">
        <v>1075</v>
      </c>
      <c r="BN92" s="74" t="s">
        <v>516</v>
      </c>
      <c r="BO92" s="74" t="s">
        <v>417</v>
      </c>
      <c r="BP92" s="78">
        <v>80000</v>
      </c>
      <c r="BQ92" s="74" t="s">
        <v>388</v>
      </c>
      <c r="BR92" s="74" t="s">
        <v>461</v>
      </c>
      <c r="BS92" s="74" t="s">
        <v>389</v>
      </c>
      <c r="BT92" s="74" t="s">
        <v>1217</v>
      </c>
      <c r="BU92" s="74" t="s">
        <v>511</v>
      </c>
      <c r="BV92" s="74"/>
      <c r="BX92" s="74" t="s">
        <v>290</v>
      </c>
      <c r="BY92" s="74" t="s">
        <v>139</v>
      </c>
      <c r="BZ92" s="78">
        <v>35536</v>
      </c>
      <c r="CA92" s="74" t="s">
        <v>388</v>
      </c>
      <c r="CB92" s="74" t="s">
        <v>1267</v>
      </c>
      <c r="CC92" s="74" t="s">
        <v>1260</v>
      </c>
      <c r="CD92" s="41" t="s">
        <v>1268</v>
      </c>
      <c r="CE92" s="41" t="s">
        <v>1266</v>
      </c>
      <c r="CF92" s="41"/>
      <c r="CG92" s="41"/>
    </row>
    <row r="93" spans="2:85" ht="20.149999999999999" customHeight="1">
      <c r="B93" s="4" t="s">
        <v>734</v>
      </c>
      <c r="C93" s="4" t="s">
        <v>569</v>
      </c>
      <c r="D93" s="4" t="s">
        <v>828</v>
      </c>
      <c r="E93" s="4" t="s">
        <v>410</v>
      </c>
      <c r="F93" s="73">
        <v>46209</v>
      </c>
      <c r="G93" s="5">
        <v>200</v>
      </c>
      <c r="H93" s="6">
        <v>18625.439999999999</v>
      </c>
      <c r="AD93" s="90" t="s">
        <v>1073</v>
      </c>
      <c r="AE93" s="90" t="s">
        <v>388</v>
      </c>
      <c r="AF93" s="101">
        <v>46119</v>
      </c>
      <c r="AG93" s="102">
        <f t="shared" si="0"/>
        <v>0</v>
      </c>
      <c r="AH93" s="46" t="s">
        <v>899</v>
      </c>
      <c r="AI93" s="46" t="s">
        <v>1060</v>
      </c>
      <c r="AJ93" s="46"/>
      <c r="AK93" s="46" t="s">
        <v>1060</v>
      </c>
      <c r="AL93" s="90"/>
      <c r="AM93" s="102">
        <v>535588</v>
      </c>
      <c r="AN93" s="90" t="s">
        <v>1076</v>
      </c>
      <c r="BN93" s="74" t="s">
        <v>516</v>
      </c>
      <c r="BO93" s="74" t="s">
        <v>406</v>
      </c>
      <c r="BP93" s="78">
        <v>20000</v>
      </c>
      <c r="BQ93" s="74" t="s">
        <v>388</v>
      </c>
      <c r="BR93" s="74" t="s">
        <v>461</v>
      </c>
      <c r="BS93" s="74" t="s">
        <v>389</v>
      </c>
      <c r="BT93" s="74" t="s">
        <v>1217</v>
      </c>
      <c r="BU93" s="74" t="s">
        <v>511</v>
      </c>
      <c r="BV93" s="74"/>
      <c r="BX93" s="74" t="s">
        <v>319</v>
      </c>
      <c r="BY93" s="74" t="s">
        <v>322</v>
      </c>
      <c r="BZ93" s="78">
        <v>50000</v>
      </c>
      <c r="CA93" s="74" t="s">
        <v>388</v>
      </c>
      <c r="CB93" s="74"/>
      <c r="CC93" s="74" t="s">
        <v>1277</v>
      </c>
      <c r="CD93" s="41" t="s">
        <v>1278</v>
      </c>
      <c r="CE93" s="41" t="s">
        <v>1276</v>
      </c>
      <c r="CF93" s="41"/>
      <c r="CG93" s="41" t="s">
        <v>391</v>
      </c>
    </row>
    <row r="94" spans="2:85" ht="20.149999999999999" customHeight="1">
      <c r="B94" s="4" t="s">
        <v>780</v>
      </c>
      <c r="C94" s="4" t="s">
        <v>569</v>
      </c>
      <c r="D94" s="4" t="s">
        <v>828</v>
      </c>
      <c r="E94" s="4" t="s">
        <v>441</v>
      </c>
      <c r="F94" s="73">
        <v>46209</v>
      </c>
      <c r="G94" s="5">
        <v>20</v>
      </c>
      <c r="H94" s="6">
        <v>118733.72</v>
      </c>
      <c r="AD94" s="90" t="s">
        <v>1073</v>
      </c>
      <c r="AE94" s="90" t="s">
        <v>388</v>
      </c>
      <c r="AF94" s="101">
        <v>46119</v>
      </c>
      <c r="AG94" s="102">
        <f t="shared" si="0"/>
        <v>0</v>
      </c>
      <c r="AH94" s="46" t="s">
        <v>899</v>
      </c>
      <c r="AI94" s="46" t="s">
        <v>1060</v>
      </c>
      <c r="AJ94" s="46"/>
      <c r="AK94" s="46" t="s">
        <v>1060</v>
      </c>
      <c r="AL94" s="90"/>
      <c r="AM94" s="102">
        <v>701829</v>
      </c>
      <c r="AN94" s="90" t="s">
        <v>1077</v>
      </c>
      <c r="BN94" s="74" t="s">
        <v>516</v>
      </c>
      <c r="BO94" s="74" t="s">
        <v>406</v>
      </c>
      <c r="BP94" s="78">
        <v>80000</v>
      </c>
      <c r="BQ94" s="74" t="s">
        <v>388</v>
      </c>
      <c r="BR94" s="74" t="s">
        <v>461</v>
      </c>
      <c r="BS94" s="74" t="s">
        <v>389</v>
      </c>
      <c r="BT94" s="74" t="s">
        <v>1217</v>
      </c>
      <c r="BU94" s="74" t="s">
        <v>511</v>
      </c>
      <c r="BV94" s="74"/>
      <c r="BX94" s="74" t="s">
        <v>328</v>
      </c>
      <c r="BY94" s="74" t="s">
        <v>187</v>
      </c>
      <c r="BZ94" s="78">
        <v>2413</v>
      </c>
      <c r="CA94" s="74"/>
      <c r="CB94" s="74"/>
      <c r="CC94" s="74"/>
      <c r="CD94" s="41"/>
      <c r="CE94" s="41"/>
      <c r="CF94" s="41"/>
      <c r="CG94" s="41" t="s">
        <v>1279</v>
      </c>
    </row>
    <row r="95" spans="2:85" ht="20.149999999999999" customHeight="1">
      <c r="B95" s="4" t="s">
        <v>692</v>
      </c>
      <c r="C95" s="4" t="s">
        <v>569</v>
      </c>
      <c r="D95" s="4" t="s">
        <v>828</v>
      </c>
      <c r="E95" s="4" t="s">
        <v>271</v>
      </c>
      <c r="F95" s="73">
        <v>46209</v>
      </c>
      <c r="G95" s="5">
        <v>2</v>
      </c>
      <c r="H95" s="6">
        <v>10762.71</v>
      </c>
      <c r="AD95" s="90" t="s">
        <v>1073</v>
      </c>
      <c r="AE95" s="90" t="s">
        <v>388</v>
      </c>
      <c r="AF95" s="101">
        <v>46119</v>
      </c>
      <c r="AG95" s="102">
        <f t="shared" si="0"/>
        <v>0</v>
      </c>
      <c r="AH95" s="46" t="s">
        <v>899</v>
      </c>
      <c r="AI95" s="46" t="s">
        <v>1060</v>
      </c>
      <c r="AJ95" s="46"/>
      <c r="AK95" s="46" t="s">
        <v>1060</v>
      </c>
      <c r="AL95" s="90"/>
      <c r="AM95" s="102">
        <v>6346814</v>
      </c>
      <c r="AN95" s="90" t="s">
        <v>1078</v>
      </c>
      <c r="BN95" s="74" t="s">
        <v>516</v>
      </c>
      <c r="BO95" s="74" t="s">
        <v>410</v>
      </c>
      <c r="BP95" s="78">
        <v>20000</v>
      </c>
      <c r="BQ95" s="74" t="s">
        <v>388</v>
      </c>
      <c r="BR95" s="74" t="s">
        <v>461</v>
      </c>
      <c r="BS95" s="74" t="s">
        <v>389</v>
      </c>
      <c r="BT95" s="74" t="s">
        <v>1217</v>
      </c>
      <c r="BU95" s="74" t="s">
        <v>511</v>
      </c>
      <c r="BV95" s="74"/>
      <c r="BX95" s="74" t="s">
        <v>328</v>
      </c>
      <c r="BY95" s="74" t="s">
        <v>187</v>
      </c>
      <c r="BZ95" s="78">
        <v>7587</v>
      </c>
      <c r="CA95" s="74"/>
      <c r="CB95" s="74"/>
      <c r="CC95" s="74"/>
      <c r="CD95" s="41"/>
      <c r="CE95" s="41"/>
      <c r="CF95" s="41"/>
      <c r="CG95" s="41" t="s">
        <v>1279</v>
      </c>
    </row>
    <row r="96" spans="2:85" ht="20.149999999999999" customHeight="1">
      <c r="B96" s="4" t="s">
        <v>723</v>
      </c>
      <c r="C96" s="4" t="s">
        <v>569</v>
      </c>
      <c r="D96" s="4" t="s">
        <v>824</v>
      </c>
      <c r="E96" s="4" t="s">
        <v>187</v>
      </c>
      <c r="F96" s="73">
        <v>46209</v>
      </c>
      <c r="G96" s="5">
        <v>618</v>
      </c>
      <c r="H96" s="6">
        <v>147582.09</v>
      </c>
      <c r="AD96" s="90" t="s">
        <v>1073</v>
      </c>
      <c r="AE96" s="90" t="s">
        <v>388</v>
      </c>
      <c r="AF96" s="101">
        <v>46119</v>
      </c>
      <c r="AG96" s="102">
        <f t="shared" si="0"/>
        <v>0</v>
      </c>
      <c r="AH96" s="46" t="s">
        <v>899</v>
      </c>
      <c r="AI96" s="46" t="s">
        <v>1060</v>
      </c>
      <c r="AJ96" s="46"/>
      <c r="AK96" s="46" t="s">
        <v>1060</v>
      </c>
      <c r="AL96" s="90"/>
      <c r="AM96" s="102">
        <v>4802065</v>
      </c>
      <c r="AN96" s="90" t="s">
        <v>1079</v>
      </c>
      <c r="BN96" s="74" t="s">
        <v>516</v>
      </c>
      <c r="BO96" s="74" t="s">
        <v>410</v>
      </c>
      <c r="BP96" s="78">
        <v>80000</v>
      </c>
      <c r="BQ96" s="74" t="s">
        <v>388</v>
      </c>
      <c r="BR96" s="74" t="s">
        <v>461</v>
      </c>
      <c r="BS96" s="74" t="s">
        <v>389</v>
      </c>
      <c r="BT96" s="74" t="s">
        <v>1217</v>
      </c>
      <c r="BU96" s="74" t="s">
        <v>511</v>
      </c>
      <c r="BV96" s="74"/>
      <c r="BX96" s="74" t="s">
        <v>335</v>
      </c>
      <c r="BY96" s="74" t="s">
        <v>338</v>
      </c>
      <c r="BZ96" s="78">
        <v>350</v>
      </c>
      <c r="CA96" s="74"/>
      <c r="CB96" s="74"/>
      <c r="CC96" s="74"/>
      <c r="CD96" s="41"/>
      <c r="CE96" s="41"/>
      <c r="CF96" s="41"/>
      <c r="CG96" s="41" t="s">
        <v>1279</v>
      </c>
    </row>
    <row r="97" spans="2:85" ht="20.149999999999999" customHeight="1">
      <c r="B97" s="4" t="s">
        <v>723</v>
      </c>
      <c r="C97" s="4" t="s">
        <v>569</v>
      </c>
      <c r="D97" s="4" t="s">
        <v>824</v>
      </c>
      <c r="E97" s="4" t="s">
        <v>187</v>
      </c>
      <c r="F97" s="73">
        <v>46209</v>
      </c>
      <c r="G97" s="5">
        <v>62</v>
      </c>
      <c r="H97" s="6">
        <v>14805.97</v>
      </c>
      <c r="AD97" s="90" t="s">
        <v>1073</v>
      </c>
      <c r="AE97" s="90" t="s">
        <v>388</v>
      </c>
      <c r="AF97" s="101">
        <v>46119</v>
      </c>
      <c r="AG97" s="102">
        <f t="shared" si="0"/>
        <v>0</v>
      </c>
      <c r="AH97" s="46" t="s">
        <v>899</v>
      </c>
      <c r="AI97" s="46" t="s">
        <v>1060</v>
      </c>
      <c r="AJ97" s="46"/>
      <c r="AK97" s="46" t="s">
        <v>1060</v>
      </c>
      <c r="AL97" s="90"/>
      <c r="AM97" s="102">
        <v>1380622</v>
      </c>
      <c r="AN97" s="90" t="s">
        <v>1080</v>
      </c>
      <c r="BN97" s="74" t="s">
        <v>516</v>
      </c>
      <c r="BO97" s="74" t="s">
        <v>410</v>
      </c>
      <c r="BP97" s="78">
        <v>80000</v>
      </c>
      <c r="BQ97" s="74" t="s">
        <v>388</v>
      </c>
      <c r="BR97" s="74" t="s">
        <v>461</v>
      </c>
      <c r="BS97" s="74" t="s">
        <v>389</v>
      </c>
      <c r="BT97" s="74" t="s">
        <v>1217</v>
      </c>
      <c r="BU97" s="74" t="s">
        <v>511</v>
      </c>
      <c r="BV97" s="74"/>
      <c r="BX97" s="74" t="s">
        <v>335</v>
      </c>
      <c r="BY97" s="74" t="s">
        <v>324</v>
      </c>
      <c r="BZ97" s="78">
        <v>3000</v>
      </c>
      <c r="CA97" s="74"/>
      <c r="CB97" s="74"/>
      <c r="CC97" s="74"/>
      <c r="CD97" s="41"/>
      <c r="CE97" s="41"/>
      <c r="CF97" s="41"/>
      <c r="CG97" s="41" t="s">
        <v>1279</v>
      </c>
    </row>
    <row r="98" spans="2:85" ht="20.149999999999999" customHeight="1">
      <c r="B98" s="4" t="s">
        <v>671</v>
      </c>
      <c r="C98" s="4" t="s">
        <v>569</v>
      </c>
      <c r="D98" s="4" t="s">
        <v>828</v>
      </c>
      <c r="E98" s="4" t="s">
        <v>424</v>
      </c>
      <c r="F98" s="73">
        <v>46209</v>
      </c>
      <c r="G98" s="5">
        <v>8</v>
      </c>
      <c r="H98" s="6">
        <v>44067.8</v>
      </c>
      <c r="AD98" s="41" t="s">
        <v>1082</v>
      </c>
      <c r="AE98" s="41" t="s">
        <v>388</v>
      </c>
      <c r="AF98" s="101">
        <v>46070</v>
      </c>
      <c r="AG98" s="102"/>
      <c r="AH98" s="46" t="s">
        <v>899</v>
      </c>
      <c r="AI98" s="46" t="s">
        <v>1060</v>
      </c>
      <c r="AJ98" s="46"/>
      <c r="AK98" s="46" t="s">
        <v>1060</v>
      </c>
      <c r="AL98" s="90"/>
      <c r="AM98" s="41" t="s">
        <v>1083</v>
      </c>
      <c r="AN98" s="41" t="s">
        <v>1065</v>
      </c>
      <c r="BN98" s="74" t="s">
        <v>516</v>
      </c>
      <c r="BO98" s="74" t="s">
        <v>301</v>
      </c>
      <c r="BP98" s="78">
        <v>40000</v>
      </c>
      <c r="BQ98" s="74" t="s">
        <v>388</v>
      </c>
      <c r="BR98" s="74" t="s">
        <v>461</v>
      </c>
      <c r="BS98" s="74" t="s">
        <v>389</v>
      </c>
      <c r="BT98" s="74" t="s">
        <v>1217</v>
      </c>
      <c r="BU98" s="74" t="s">
        <v>511</v>
      </c>
      <c r="BV98" s="74"/>
      <c r="BX98" s="74" t="s">
        <v>335</v>
      </c>
      <c r="BY98" s="74" t="s">
        <v>326</v>
      </c>
      <c r="BZ98" s="78">
        <v>240</v>
      </c>
      <c r="CA98" s="74"/>
      <c r="CB98" s="74"/>
      <c r="CC98" s="74"/>
      <c r="CD98" s="41"/>
      <c r="CE98" s="41"/>
      <c r="CF98" s="41"/>
      <c r="CG98" s="41" t="s">
        <v>1279</v>
      </c>
    </row>
    <row r="99" spans="2:85" ht="20.149999999999999" customHeight="1">
      <c r="B99" s="4" t="s">
        <v>671</v>
      </c>
      <c r="C99" s="4" t="s">
        <v>569</v>
      </c>
      <c r="D99" s="4" t="s">
        <v>828</v>
      </c>
      <c r="E99" s="4" t="s">
        <v>133</v>
      </c>
      <c r="F99" s="73">
        <v>46209</v>
      </c>
      <c r="G99" s="5">
        <v>1000</v>
      </c>
      <c r="H99" s="6">
        <v>101694.92</v>
      </c>
      <c r="AD99" s="41" t="s">
        <v>1082</v>
      </c>
      <c r="AE99" s="41" t="s">
        <v>388</v>
      </c>
      <c r="AF99" s="101">
        <v>46070</v>
      </c>
      <c r="AG99" s="102"/>
      <c r="AH99" s="46" t="s">
        <v>899</v>
      </c>
      <c r="AI99" s="46" t="s">
        <v>1060</v>
      </c>
      <c r="AJ99" s="46"/>
      <c r="AK99" s="46" t="s">
        <v>1060</v>
      </c>
      <c r="AL99" s="90"/>
      <c r="AM99" s="41" t="s">
        <v>1083</v>
      </c>
      <c r="AN99" s="41" t="s">
        <v>1084</v>
      </c>
      <c r="BN99" s="74" t="s">
        <v>516</v>
      </c>
      <c r="BO99" s="74" t="s">
        <v>301</v>
      </c>
      <c r="BP99" s="78">
        <v>80000</v>
      </c>
      <c r="BQ99" s="74" t="s">
        <v>388</v>
      </c>
      <c r="BR99" s="74" t="s">
        <v>461</v>
      </c>
      <c r="BS99" s="74" t="s">
        <v>389</v>
      </c>
      <c r="BT99" s="74" t="s">
        <v>1217</v>
      </c>
      <c r="BU99" s="74" t="s">
        <v>511</v>
      </c>
      <c r="BV99" s="74"/>
      <c r="BX99" s="74" t="s">
        <v>335</v>
      </c>
      <c r="BY99" s="74" t="s">
        <v>326</v>
      </c>
      <c r="BZ99" s="78">
        <v>6600</v>
      </c>
      <c r="CA99" s="74"/>
      <c r="CB99" s="74"/>
      <c r="CC99" s="74"/>
      <c r="CD99" s="41"/>
      <c r="CE99" s="41"/>
      <c r="CF99" s="41"/>
      <c r="CG99" s="41" t="s">
        <v>1279</v>
      </c>
    </row>
    <row r="100" spans="2:85" ht="20.149999999999999" customHeight="1">
      <c r="B100" s="4" t="s">
        <v>671</v>
      </c>
      <c r="C100" s="4" t="s">
        <v>569</v>
      </c>
      <c r="D100" s="4" t="s">
        <v>828</v>
      </c>
      <c r="E100" s="4" t="s">
        <v>332</v>
      </c>
      <c r="F100" s="73">
        <v>46209</v>
      </c>
      <c r="G100" s="5">
        <v>1000</v>
      </c>
      <c r="H100" s="6">
        <v>50000</v>
      </c>
      <c r="AD100" s="41" t="s">
        <v>1082</v>
      </c>
      <c r="AE100" s="41" t="s">
        <v>388</v>
      </c>
      <c r="AF100" s="101">
        <v>46070</v>
      </c>
      <c r="AG100" s="102"/>
      <c r="AH100" s="46" t="s">
        <v>899</v>
      </c>
      <c r="AI100" s="46" t="s">
        <v>1060</v>
      </c>
      <c r="AJ100" s="46"/>
      <c r="AK100" s="46" t="s">
        <v>1060</v>
      </c>
      <c r="AL100" s="90"/>
      <c r="AM100" s="41" t="s">
        <v>1083</v>
      </c>
      <c r="AN100" s="41" t="s">
        <v>1085</v>
      </c>
      <c r="BN100" s="74" t="s">
        <v>516</v>
      </c>
      <c r="BO100" s="74" t="s">
        <v>541</v>
      </c>
      <c r="BP100" s="78">
        <v>15000</v>
      </c>
      <c r="BQ100" s="74" t="s">
        <v>388</v>
      </c>
      <c r="BR100" s="74" t="s">
        <v>461</v>
      </c>
      <c r="BS100" s="74" t="s">
        <v>389</v>
      </c>
      <c r="BT100" s="74" t="s">
        <v>1217</v>
      </c>
      <c r="BU100" s="74" t="s">
        <v>511</v>
      </c>
      <c r="BV100" s="74"/>
      <c r="BX100" s="74" t="s">
        <v>343</v>
      </c>
      <c r="BY100" s="74" t="s">
        <v>218</v>
      </c>
      <c r="BZ100" s="78">
        <v>809</v>
      </c>
      <c r="CA100" s="74" t="s">
        <v>388</v>
      </c>
      <c r="CB100" s="74" t="s">
        <v>1281</v>
      </c>
      <c r="CC100" s="74" t="s">
        <v>1260</v>
      </c>
      <c r="CD100" s="41" t="s">
        <v>1282</v>
      </c>
      <c r="CE100" s="41" t="s">
        <v>1280</v>
      </c>
      <c r="CF100" s="41"/>
      <c r="CG100" s="41"/>
    </row>
    <row r="101" spans="2:85" ht="20.149999999999999" customHeight="1">
      <c r="B101" s="4" t="s">
        <v>602</v>
      </c>
      <c r="C101" s="4" t="s">
        <v>569</v>
      </c>
      <c r="D101" s="4" t="s">
        <v>828</v>
      </c>
      <c r="E101" s="4" t="s">
        <v>332</v>
      </c>
      <c r="F101" s="73">
        <v>46209</v>
      </c>
      <c r="G101" s="5">
        <v>2500</v>
      </c>
      <c r="H101" s="6">
        <v>145000</v>
      </c>
      <c r="AD101" s="41" t="s">
        <v>1082</v>
      </c>
      <c r="AE101" s="41" t="s">
        <v>388</v>
      </c>
      <c r="AF101" s="101">
        <v>46070</v>
      </c>
      <c r="AG101" s="102"/>
      <c r="AH101" s="46" t="s">
        <v>899</v>
      </c>
      <c r="AI101" s="46" t="s">
        <v>1060</v>
      </c>
      <c r="AJ101" s="46"/>
      <c r="AK101" s="46" t="s">
        <v>1060</v>
      </c>
      <c r="AL101" s="90"/>
      <c r="AM101" s="41" t="s">
        <v>1083</v>
      </c>
      <c r="AN101" s="41" t="s">
        <v>1086</v>
      </c>
      <c r="BN101" s="74" t="s">
        <v>516</v>
      </c>
      <c r="BO101" s="74" t="s">
        <v>545</v>
      </c>
      <c r="BP101" s="78">
        <v>20000</v>
      </c>
      <c r="BQ101" s="74" t="s">
        <v>388</v>
      </c>
      <c r="BR101" s="74" t="s">
        <v>461</v>
      </c>
      <c r="BS101" s="74" t="s">
        <v>389</v>
      </c>
      <c r="BT101" s="74" t="s">
        <v>1217</v>
      </c>
      <c r="BU101" s="74" t="s">
        <v>511</v>
      </c>
      <c r="BV101" s="74"/>
      <c r="BX101" s="74" t="s">
        <v>343</v>
      </c>
      <c r="BY101" s="74" t="s">
        <v>218</v>
      </c>
      <c r="BZ101" s="78">
        <v>1469</v>
      </c>
      <c r="CA101" s="74" t="s">
        <v>388</v>
      </c>
      <c r="CB101" s="74" t="s">
        <v>1281</v>
      </c>
      <c r="CC101" s="74" t="s">
        <v>1260</v>
      </c>
      <c r="CD101" s="41" t="s">
        <v>1282</v>
      </c>
      <c r="CE101" s="41" t="s">
        <v>1280</v>
      </c>
      <c r="CF101" s="41"/>
      <c r="CG101" s="41"/>
    </row>
    <row r="102" spans="2:85" ht="20.149999999999999" customHeight="1">
      <c r="B102" s="4" t="s">
        <v>1434</v>
      </c>
      <c r="C102" s="4" t="s">
        <v>569</v>
      </c>
      <c r="D102" s="4" t="s">
        <v>824</v>
      </c>
      <c r="E102" s="4" t="s">
        <v>226</v>
      </c>
      <c r="F102" s="73">
        <v>46209</v>
      </c>
      <c r="G102" s="5">
        <v>100</v>
      </c>
      <c r="H102" s="6">
        <v>20398.009999999998</v>
      </c>
      <c r="AD102" s="41" t="s">
        <v>1082</v>
      </c>
      <c r="AE102" s="41" t="s">
        <v>388</v>
      </c>
      <c r="AF102" s="101">
        <v>46070</v>
      </c>
      <c r="AG102" s="102"/>
      <c r="AH102" s="46" t="s">
        <v>899</v>
      </c>
      <c r="AI102" s="46" t="s">
        <v>1060</v>
      </c>
      <c r="AJ102" s="46"/>
      <c r="AK102" s="46" t="s">
        <v>1060</v>
      </c>
      <c r="AL102" s="90"/>
      <c r="AM102" s="41" t="s">
        <v>1083</v>
      </c>
      <c r="AN102" s="41" t="s">
        <v>1075</v>
      </c>
      <c r="BN102" s="74" t="s">
        <v>516</v>
      </c>
      <c r="BO102" s="74" t="s">
        <v>549</v>
      </c>
      <c r="BP102" s="78">
        <v>50000</v>
      </c>
      <c r="BQ102" s="74" t="s">
        <v>388</v>
      </c>
      <c r="BR102" s="74" t="s">
        <v>461</v>
      </c>
      <c r="BS102" s="74" t="s">
        <v>389</v>
      </c>
      <c r="BT102" s="74" t="s">
        <v>1217</v>
      </c>
      <c r="BU102" s="74" t="s">
        <v>511</v>
      </c>
      <c r="BV102" s="74"/>
      <c r="BX102" s="74" t="s">
        <v>343</v>
      </c>
      <c r="BY102" s="74" t="s">
        <v>218</v>
      </c>
      <c r="BZ102" s="78">
        <v>2873</v>
      </c>
      <c r="CA102" s="74" t="s">
        <v>388</v>
      </c>
      <c r="CB102" s="74" t="s">
        <v>1281</v>
      </c>
      <c r="CC102" s="74" t="s">
        <v>1260</v>
      </c>
      <c r="CD102" s="41" t="s">
        <v>1282</v>
      </c>
      <c r="CE102" s="41" t="s">
        <v>1280</v>
      </c>
      <c r="CF102" s="41"/>
      <c r="CG102" s="41"/>
    </row>
    <row r="103" spans="2:85" ht="20.149999999999999" customHeight="1">
      <c r="B103" s="4" t="s">
        <v>1434</v>
      </c>
      <c r="C103" s="4" t="s">
        <v>569</v>
      </c>
      <c r="D103" s="4" t="s">
        <v>824</v>
      </c>
      <c r="E103" s="4" t="s">
        <v>187</v>
      </c>
      <c r="F103" s="73">
        <v>46209</v>
      </c>
      <c r="G103" s="5">
        <v>28</v>
      </c>
      <c r="H103" s="6">
        <v>8915.42</v>
      </c>
      <c r="AD103" s="41" t="s">
        <v>1082</v>
      </c>
      <c r="AE103" s="41" t="s">
        <v>388</v>
      </c>
      <c r="AF103" s="101">
        <v>46070</v>
      </c>
      <c r="AG103" s="102"/>
      <c r="AH103" s="46" t="s">
        <v>899</v>
      </c>
      <c r="AI103" s="46" t="s">
        <v>1060</v>
      </c>
      <c r="AJ103" s="46"/>
      <c r="AK103" s="46" t="s">
        <v>1060</v>
      </c>
      <c r="AL103" s="90"/>
      <c r="AM103" s="41" t="s">
        <v>1083</v>
      </c>
      <c r="AN103" s="41" t="s">
        <v>1087</v>
      </c>
      <c r="BN103" s="74" t="s">
        <v>516</v>
      </c>
      <c r="BO103" s="74" t="s">
        <v>554</v>
      </c>
      <c r="BP103" s="78">
        <v>30000</v>
      </c>
      <c r="BQ103" s="74" t="s">
        <v>388</v>
      </c>
      <c r="BR103" s="74" t="s">
        <v>461</v>
      </c>
      <c r="BS103" s="74" t="s">
        <v>389</v>
      </c>
      <c r="BT103" s="74" t="s">
        <v>1217</v>
      </c>
      <c r="BU103" s="74" t="s">
        <v>511</v>
      </c>
      <c r="BV103" s="74"/>
      <c r="BX103" s="74" t="s">
        <v>343</v>
      </c>
      <c r="BY103" s="74" t="s">
        <v>218</v>
      </c>
      <c r="BZ103" s="78">
        <v>1300</v>
      </c>
      <c r="CA103" s="74" t="s">
        <v>388</v>
      </c>
      <c r="CB103" s="74" t="s">
        <v>1281</v>
      </c>
      <c r="CC103" s="74" t="s">
        <v>1260</v>
      </c>
      <c r="CD103" s="41" t="s">
        <v>1282</v>
      </c>
      <c r="CE103" s="41" t="s">
        <v>1280</v>
      </c>
      <c r="CF103" s="41"/>
      <c r="CG103" s="41"/>
    </row>
    <row r="104" spans="2:85" ht="20.149999999999999" customHeight="1">
      <c r="B104" s="4" t="s">
        <v>1434</v>
      </c>
      <c r="C104" s="4" t="s">
        <v>569</v>
      </c>
      <c r="D104" s="4" t="s">
        <v>824</v>
      </c>
      <c r="E104" s="4" t="s">
        <v>218</v>
      </c>
      <c r="F104" s="73">
        <v>46209</v>
      </c>
      <c r="G104" s="5">
        <v>50</v>
      </c>
      <c r="H104" s="6">
        <v>110939.06</v>
      </c>
      <c r="AD104" s="41" t="s">
        <v>1082</v>
      </c>
      <c r="AE104" s="41" t="s">
        <v>388</v>
      </c>
      <c r="AF104" s="101">
        <v>46070</v>
      </c>
      <c r="AG104" s="102"/>
      <c r="AH104" s="46" t="s">
        <v>899</v>
      </c>
      <c r="AI104" s="46" t="s">
        <v>1060</v>
      </c>
      <c r="AJ104" s="46"/>
      <c r="AK104" s="46" t="s">
        <v>1060</v>
      </c>
      <c r="AL104" s="90"/>
      <c r="AM104" s="41" t="s">
        <v>1083</v>
      </c>
      <c r="AN104" s="41" t="s">
        <v>1088</v>
      </c>
      <c r="BN104" s="30" t="s">
        <v>1314</v>
      </c>
      <c r="BO104" s="30" t="s">
        <v>652</v>
      </c>
      <c r="BP104" s="31">
        <v>5940</v>
      </c>
      <c r="BQ104" s="20"/>
      <c r="BR104" s="20"/>
      <c r="BS104" s="20"/>
      <c r="BT104" s="20"/>
      <c r="BU104" s="20"/>
      <c r="BV104" s="23"/>
      <c r="BX104" s="74" t="s">
        <v>343</v>
      </c>
      <c r="BY104" s="74" t="s">
        <v>218</v>
      </c>
      <c r="BZ104" s="78">
        <v>2769</v>
      </c>
      <c r="CA104" s="74" t="s">
        <v>388</v>
      </c>
      <c r="CB104" s="74" t="s">
        <v>1281</v>
      </c>
      <c r="CC104" s="74" t="s">
        <v>1260</v>
      </c>
      <c r="CD104" s="41" t="s">
        <v>1282</v>
      </c>
      <c r="CE104" s="41" t="s">
        <v>1280</v>
      </c>
      <c r="CF104" s="41"/>
      <c r="CG104" s="41"/>
    </row>
    <row r="105" spans="2:85" ht="20.149999999999999" customHeight="1">
      <c r="B105" s="4" t="s">
        <v>732</v>
      </c>
      <c r="C105" s="4" t="s">
        <v>569</v>
      </c>
      <c r="D105" s="4" t="s">
        <v>828</v>
      </c>
      <c r="E105" s="4" t="s">
        <v>322</v>
      </c>
      <c r="F105" s="73">
        <v>46209</v>
      </c>
      <c r="G105" s="5">
        <v>500</v>
      </c>
      <c r="H105" s="6">
        <v>32000</v>
      </c>
      <c r="AD105" s="41" t="s">
        <v>1082</v>
      </c>
      <c r="AE105" s="41" t="s">
        <v>388</v>
      </c>
      <c r="AF105" s="101">
        <v>46070</v>
      </c>
      <c r="AG105" s="102"/>
      <c r="AH105" s="46" t="s">
        <v>899</v>
      </c>
      <c r="AI105" s="46" t="s">
        <v>1060</v>
      </c>
      <c r="AJ105" s="46"/>
      <c r="AK105" s="46" t="s">
        <v>1060</v>
      </c>
      <c r="AL105" s="90"/>
      <c r="AM105" s="41" t="s">
        <v>1083</v>
      </c>
      <c r="AN105" s="41" t="s">
        <v>1089</v>
      </c>
      <c r="BN105" s="30" t="s">
        <v>1314</v>
      </c>
      <c r="BO105" s="30" t="s">
        <v>123</v>
      </c>
      <c r="BP105" s="31">
        <v>21300</v>
      </c>
      <c r="BQ105" s="20"/>
      <c r="BR105" s="20"/>
      <c r="BS105" s="20"/>
      <c r="BT105" s="20"/>
      <c r="BU105" s="20"/>
      <c r="BV105" s="23"/>
      <c r="BX105" s="74" t="s">
        <v>343</v>
      </c>
      <c r="BY105" s="74" t="s">
        <v>218</v>
      </c>
      <c r="BZ105" s="78">
        <v>1404</v>
      </c>
      <c r="CA105" s="74" t="s">
        <v>388</v>
      </c>
      <c r="CB105" s="74" t="s">
        <v>1281</v>
      </c>
      <c r="CC105" s="74" t="s">
        <v>1260</v>
      </c>
      <c r="CD105" s="41" t="s">
        <v>1282</v>
      </c>
      <c r="CE105" s="41" t="s">
        <v>1280</v>
      </c>
      <c r="CF105" s="41"/>
      <c r="CG105" s="41"/>
    </row>
    <row r="106" spans="2:85" ht="20.149999999999999" customHeight="1">
      <c r="B106" s="4" t="s">
        <v>684</v>
      </c>
      <c r="C106" s="4" t="s">
        <v>569</v>
      </c>
      <c r="D106" s="4" t="s">
        <v>828</v>
      </c>
      <c r="E106" s="4" t="s">
        <v>572</v>
      </c>
      <c r="F106" s="73">
        <v>46209</v>
      </c>
      <c r="G106" s="5">
        <v>1000</v>
      </c>
      <c r="H106" s="6">
        <v>18000</v>
      </c>
      <c r="AD106" s="41" t="s">
        <v>1082</v>
      </c>
      <c r="AE106" s="41" t="s">
        <v>388</v>
      </c>
      <c r="AF106" s="101">
        <v>46070</v>
      </c>
      <c r="AG106" s="102"/>
      <c r="AH106" s="46" t="s">
        <v>899</v>
      </c>
      <c r="AI106" s="46" t="s">
        <v>1060</v>
      </c>
      <c r="AJ106" s="46"/>
      <c r="AK106" s="46" t="s">
        <v>1060</v>
      </c>
      <c r="AL106" s="90"/>
      <c r="AM106" s="41" t="s">
        <v>1083</v>
      </c>
      <c r="AN106" s="41" t="s">
        <v>1090</v>
      </c>
      <c r="BN106" s="30" t="s">
        <v>1314</v>
      </c>
      <c r="BO106" s="30" t="s">
        <v>124</v>
      </c>
      <c r="BP106" s="31">
        <v>6600</v>
      </c>
      <c r="BQ106" s="20"/>
      <c r="BR106" s="20"/>
      <c r="BS106" s="20"/>
      <c r="BT106" s="20"/>
      <c r="BU106" s="20"/>
      <c r="BV106" s="23"/>
      <c r="BX106" s="74" t="s">
        <v>343</v>
      </c>
      <c r="BY106" s="74" t="s">
        <v>218</v>
      </c>
      <c r="BZ106" s="78">
        <v>2873</v>
      </c>
      <c r="CA106" s="74" t="s">
        <v>388</v>
      </c>
      <c r="CB106" s="74" t="s">
        <v>1281</v>
      </c>
      <c r="CC106" s="74" t="s">
        <v>1260</v>
      </c>
      <c r="CD106" s="41" t="s">
        <v>1282</v>
      </c>
      <c r="CE106" s="41" t="s">
        <v>1280</v>
      </c>
      <c r="CF106" s="41"/>
      <c r="CG106" s="41"/>
    </row>
    <row r="107" spans="2:85" ht="20.149999999999999" customHeight="1">
      <c r="B107" s="4" t="s">
        <v>647</v>
      </c>
      <c r="C107" s="4" t="s">
        <v>569</v>
      </c>
      <c r="D107" s="4" t="s">
        <v>824</v>
      </c>
      <c r="E107" s="4" t="s">
        <v>326</v>
      </c>
      <c r="F107" s="73">
        <v>46210</v>
      </c>
      <c r="G107" s="5">
        <v>80</v>
      </c>
      <c r="H107" s="6">
        <v>35164.839999999997</v>
      </c>
      <c r="AD107" s="41" t="s">
        <v>1082</v>
      </c>
      <c r="AE107" s="41" t="s">
        <v>388</v>
      </c>
      <c r="AF107" s="101">
        <v>46070</v>
      </c>
      <c r="AG107" s="102"/>
      <c r="AH107" s="46" t="s">
        <v>899</v>
      </c>
      <c r="AI107" s="46" t="s">
        <v>1060</v>
      </c>
      <c r="AJ107" s="46"/>
      <c r="AK107" s="46" t="s">
        <v>1060</v>
      </c>
      <c r="AL107" s="90"/>
      <c r="AM107" s="41" t="s">
        <v>1083</v>
      </c>
      <c r="AN107" s="41" t="s">
        <v>1091</v>
      </c>
      <c r="BN107" s="30" t="s">
        <v>1315</v>
      </c>
      <c r="BO107" s="30" t="s">
        <v>652</v>
      </c>
      <c r="BP107" s="31">
        <v>4000</v>
      </c>
      <c r="BQ107" s="20"/>
      <c r="BR107" s="20"/>
      <c r="BS107" s="20"/>
      <c r="BT107" s="20"/>
      <c r="BU107" s="20"/>
      <c r="BV107" s="23"/>
      <c r="BX107" s="74" t="s">
        <v>343</v>
      </c>
      <c r="BY107" s="74" t="s">
        <v>218</v>
      </c>
      <c r="BZ107" s="78">
        <v>1495</v>
      </c>
      <c r="CA107" s="74" t="s">
        <v>388</v>
      </c>
      <c r="CB107" s="74" t="s">
        <v>1281</v>
      </c>
      <c r="CC107" s="74" t="s">
        <v>1260</v>
      </c>
      <c r="CD107" s="41" t="s">
        <v>1282</v>
      </c>
      <c r="CE107" s="41" t="s">
        <v>1280</v>
      </c>
      <c r="CF107" s="41"/>
      <c r="CG107" s="41"/>
    </row>
    <row r="108" spans="2:85" ht="20.149999999999999" customHeight="1">
      <c r="B108" s="4" t="s">
        <v>647</v>
      </c>
      <c r="C108" s="4" t="s">
        <v>569</v>
      </c>
      <c r="D108" s="4" t="s">
        <v>824</v>
      </c>
      <c r="E108" s="4" t="s">
        <v>144</v>
      </c>
      <c r="F108" s="73">
        <v>46210</v>
      </c>
      <c r="G108" s="5">
        <v>80</v>
      </c>
      <c r="H108" s="6">
        <v>91908.09</v>
      </c>
      <c r="AD108" s="41" t="s">
        <v>1082</v>
      </c>
      <c r="AE108" s="41" t="s">
        <v>388</v>
      </c>
      <c r="AF108" s="101">
        <v>46070</v>
      </c>
      <c r="AG108" s="102"/>
      <c r="AH108" s="46" t="s">
        <v>899</v>
      </c>
      <c r="AI108" s="46" t="s">
        <v>1060</v>
      </c>
      <c r="AJ108" s="46"/>
      <c r="AK108" s="46" t="s">
        <v>1060</v>
      </c>
      <c r="AL108" s="90"/>
      <c r="AM108" s="41" t="s">
        <v>1083</v>
      </c>
      <c r="AN108" s="41" t="s">
        <v>1092</v>
      </c>
      <c r="BN108" s="30" t="s">
        <v>1315</v>
      </c>
      <c r="BO108" s="30" t="s">
        <v>123</v>
      </c>
      <c r="BP108" s="31">
        <v>21840</v>
      </c>
      <c r="BQ108" s="20"/>
      <c r="BR108" s="20"/>
      <c r="BS108" s="20"/>
      <c r="BT108" s="20"/>
      <c r="BU108" s="20"/>
      <c r="BV108" s="23"/>
      <c r="BX108" s="74" t="s">
        <v>343</v>
      </c>
      <c r="BY108" s="74" t="s">
        <v>218</v>
      </c>
      <c r="BZ108" s="78">
        <v>2808</v>
      </c>
      <c r="CA108" s="74" t="s">
        <v>388</v>
      </c>
      <c r="CB108" s="74" t="s">
        <v>1281</v>
      </c>
      <c r="CC108" s="74" t="s">
        <v>1260</v>
      </c>
      <c r="CD108" s="41" t="s">
        <v>1282</v>
      </c>
      <c r="CE108" s="41" t="s">
        <v>1280</v>
      </c>
      <c r="CF108" s="41"/>
      <c r="CG108" s="41"/>
    </row>
    <row r="109" spans="2:85" ht="20.149999999999999" customHeight="1">
      <c r="B109" s="4" t="s">
        <v>647</v>
      </c>
      <c r="C109" s="4" t="s">
        <v>569</v>
      </c>
      <c r="D109" s="4" t="s">
        <v>824</v>
      </c>
      <c r="E109" s="4" t="s">
        <v>326</v>
      </c>
      <c r="F109" s="73">
        <v>46210</v>
      </c>
      <c r="G109" s="5">
        <v>48</v>
      </c>
      <c r="H109" s="6">
        <v>22057.94</v>
      </c>
      <c r="AD109" s="41" t="s">
        <v>1082</v>
      </c>
      <c r="AE109" s="41" t="s">
        <v>388</v>
      </c>
      <c r="AF109" s="101">
        <v>46070</v>
      </c>
      <c r="AG109" s="102"/>
      <c r="AH109" s="46" t="s">
        <v>899</v>
      </c>
      <c r="AI109" s="46" t="s">
        <v>1060</v>
      </c>
      <c r="AJ109" s="46"/>
      <c r="AK109" s="46" t="s">
        <v>1060</v>
      </c>
      <c r="AL109" s="90"/>
      <c r="AM109" s="41" t="s">
        <v>1083</v>
      </c>
      <c r="AN109" s="41" t="s">
        <v>1093</v>
      </c>
      <c r="BN109" s="30" t="s">
        <v>1315</v>
      </c>
      <c r="BO109" s="30" t="s">
        <v>124</v>
      </c>
      <c r="BP109" s="31">
        <v>8000</v>
      </c>
      <c r="BQ109" s="20"/>
      <c r="BR109" s="20"/>
      <c r="BS109" s="20"/>
      <c r="BT109" s="20"/>
      <c r="BU109" s="20"/>
      <c r="BV109" s="23"/>
      <c r="BX109" s="74" t="s">
        <v>354</v>
      </c>
      <c r="BY109" s="74" t="s">
        <v>139</v>
      </c>
      <c r="BZ109" s="78">
        <v>228</v>
      </c>
      <c r="CA109" s="74" t="s">
        <v>388</v>
      </c>
      <c r="CB109" s="74" t="s">
        <v>1284</v>
      </c>
      <c r="CC109" s="74" t="s">
        <v>1260</v>
      </c>
      <c r="CD109" s="41" t="s">
        <v>1285</v>
      </c>
      <c r="CE109" s="41" t="s">
        <v>1283</v>
      </c>
      <c r="CF109" s="41"/>
      <c r="CG109" s="41"/>
    </row>
    <row r="110" spans="2:85" ht="20.149999999999999" customHeight="1">
      <c r="B110" s="4" t="s">
        <v>647</v>
      </c>
      <c r="C110" s="4" t="s">
        <v>569</v>
      </c>
      <c r="D110" s="4" t="s">
        <v>824</v>
      </c>
      <c r="E110" s="4" t="s">
        <v>139</v>
      </c>
      <c r="F110" s="73">
        <v>46210</v>
      </c>
      <c r="G110" s="5">
        <v>48</v>
      </c>
      <c r="H110" s="6">
        <v>52267.73</v>
      </c>
      <c r="AD110" s="41" t="s">
        <v>1082</v>
      </c>
      <c r="AE110" s="41" t="s">
        <v>388</v>
      </c>
      <c r="AF110" s="101">
        <v>46070</v>
      </c>
      <c r="AG110" s="102"/>
      <c r="AH110" s="46" t="s">
        <v>899</v>
      </c>
      <c r="AI110" s="46" t="s">
        <v>1060</v>
      </c>
      <c r="AJ110" s="46"/>
      <c r="AK110" s="46" t="s">
        <v>1060</v>
      </c>
      <c r="AL110" s="90"/>
      <c r="AM110" s="41" t="s">
        <v>1083</v>
      </c>
      <c r="AN110" s="41" t="s">
        <v>1094</v>
      </c>
      <c r="BX110" s="74" t="s">
        <v>354</v>
      </c>
      <c r="BY110" s="74" t="s">
        <v>139</v>
      </c>
      <c r="BZ110" s="78">
        <v>42540</v>
      </c>
      <c r="CA110" s="74" t="s">
        <v>388</v>
      </c>
      <c r="CB110" s="74" t="s">
        <v>1284</v>
      </c>
      <c r="CC110" s="74" t="s">
        <v>1260</v>
      </c>
      <c r="CD110" s="41" t="s">
        <v>1285</v>
      </c>
      <c r="CE110" s="41" t="s">
        <v>1283</v>
      </c>
      <c r="CF110" s="41"/>
      <c r="CG110" s="41"/>
    </row>
    <row r="111" spans="2:85" ht="20.149999999999999" customHeight="1">
      <c r="B111" s="4" t="s">
        <v>647</v>
      </c>
      <c r="C111" s="4" t="s">
        <v>569</v>
      </c>
      <c r="D111" s="4" t="s">
        <v>824</v>
      </c>
      <c r="E111" s="4" t="s">
        <v>166</v>
      </c>
      <c r="F111" s="73">
        <v>46210</v>
      </c>
      <c r="G111" s="5">
        <v>60</v>
      </c>
      <c r="H111" s="6">
        <v>6593.41</v>
      </c>
      <c r="AD111" s="41" t="s">
        <v>1095</v>
      </c>
      <c r="AE111" s="41" t="s">
        <v>388</v>
      </c>
      <c r="AF111" s="55" t="s">
        <v>1096</v>
      </c>
      <c r="AG111" s="102">
        <f t="shared" si="0"/>
        <v>0</v>
      </c>
      <c r="AH111" s="46" t="s">
        <v>899</v>
      </c>
      <c r="AI111" s="46" t="s">
        <v>1060</v>
      </c>
      <c r="AJ111" s="46"/>
      <c r="AK111" s="46" t="s">
        <v>1060</v>
      </c>
      <c r="AL111" s="90"/>
      <c r="AM111" s="51">
        <v>50000</v>
      </c>
      <c r="AN111" s="41" t="s">
        <v>1097</v>
      </c>
      <c r="BX111" s="74" t="s">
        <v>1324</v>
      </c>
      <c r="BY111" s="74" t="s">
        <v>139</v>
      </c>
      <c r="BZ111" s="78">
        <v>19768</v>
      </c>
      <c r="CA111" s="41" t="s">
        <v>388</v>
      </c>
      <c r="CB111" s="41" t="s">
        <v>1351</v>
      </c>
      <c r="CC111" s="74" t="s">
        <v>1260</v>
      </c>
      <c r="CD111" s="41" t="s">
        <v>1352</v>
      </c>
      <c r="CE111" s="41" t="s">
        <v>1350</v>
      </c>
      <c r="CF111" s="41"/>
      <c r="CG111" s="41"/>
    </row>
    <row r="112" spans="2:85" ht="20.149999999999999" customHeight="1">
      <c r="B112" s="4" t="s">
        <v>609</v>
      </c>
      <c r="C112" s="4" t="s">
        <v>569</v>
      </c>
      <c r="D112" s="4" t="s">
        <v>1288</v>
      </c>
      <c r="E112" s="4" t="s">
        <v>171</v>
      </c>
      <c r="F112" s="73">
        <v>46210</v>
      </c>
      <c r="G112" s="5">
        <v>315</v>
      </c>
      <c r="H112" s="6">
        <v>78670.570000000007</v>
      </c>
      <c r="AD112" s="41" t="s">
        <v>1095</v>
      </c>
      <c r="AE112" s="41" t="s">
        <v>388</v>
      </c>
      <c r="AF112" s="55" t="s">
        <v>1096</v>
      </c>
      <c r="AG112" s="102">
        <f t="shared" si="0"/>
        <v>0</v>
      </c>
      <c r="AH112" s="46" t="s">
        <v>899</v>
      </c>
      <c r="AI112" s="46" t="s">
        <v>1060</v>
      </c>
      <c r="AJ112" s="46"/>
      <c r="AK112" s="46" t="s">
        <v>1060</v>
      </c>
      <c r="AL112" s="90"/>
      <c r="AM112" s="51">
        <v>100000</v>
      </c>
      <c r="AN112" s="41" t="s">
        <v>1099</v>
      </c>
      <c r="BX112" s="74" t="s">
        <v>1324</v>
      </c>
      <c r="BY112" s="74" t="s">
        <v>139</v>
      </c>
      <c r="BZ112" s="78">
        <v>17187</v>
      </c>
      <c r="CA112" s="41" t="s">
        <v>388</v>
      </c>
      <c r="CB112" s="41" t="s">
        <v>1351</v>
      </c>
      <c r="CC112" s="74" t="s">
        <v>1260</v>
      </c>
      <c r="CD112" s="41" t="s">
        <v>1352</v>
      </c>
      <c r="CE112" s="41" t="s">
        <v>1350</v>
      </c>
      <c r="CF112" s="41"/>
      <c r="CG112" s="41"/>
    </row>
    <row r="113" spans="2:85" ht="20.149999999999999" customHeight="1">
      <c r="B113" s="4" t="s">
        <v>609</v>
      </c>
      <c r="C113" s="4" t="s">
        <v>569</v>
      </c>
      <c r="D113" s="4" t="s">
        <v>1288</v>
      </c>
      <c r="E113" s="4" t="s">
        <v>171</v>
      </c>
      <c r="F113" s="73">
        <v>46210</v>
      </c>
      <c r="G113" s="5">
        <v>500</v>
      </c>
      <c r="H113" s="6">
        <v>124875.12</v>
      </c>
      <c r="AD113" s="41" t="s">
        <v>1095</v>
      </c>
      <c r="AE113" s="41" t="s">
        <v>388</v>
      </c>
      <c r="AF113" s="55" t="s">
        <v>1096</v>
      </c>
      <c r="AG113" s="102">
        <f t="shared" si="0"/>
        <v>0</v>
      </c>
      <c r="AH113" s="46" t="s">
        <v>899</v>
      </c>
      <c r="AI113" s="46" t="s">
        <v>1060</v>
      </c>
      <c r="AJ113" s="46"/>
      <c r="AK113" s="46" t="s">
        <v>1060</v>
      </c>
      <c r="AL113" s="90"/>
      <c r="AM113" s="51">
        <v>50000</v>
      </c>
      <c r="AN113" s="41" t="s">
        <v>1066</v>
      </c>
      <c r="BX113" s="74" t="s">
        <v>1324</v>
      </c>
      <c r="BY113" s="74" t="s">
        <v>139</v>
      </c>
      <c r="BZ113" s="78">
        <v>5813</v>
      </c>
      <c r="CA113" s="41" t="s">
        <v>388</v>
      </c>
      <c r="CB113" s="41" t="s">
        <v>1351</v>
      </c>
      <c r="CC113" s="74" t="s">
        <v>1260</v>
      </c>
      <c r="CD113" s="41" t="s">
        <v>1352</v>
      </c>
      <c r="CE113" s="41" t="s">
        <v>1350</v>
      </c>
      <c r="CF113" s="41"/>
      <c r="CG113" s="41"/>
    </row>
    <row r="114" spans="2:85" ht="20.149999999999999" customHeight="1">
      <c r="B114" s="4" t="s">
        <v>609</v>
      </c>
      <c r="C114" s="4" t="s">
        <v>569</v>
      </c>
      <c r="D114" s="4" t="s">
        <v>1288</v>
      </c>
      <c r="E114" s="4" t="s">
        <v>238</v>
      </c>
      <c r="F114" s="73">
        <v>46210</v>
      </c>
      <c r="G114" s="5">
        <v>1200</v>
      </c>
      <c r="H114" s="6">
        <v>65934.070000000007</v>
      </c>
      <c r="AD114" s="41" t="s">
        <v>1095</v>
      </c>
      <c r="AE114" s="41" t="s">
        <v>388</v>
      </c>
      <c r="AF114" s="55" t="s">
        <v>1096</v>
      </c>
      <c r="AG114" s="102">
        <f t="shared" si="0"/>
        <v>0</v>
      </c>
      <c r="AH114" s="46" t="s">
        <v>899</v>
      </c>
      <c r="AI114" s="46" t="s">
        <v>1060</v>
      </c>
      <c r="AJ114" s="46"/>
      <c r="AK114" s="46" t="s">
        <v>1060</v>
      </c>
      <c r="AL114" s="90"/>
      <c r="AM114" s="51">
        <v>30000</v>
      </c>
      <c r="AN114" s="41" t="s">
        <v>1067</v>
      </c>
      <c r="BX114" s="74" t="s">
        <v>1325</v>
      </c>
      <c r="BY114" s="74" t="s">
        <v>139</v>
      </c>
      <c r="BZ114" s="78">
        <v>51769</v>
      </c>
      <c r="CA114" s="41" t="s">
        <v>388</v>
      </c>
      <c r="CB114" s="41" t="s">
        <v>1354</v>
      </c>
      <c r="CC114" s="74" t="s">
        <v>1260</v>
      </c>
      <c r="CD114" s="41" t="s">
        <v>1355</v>
      </c>
      <c r="CE114" s="41" t="s">
        <v>1353</v>
      </c>
      <c r="CF114" s="41"/>
      <c r="CG114" s="41"/>
    </row>
    <row r="115" spans="2:85" ht="20.149999999999999" customHeight="1">
      <c r="B115" s="4" t="s">
        <v>654</v>
      </c>
      <c r="C115" s="4" t="s">
        <v>569</v>
      </c>
      <c r="D115" s="4" t="s">
        <v>1288</v>
      </c>
      <c r="E115" s="4" t="s">
        <v>171</v>
      </c>
      <c r="F115" s="73">
        <v>46210</v>
      </c>
      <c r="G115" s="5">
        <v>2000</v>
      </c>
      <c r="H115" s="6">
        <v>499500.5</v>
      </c>
      <c r="AD115" s="41" t="s">
        <v>1095</v>
      </c>
      <c r="AE115" s="41" t="s">
        <v>388</v>
      </c>
      <c r="AF115" s="55" t="s">
        <v>1096</v>
      </c>
      <c r="AG115" s="102">
        <f t="shared" si="0"/>
        <v>0</v>
      </c>
      <c r="AH115" s="46" t="s">
        <v>899</v>
      </c>
      <c r="AI115" s="46" t="s">
        <v>1060</v>
      </c>
      <c r="AJ115" s="46"/>
      <c r="AK115" s="46" t="s">
        <v>1060</v>
      </c>
      <c r="AL115" s="90"/>
      <c r="AM115" s="51">
        <v>60000</v>
      </c>
      <c r="AN115" s="41" t="s">
        <v>981</v>
      </c>
      <c r="BX115" s="74" t="s">
        <v>1325</v>
      </c>
      <c r="BY115" s="74" t="s">
        <v>139</v>
      </c>
      <c r="BZ115" s="78">
        <v>52093</v>
      </c>
      <c r="CA115" s="41" t="s">
        <v>388</v>
      </c>
      <c r="CB115" s="41" t="s">
        <v>1354</v>
      </c>
      <c r="CC115" s="74" t="s">
        <v>1260</v>
      </c>
      <c r="CD115" s="41" t="s">
        <v>1355</v>
      </c>
      <c r="CE115" s="41" t="s">
        <v>1353</v>
      </c>
      <c r="CF115" s="41"/>
      <c r="CG115" s="41"/>
    </row>
    <row r="116" spans="2:85" ht="20.149999999999999" customHeight="1">
      <c r="B116" s="4" t="s">
        <v>654</v>
      </c>
      <c r="C116" s="4" t="s">
        <v>569</v>
      </c>
      <c r="D116" s="4" t="s">
        <v>1288</v>
      </c>
      <c r="E116" s="4" t="s">
        <v>115</v>
      </c>
      <c r="F116" s="73">
        <v>46210</v>
      </c>
      <c r="G116" s="5">
        <v>1100</v>
      </c>
      <c r="H116" s="6">
        <v>714285.71</v>
      </c>
      <c r="AD116" s="41" t="s">
        <v>1095</v>
      </c>
      <c r="AE116" s="41" t="s">
        <v>388</v>
      </c>
      <c r="AF116" s="55" t="s">
        <v>1096</v>
      </c>
      <c r="AG116" s="102">
        <f t="shared" si="0"/>
        <v>0</v>
      </c>
      <c r="AH116" s="46" t="s">
        <v>899</v>
      </c>
      <c r="AI116" s="46" t="s">
        <v>1060</v>
      </c>
      <c r="AJ116" s="46"/>
      <c r="AK116" s="46" t="s">
        <v>1060</v>
      </c>
      <c r="AL116" s="90"/>
      <c r="AM116" s="51">
        <v>30000</v>
      </c>
      <c r="AN116" s="41" t="s">
        <v>1100</v>
      </c>
      <c r="BX116" s="74" t="s">
        <v>1325</v>
      </c>
      <c r="BY116" s="74" t="s">
        <v>139</v>
      </c>
      <c r="BZ116" s="78">
        <v>51863</v>
      </c>
      <c r="CA116" s="41" t="s">
        <v>388</v>
      </c>
      <c r="CB116" s="41" t="s">
        <v>1354</v>
      </c>
      <c r="CC116" s="74" t="s">
        <v>1260</v>
      </c>
      <c r="CD116" s="41" t="s">
        <v>1355</v>
      </c>
      <c r="CE116" s="41" t="s">
        <v>1353</v>
      </c>
      <c r="CF116" s="41"/>
      <c r="CG116" s="41"/>
    </row>
    <row r="117" spans="2:85" ht="20.149999999999999" customHeight="1">
      <c r="B117" s="4" t="s">
        <v>690</v>
      </c>
      <c r="C117" s="4" t="s">
        <v>569</v>
      </c>
      <c r="D117" s="4" t="s">
        <v>824</v>
      </c>
      <c r="E117" s="4" t="s">
        <v>326</v>
      </c>
      <c r="F117" s="73">
        <v>46210</v>
      </c>
      <c r="G117" s="5">
        <v>500</v>
      </c>
      <c r="H117" s="6">
        <v>229770.23</v>
      </c>
      <c r="AD117" s="41" t="s">
        <v>1095</v>
      </c>
      <c r="AE117" s="41" t="s">
        <v>388</v>
      </c>
      <c r="AF117" s="55" t="s">
        <v>1096</v>
      </c>
      <c r="AG117" s="102">
        <f t="shared" si="0"/>
        <v>0</v>
      </c>
      <c r="AH117" s="46" t="s">
        <v>899</v>
      </c>
      <c r="AI117" s="46" t="s">
        <v>1060</v>
      </c>
      <c r="AJ117" s="46"/>
      <c r="AK117" s="46" t="s">
        <v>1060</v>
      </c>
      <c r="AL117" s="90"/>
      <c r="AM117" s="51">
        <v>3500</v>
      </c>
      <c r="AN117" s="41" t="s">
        <v>1101</v>
      </c>
      <c r="BX117" s="74" t="s">
        <v>1325</v>
      </c>
      <c r="BY117" s="74" t="s">
        <v>139</v>
      </c>
      <c r="BZ117" s="78">
        <v>24223</v>
      </c>
      <c r="CA117" s="41" t="s">
        <v>388</v>
      </c>
      <c r="CB117" s="41" t="s">
        <v>1354</v>
      </c>
      <c r="CC117" s="74" t="s">
        <v>1260</v>
      </c>
      <c r="CD117" s="41" t="s">
        <v>1355</v>
      </c>
      <c r="CE117" s="41" t="s">
        <v>1353</v>
      </c>
      <c r="CF117" s="41"/>
      <c r="CG117" s="41"/>
    </row>
    <row r="118" spans="2:85" ht="20.149999999999999" customHeight="1">
      <c r="B118" s="4" t="s">
        <v>690</v>
      </c>
      <c r="C118" s="4" t="s">
        <v>569</v>
      </c>
      <c r="D118" s="4" t="s">
        <v>824</v>
      </c>
      <c r="E118" s="4" t="s">
        <v>139</v>
      </c>
      <c r="F118" s="73">
        <v>46210</v>
      </c>
      <c r="G118" s="5">
        <v>385</v>
      </c>
      <c r="H118" s="6">
        <v>442307.69</v>
      </c>
      <c r="AD118" s="41" t="s">
        <v>1095</v>
      </c>
      <c r="AE118" s="41" t="s">
        <v>388</v>
      </c>
      <c r="AF118" s="55" t="s">
        <v>1096</v>
      </c>
      <c r="AG118" s="102">
        <f t="shared" si="0"/>
        <v>0</v>
      </c>
      <c r="AH118" s="46" t="s">
        <v>899</v>
      </c>
      <c r="AI118" s="46" t="s">
        <v>1060</v>
      </c>
      <c r="AJ118" s="46"/>
      <c r="AK118" s="46" t="s">
        <v>1060</v>
      </c>
      <c r="AL118" s="90"/>
      <c r="AM118" s="51">
        <v>30000</v>
      </c>
      <c r="AN118" s="41" t="s">
        <v>1102</v>
      </c>
      <c r="BX118" s="74" t="s">
        <v>1325</v>
      </c>
      <c r="BY118" s="74" t="s">
        <v>139</v>
      </c>
      <c r="BZ118" s="78">
        <v>33892</v>
      </c>
      <c r="CA118" s="41" t="s">
        <v>388</v>
      </c>
      <c r="CB118" s="41" t="s">
        <v>1354</v>
      </c>
      <c r="CC118" s="74" t="s">
        <v>1260</v>
      </c>
      <c r="CD118" s="41" t="s">
        <v>1355</v>
      </c>
      <c r="CE118" s="41" t="s">
        <v>1353</v>
      </c>
      <c r="CF118" s="41"/>
      <c r="CG118" s="41"/>
    </row>
    <row r="119" spans="2:85" ht="20.149999999999999" customHeight="1">
      <c r="B119" s="4" t="s">
        <v>690</v>
      </c>
      <c r="C119" s="4" t="s">
        <v>569</v>
      </c>
      <c r="D119" s="4" t="s">
        <v>824</v>
      </c>
      <c r="E119" s="4" t="s">
        <v>139</v>
      </c>
      <c r="F119" s="73">
        <v>46210</v>
      </c>
      <c r="G119" s="5">
        <v>15</v>
      </c>
      <c r="H119" s="6">
        <v>17232.77</v>
      </c>
      <c r="AD119" s="41" t="s">
        <v>1095</v>
      </c>
      <c r="AE119" s="41" t="s">
        <v>388</v>
      </c>
      <c r="AF119" s="55" t="s">
        <v>1096</v>
      </c>
      <c r="AG119" s="102">
        <f t="shared" si="0"/>
        <v>0</v>
      </c>
      <c r="AH119" s="46" t="s">
        <v>899</v>
      </c>
      <c r="AI119" s="46" t="s">
        <v>1060</v>
      </c>
      <c r="AJ119" s="46"/>
      <c r="AK119" s="46" t="s">
        <v>1060</v>
      </c>
      <c r="AL119" s="90"/>
      <c r="AM119" s="51">
        <v>3500</v>
      </c>
      <c r="AN119" s="41" t="s">
        <v>1103</v>
      </c>
      <c r="BX119" s="74" t="s">
        <v>1326</v>
      </c>
      <c r="BY119" s="74" t="s">
        <v>187</v>
      </c>
      <c r="BZ119" s="78">
        <v>5000</v>
      </c>
      <c r="CA119" s="41"/>
      <c r="CB119" s="41"/>
      <c r="CC119" s="41"/>
      <c r="CD119" s="41"/>
      <c r="CE119" s="41"/>
      <c r="CF119" s="41"/>
      <c r="CG119" s="41" t="s">
        <v>1279</v>
      </c>
    </row>
    <row r="120" spans="2:85" ht="20.149999999999999" customHeight="1">
      <c r="B120" s="4" t="s">
        <v>650</v>
      </c>
      <c r="C120" s="4" t="s">
        <v>569</v>
      </c>
      <c r="D120" s="4" t="s">
        <v>1288</v>
      </c>
      <c r="E120" s="4" t="s">
        <v>171</v>
      </c>
      <c r="F120" s="73">
        <v>46210</v>
      </c>
      <c r="G120" s="5">
        <v>1000</v>
      </c>
      <c r="H120" s="6">
        <v>250000</v>
      </c>
      <c r="AD120" s="41" t="s">
        <v>1095</v>
      </c>
      <c r="AE120" s="41" t="s">
        <v>388</v>
      </c>
      <c r="AF120" s="55" t="s">
        <v>1096</v>
      </c>
      <c r="AG120" s="102">
        <v>402500</v>
      </c>
      <c r="AH120" s="46" t="s">
        <v>899</v>
      </c>
      <c r="AI120" s="46" t="s">
        <v>1060</v>
      </c>
      <c r="AJ120" s="46"/>
      <c r="AK120" s="46" t="s">
        <v>1060</v>
      </c>
      <c r="AL120" s="90"/>
      <c r="AM120" s="51">
        <v>3500</v>
      </c>
      <c r="AN120" s="41" t="s">
        <v>1103</v>
      </c>
      <c r="BX120" s="74" t="s">
        <v>1327</v>
      </c>
      <c r="BY120" s="74" t="s">
        <v>139</v>
      </c>
      <c r="BZ120" s="78">
        <v>28340</v>
      </c>
      <c r="CA120" s="41" t="s">
        <v>388</v>
      </c>
      <c r="CB120" s="41" t="s">
        <v>1357</v>
      </c>
      <c r="CC120" s="74" t="s">
        <v>1260</v>
      </c>
      <c r="CD120" s="41" t="s">
        <v>1358</v>
      </c>
      <c r="CE120" s="41" t="s">
        <v>1356</v>
      </c>
      <c r="CF120" s="41"/>
      <c r="CG120" s="41"/>
    </row>
    <row r="121" spans="2:85" ht="20.149999999999999" customHeight="1">
      <c r="B121" s="4" t="s">
        <v>650</v>
      </c>
      <c r="C121" s="4" t="s">
        <v>569</v>
      </c>
      <c r="D121" s="4" t="s">
        <v>1288</v>
      </c>
      <c r="E121" s="4" t="s">
        <v>589</v>
      </c>
      <c r="F121" s="73">
        <v>46210</v>
      </c>
      <c r="G121" s="5">
        <v>25000</v>
      </c>
      <c r="H121" s="6">
        <v>900000</v>
      </c>
      <c r="AD121" s="41" t="s">
        <v>1095</v>
      </c>
      <c r="AE121" s="41" t="s">
        <v>388</v>
      </c>
      <c r="AF121" s="55" t="s">
        <v>1096</v>
      </c>
      <c r="AG121" s="53">
        <v>402500</v>
      </c>
      <c r="AH121" s="22" t="s">
        <v>899</v>
      </c>
      <c r="AI121" s="22" t="s">
        <v>1060</v>
      </c>
      <c r="AJ121" s="22"/>
      <c r="AK121" s="22" t="s">
        <v>1060</v>
      </c>
      <c r="AL121" s="21"/>
      <c r="AM121" s="51">
        <v>3500</v>
      </c>
      <c r="AN121" s="41" t="s">
        <v>1103</v>
      </c>
      <c r="BX121" s="74" t="s">
        <v>1327</v>
      </c>
      <c r="BY121" s="74" t="s">
        <v>139</v>
      </c>
      <c r="BZ121" s="78">
        <v>14428</v>
      </c>
      <c r="CA121" s="41" t="s">
        <v>388</v>
      </c>
      <c r="CB121" s="41" t="s">
        <v>1357</v>
      </c>
      <c r="CC121" s="74" t="s">
        <v>1260</v>
      </c>
      <c r="CD121" s="41" t="s">
        <v>1358</v>
      </c>
      <c r="CE121" s="41" t="s">
        <v>1356</v>
      </c>
      <c r="CF121" s="41"/>
      <c r="CG121" s="41"/>
    </row>
    <row r="122" spans="2:85" ht="20.149999999999999" customHeight="1">
      <c r="B122" s="4" t="s">
        <v>650</v>
      </c>
      <c r="C122" s="4" t="s">
        <v>569</v>
      </c>
      <c r="D122" s="4" t="s">
        <v>1288</v>
      </c>
      <c r="E122" s="4" t="s">
        <v>238</v>
      </c>
      <c r="F122" s="73">
        <v>46210</v>
      </c>
      <c r="G122" s="5">
        <v>1000</v>
      </c>
      <c r="H122" s="6">
        <v>55000</v>
      </c>
      <c r="BX122" s="74" t="s">
        <v>1328</v>
      </c>
      <c r="BY122" s="74" t="s">
        <v>139</v>
      </c>
      <c r="BZ122" s="78">
        <v>36717</v>
      </c>
      <c r="CA122" s="41" t="s">
        <v>388</v>
      </c>
      <c r="CB122" s="41" t="s">
        <v>1357</v>
      </c>
      <c r="CC122" s="74" t="s">
        <v>1260</v>
      </c>
      <c r="CD122" s="41" t="s">
        <v>1358</v>
      </c>
      <c r="CE122" s="41" t="s">
        <v>1356</v>
      </c>
      <c r="CF122" s="41"/>
      <c r="CG122" s="41"/>
    </row>
    <row r="123" spans="2:85" ht="20.149999999999999" customHeight="1">
      <c r="B123" s="4" t="s">
        <v>732</v>
      </c>
      <c r="C123" s="4" t="s">
        <v>569</v>
      </c>
      <c r="D123" s="4" t="s">
        <v>828</v>
      </c>
      <c r="E123" s="4" t="s">
        <v>572</v>
      </c>
      <c r="F123" s="73">
        <v>46210</v>
      </c>
      <c r="G123" s="5">
        <v>1000</v>
      </c>
      <c r="H123" s="6">
        <v>20000</v>
      </c>
      <c r="BX123" s="74" t="s">
        <v>1328</v>
      </c>
      <c r="BY123" s="74" t="s">
        <v>139</v>
      </c>
      <c r="BZ123" s="78">
        <v>6051</v>
      </c>
      <c r="CA123" s="41" t="s">
        <v>388</v>
      </c>
      <c r="CB123" s="41" t="s">
        <v>1357</v>
      </c>
      <c r="CC123" s="74" t="s">
        <v>1260</v>
      </c>
      <c r="CD123" s="41" t="s">
        <v>1358</v>
      </c>
      <c r="CE123" s="41" t="s">
        <v>1356</v>
      </c>
      <c r="CF123" s="41"/>
      <c r="CG123" s="41"/>
    </row>
    <row r="124" spans="2:85" ht="20.149999999999999" customHeight="1">
      <c r="B124" s="4" t="s">
        <v>607</v>
      </c>
      <c r="C124" s="4" t="s">
        <v>569</v>
      </c>
      <c r="D124" s="4" t="s">
        <v>828</v>
      </c>
      <c r="E124" s="4" t="s">
        <v>424</v>
      </c>
      <c r="F124" s="73">
        <v>46210</v>
      </c>
      <c r="G124" s="5">
        <v>32</v>
      </c>
      <c r="H124" s="6">
        <v>192000</v>
      </c>
      <c r="BX124" s="74" t="s">
        <v>1329</v>
      </c>
      <c r="BY124" s="74" t="s">
        <v>139</v>
      </c>
      <c r="BZ124" s="78">
        <v>28758</v>
      </c>
      <c r="CA124" s="41" t="s">
        <v>388</v>
      </c>
      <c r="CB124" s="41" t="s">
        <v>1357</v>
      </c>
      <c r="CC124" s="74" t="s">
        <v>1260</v>
      </c>
      <c r="CD124" s="41" t="s">
        <v>1358</v>
      </c>
      <c r="CE124" s="41" t="s">
        <v>1356</v>
      </c>
      <c r="CF124" s="41"/>
      <c r="CG124" s="41"/>
    </row>
    <row r="125" spans="2:85" ht="20.149999999999999" customHeight="1">
      <c r="B125" s="4" t="s">
        <v>607</v>
      </c>
      <c r="C125" s="4" t="s">
        <v>569</v>
      </c>
      <c r="D125" s="4" t="s">
        <v>828</v>
      </c>
      <c r="E125" s="4" t="s">
        <v>357</v>
      </c>
      <c r="F125" s="73">
        <v>46210</v>
      </c>
      <c r="G125" s="5">
        <v>32</v>
      </c>
      <c r="H125" s="6">
        <v>192000</v>
      </c>
      <c r="BX125" s="74" t="s">
        <v>1329</v>
      </c>
      <c r="BY125" s="74" t="s">
        <v>139</v>
      </c>
      <c r="BZ125" s="78">
        <v>14010</v>
      </c>
      <c r="CA125" s="41" t="s">
        <v>388</v>
      </c>
      <c r="CB125" s="41" t="s">
        <v>1357</v>
      </c>
      <c r="CC125" s="74" t="s">
        <v>1260</v>
      </c>
      <c r="CD125" s="41" t="s">
        <v>1358</v>
      </c>
      <c r="CE125" s="41" t="s">
        <v>1356</v>
      </c>
      <c r="CF125" s="41"/>
      <c r="CG125" s="41"/>
    </row>
    <row r="126" spans="2:85" ht="20.149999999999999" customHeight="1">
      <c r="B126" s="4" t="s">
        <v>764</v>
      </c>
      <c r="C126" s="4" t="s">
        <v>569</v>
      </c>
      <c r="D126" s="4" t="s">
        <v>824</v>
      </c>
      <c r="E126" s="4" t="s">
        <v>218</v>
      </c>
      <c r="F126" s="73">
        <v>46210</v>
      </c>
      <c r="G126" s="5">
        <v>50</v>
      </c>
      <c r="H126" s="6">
        <v>99900.1</v>
      </c>
      <c r="BX126" s="74" t="s">
        <v>1330</v>
      </c>
      <c r="BY126" s="74" t="s">
        <v>139</v>
      </c>
      <c r="BZ126" s="78">
        <v>37238</v>
      </c>
      <c r="CA126" s="41" t="s">
        <v>388</v>
      </c>
      <c r="CB126" s="41" t="s">
        <v>1148</v>
      </c>
      <c r="CC126" s="74" t="s">
        <v>1260</v>
      </c>
      <c r="CD126" s="41" t="s">
        <v>1358</v>
      </c>
      <c r="CE126" s="41" t="s">
        <v>1359</v>
      </c>
      <c r="CF126" s="41"/>
      <c r="CG126" s="41"/>
    </row>
    <row r="127" spans="2:85" ht="20.149999999999999" customHeight="1">
      <c r="B127" s="4" t="s">
        <v>598</v>
      </c>
      <c r="C127" s="4" t="s">
        <v>569</v>
      </c>
      <c r="D127" s="4" t="s">
        <v>828</v>
      </c>
      <c r="E127" s="4" t="s">
        <v>332</v>
      </c>
      <c r="F127" s="73">
        <v>46211</v>
      </c>
      <c r="G127" s="5">
        <v>3000</v>
      </c>
      <c r="H127" s="6">
        <v>134865.13</v>
      </c>
      <c r="BX127" s="74" t="s">
        <v>1330</v>
      </c>
      <c r="BY127" s="74" t="s">
        <v>139</v>
      </c>
      <c r="BZ127" s="78">
        <v>5530</v>
      </c>
      <c r="CA127" s="41" t="s">
        <v>388</v>
      </c>
      <c r="CB127" s="41" t="s">
        <v>1148</v>
      </c>
      <c r="CC127" s="74" t="s">
        <v>1260</v>
      </c>
      <c r="CD127" s="41" t="s">
        <v>1358</v>
      </c>
      <c r="CE127" s="41" t="s">
        <v>1359</v>
      </c>
      <c r="CF127" s="41"/>
      <c r="CG127" s="41"/>
    </row>
    <row r="128" spans="2:85" ht="20.149999999999999" customHeight="1">
      <c r="B128" s="4" t="s">
        <v>727</v>
      </c>
      <c r="C128" s="4" t="s">
        <v>569</v>
      </c>
      <c r="D128" s="4" t="s">
        <v>828</v>
      </c>
      <c r="E128" s="4" t="s">
        <v>123</v>
      </c>
      <c r="F128" s="73">
        <v>46211</v>
      </c>
      <c r="G128" s="5">
        <v>30</v>
      </c>
      <c r="H128" s="6">
        <v>35303.68</v>
      </c>
      <c r="BX128" s="74" t="s">
        <v>1331</v>
      </c>
      <c r="BY128" s="74" t="s">
        <v>139</v>
      </c>
      <c r="BZ128" s="78">
        <v>14082</v>
      </c>
      <c r="CA128" s="41" t="s">
        <v>388</v>
      </c>
      <c r="CB128" s="41" t="s">
        <v>1362</v>
      </c>
      <c r="CC128" s="74" t="s">
        <v>1260</v>
      </c>
      <c r="CD128" s="41" t="s">
        <v>1360</v>
      </c>
      <c r="CE128" s="41" t="s">
        <v>1361</v>
      </c>
      <c r="CF128" s="41"/>
      <c r="CG128" s="41"/>
    </row>
    <row r="129" spans="2:85" ht="20.149999999999999" customHeight="1">
      <c r="B129" s="4" t="s">
        <v>727</v>
      </c>
      <c r="C129" s="4" t="s">
        <v>569</v>
      </c>
      <c r="D129" s="4" t="s">
        <v>828</v>
      </c>
      <c r="E129" s="4" t="s">
        <v>124</v>
      </c>
      <c r="F129" s="73">
        <v>46211</v>
      </c>
      <c r="G129" s="5">
        <v>35</v>
      </c>
      <c r="H129" s="6">
        <v>41187.629999999997</v>
      </c>
      <c r="BX129" s="74" t="s">
        <v>1331</v>
      </c>
      <c r="BY129" s="74" t="s">
        <v>139</v>
      </c>
      <c r="BZ129" s="78">
        <v>28686</v>
      </c>
      <c r="CA129" s="41" t="s">
        <v>388</v>
      </c>
      <c r="CB129" s="41" t="s">
        <v>1362</v>
      </c>
      <c r="CC129" s="74" t="s">
        <v>1260</v>
      </c>
      <c r="CD129" s="41" t="s">
        <v>1360</v>
      </c>
      <c r="CE129" s="41" t="s">
        <v>1361</v>
      </c>
      <c r="CF129" s="41"/>
      <c r="CG129" s="41"/>
    </row>
    <row r="130" spans="2:85" ht="20.149999999999999" customHeight="1">
      <c r="B130" s="4" t="s">
        <v>660</v>
      </c>
      <c r="C130" s="4" t="s">
        <v>569</v>
      </c>
      <c r="D130" s="4" t="s">
        <v>828</v>
      </c>
      <c r="E130" s="4" t="s">
        <v>332</v>
      </c>
      <c r="F130" s="73">
        <v>46211</v>
      </c>
      <c r="G130" s="5">
        <v>5000</v>
      </c>
      <c r="H130" s="6">
        <v>239760.24</v>
      </c>
      <c r="BX130" s="74" t="s">
        <v>1332</v>
      </c>
      <c r="BY130" s="74" t="s">
        <v>139</v>
      </c>
      <c r="BZ130" s="78">
        <v>5757</v>
      </c>
      <c r="CA130" s="41" t="s">
        <v>388</v>
      </c>
      <c r="CB130" s="41" t="s">
        <v>1362</v>
      </c>
      <c r="CC130" s="74" t="s">
        <v>1260</v>
      </c>
      <c r="CD130" s="41" t="s">
        <v>1360</v>
      </c>
      <c r="CE130" s="41" t="s">
        <v>1361</v>
      </c>
      <c r="CF130" s="41"/>
      <c r="CG130" s="41"/>
    </row>
    <row r="131" spans="2:85" ht="20.149999999999999" customHeight="1">
      <c r="B131" s="4" t="s">
        <v>1400</v>
      </c>
      <c r="C131" s="4" t="s">
        <v>569</v>
      </c>
      <c r="D131" s="4" t="s">
        <v>1288</v>
      </c>
      <c r="E131" s="4" t="s">
        <v>592</v>
      </c>
      <c r="F131" s="73">
        <v>46211</v>
      </c>
      <c r="G131" s="5">
        <v>25000</v>
      </c>
      <c r="H131" s="6">
        <v>524475.52</v>
      </c>
      <c r="BX131" s="74" t="s">
        <v>1332</v>
      </c>
      <c r="BY131" s="74" t="s">
        <v>139</v>
      </c>
      <c r="BZ131" s="78">
        <v>37011</v>
      </c>
      <c r="CA131" s="41" t="s">
        <v>388</v>
      </c>
      <c r="CB131" s="41" t="s">
        <v>1362</v>
      </c>
      <c r="CC131" s="74" t="s">
        <v>1260</v>
      </c>
      <c r="CD131" s="41" t="s">
        <v>1360</v>
      </c>
      <c r="CE131" s="41" t="s">
        <v>1361</v>
      </c>
      <c r="CF131" s="41"/>
      <c r="CG131" s="41"/>
    </row>
    <row r="132" spans="2:85" ht="20.149999999999999" customHeight="1">
      <c r="B132" s="4" t="s">
        <v>749</v>
      </c>
      <c r="C132" s="4" t="s">
        <v>569</v>
      </c>
      <c r="D132" s="4" t="s">
        <v>828</v>
      </c>
      <c r="E132" s="4" t="s">
        <v>572</v>
      </c>
      <c r="F132" s="73">
        <v>46211</v>
      </c>
      <c r="G132" s="5">
        <v>500</v>
      </c>
      <c r="H132" s="6">
        <v>8000</v>
      </c>
      <c r="BX132" s="74" t="s">
        <v>1333</v>
      </c>
      <c r="BY132" s="74" t="s">
        <v>139</v>
      </c>
      <c r="BZ132" s="78">
        <v>32590</v>
      </c>
      <c r="CA132" s="41" t="s">
        <v>388</v>
      </c>
      <c r="CB132" s="41" t="s">
        <v>1357</v>
      </c>
      <c r="CC132" s="74" t="s">
        <v>1260</v>
      </c>
      <c r="CD132" s="41" t="s">
        <v>1360</v>
      </c>
      <c r="CE132" s="41" t="s">
        <v>1359</v>
      </c>
      <c r="CF132" s="41"/>
      <c r="CG132" s="41"/>
    </row>
    <row r="133" spans="2:85" ht="20.149999999999999" customHeight="1">
      <c r="B133" s="4" t="s">
        <v>681</v>
      </c>
      <c r="C133" s="4" t="s">
        <v>569</v>
      </c>
      <c r="D133" s="4" t="s">
        <v>824</v>
      </c>
      <c r="E133" s="4" t="s">
        <v>139</v>
      </c>
      <c r="F133" s="73">
        <v>46212</v>
      </c>
      <c r="G133" s="5">
        <v>480</v>
      </c>
      <c r="H133" s="6">
        <v>600000</v>
      </c>
      <c r="BX133" s="74" t="s">
        <v>1333</v>
      </c>
      <c r="BY133" s="74" t="s">
        <v>139</v>
      </c>
      <c r="BZ133" s="78">
        <v>10178</v>
      </c>
      <c r="CA133" s="41" t="s">
        <v>388</v>
      </c>
      <c r="CB133" s="41" t="s">
        <v>1357</v>
      </c>
      <c r="CC133" s="74" t="s">
        <v>1260</v>
      </c>
      <c r="CD133" s="41" t="s">
        <v>1360</v>
      </c>
      <c r="CE133" s="41" t="s">
        <v>1359</v>
      </c>
      <c r="CF133" s="41"/>
      <c r="CG133" s="41"/>
    </row>
    <row r="134" spans="2:85" ht="20.149999999999999" customHeight="1">
      <c r="B134" s="4" t="s">
        <v>681</v>
      </c>
      <c r="C134" s="4" t="s">
        <v>569</v>
      </c>
      <c r="D134" s="4" t="s">
        <v>824</v>
      </c>
      <c r="E134" s="4" t="s">
        <v>151</v>
      </c>
      <c r="F134" s="73">
        <v>46212</v>
      </c>
      <c r="G134" s="5">
        <v>24</v>
      </c>
      <c r="H134" s="6">
        <v>30000</v>
      </c>
      <c r="BX134" s="74" t="s">
        <v>1334</v>
      </c>
      <c r="BY134" s="74" t="s">
        <v>139</v>
      </c>
      <c r="BZ134" s="78">
        <v>33259</v>
      </c>
      <c r="CA134" s="41" t="s">
        <v>388</v>
      </c>
      <c r="CB134" s="41" t="s">
        <v>1362</v>
      </c>
      <c r="CC134" s="74" t="s">
        <v>1260</v>
      </c>
      <c r="CD134" s="41" t="s">
        <v>1360</v>
      </c>
      <c r="CE134" s="41" t="s">
        <v>1361</v>
      </c>
      <c r="CF134" s="41"/>
      <c r="CG134" s="41"/>
    </row>
    <row r="135" spans="2:85" ht="20.149999999999999" customHeight="1">
      <c r="B135" s="4" t="s">
        <v>668</v>
      </c>
      <c r="C135" s="4" t="s">
        <v>569</v>
      </c>
      <c r="D135" s="4" t="s">
        <v>828</v>
      </c>
      <c r="E135" s="4" t="s">
        <v>549</v>
      </c>
      <c r="F135" s="73">
        <v>46212</v>
      </c>
      <c r="G135" s="5">
        <v>580</v>
      </c>
      <c r="H135" s="6">
        <v>58000</v>
      </c>
      <c r="BX135" s="74" t="s">
        <v>1334</v>
      </c>
      <c r="BY135" s="74" t="s">
        <v>139</v>
      </c>
      <c r="BZ135" s="78">
        <v>9509</v>
      </c>
      <c r="CA135" s="41" t="s">
        <v>388</v>
      </c>
      <c r="CB135" s="41" t="s">
        <v>1362</v>
      </c>
      <c r="CC135" s="74" t="s">
        <v>1260</v>
      </c>
      <c r="CD135" s="41" t="s">
        <v>1360</v>
      </c>
      <c r="CE135" s="41" t="s">
        <v>1361</v>
      </c>
      <c r="CF135" s="41"/>
      <c r="CG135" s="41"/>
    </row>
    <row r="136" spans="2:85" ht="20.149999999999999" customHeight="1">
      <c r="B136" s="4" t="s">
        <v>668</v>
      </c>
      <c r="C136" s="4" t="s">
        <v>569</v>
      </c>
      <c r="D136" s="4" t="s">
        <v>828</v>
      </c>
      <c r="E136" s="4" t="s">
        <v>554</v>
      </c>
      <c r="F136" s="73">
        <v>46212</v>
      </c>
      <c r="G136" s="5">
        <v>850</v>
      </c>
      <c r="H136" s="6">
        <v>85000</v>
      </c>
      <c r="BX136" s="74" t="s">
        <v>1406</v>
      </c>
      <c r="BY136" s="74" t="s">
        <v>586</v>
      </c>
      <c r="BZ136" s="78">
        <v>660</v>
      </c>
      <c r="CA136" s="41"/>
      <c r="CB136" s="41"/>
      <c r="CC136" s="41"/>
      <c r="CD136" s="41"/>
      <c r="CE136" s="41"/>
      <c r="CF136" s="41"/>
      <c r="CG136" s="41" t="s">
        <v>1279</v>
      </c>
    </row>
    <row r="137" spans="2:85" ht="20.149999999999999" customHeight="1">
      <c r="B137" s="4" t="s">
        <v>780</v>
      </c>
      <c r="C137" s="4" t="s">
        <v>569</v>
      </c>
      <c r="D137" s="4" t="s">
        <v>828</v>
      </c>
      <c r="E137" s="4" t="s">
        <v>572</v>
      </c>
      <c r="F137" s="73">
        <v>46212</v>
      </c>
      <c r="G137" s="5">
        <v>1000</v>
      </c>
      <c r="H137" s="6">
        <v>15983.61</v>
      </c>
      <c r="BX137" s="74" t="s">
        <v>1406</v>
      </c>
      <c r="BY137" s="74" t="s">
        <v>816</v>
      </c>
      <c r="BZ137" s="78">
        <v>600</v>
      </c>
      <c r="CA137" s="41"/>
      <c r="CB137" s="41"/>
      <c r="CC137" s="41"/>
      <c r="CD137" s="41"/>
      <c r="CE137" s="41"/>
      <c r="CF137" s="41"/>
      <c r="CG137" s="41" t="s">
        <v>1279</v>
      </c>
    </row>
    <row r="138" spans="2:85" ht="20.149999999999999" customHeight="1">
      <c r="B138" s="4" t="s">
        <v>780</v>
      </c>
      <c r="C138" s="4" t="s">
        <v>569</v>
      </c>
      <c r="D138" s="4" t="s">
        <v>828</v>
      </c>
      <c r="E138" s="4" t="s">
        <v>424</v>
      </c>
      <c r="F138" s="73">
        <v>46212</v>
      </c>
      <c r="G138" s="5">
        <v>8</v>
      </c>
      <c r="H138" s="6">
        <v>38649.879999999997</v>
      </c>
      <c r="BX138" s="74" t="s">
        <v>1407</v>
      </c>
      <c r="BY138" s="74" t="s">
        <v>139</v>
      </c>
      <c r="BZ138" s="78">
        <v>1248</v>
      </c>
      <c r="CA138" s="41" t="s">
        <v>388</v>
      </c>
      <c r="CB138" s="41" t="s">
        <v>1362</v>
      </c>
      <c r="CC138" s="74" t="s">
        <v>1260</v>
      </c>
      <c r="CD138" s="41" t="s">
        <v>1412</v>
      </c>
      <c r="CE138" s="41" t="s">
        <v>1359</v>
      </c>
      <c r="CF138" s="41"/>
      <c r="CG138" s="41"/>
    </row>
    <row r="139" spans="2:85" ht="20.149999999999999" customHeight="1">
      <c r="B139" s="4" t="s">
        <v>780</v>
      </c>
      <c r="C139" s="4" t="s">
        <v>569</v>
      </c>
      <c r="D139" s="4" t="s">
        <v>828</v>
      </c>
      <c r="E139" s="4" t="s">
        <v>357</v>
      </c>
      <c r="F139" s="73">
        <v>46212</v>
      </c>
      <c r="G139" s="5">
        <v>16</v>
      </c>
      <c r="H139" s="6">
        <v>77299.75</v>
      </c>
      <c r="BX139" s="74" t="s">
        <v>1407</v>
      </c>
      <c r="BY139" s="74" t="s">
        <v>139</v>
      </c>
      <c r="BZ139" s="78">
        <v>41520</v>
      </c>
      <c r="CA139" s="41" t="s">
        <v>388</v>
      </c>
      <c r="CB139" s="41" t="s">
        <v>1362</v>
      </c>
      <c r="CC139" s="74" t="s">
        <v>1260</v>
      </c>
      <c r="CD139" s="41" t="s">
        <v>1412</v>
      </c>
      <c r="CE139" s="41" t="s">
        <v>1359</v>
      </c>
      <c r="CF139" s="41"/>
      <c r="CG139" s="41"/>
    </row>
    <row r="140" spans="2:85" ht="20.149999999999999" customHeight="1">
      <c r="B140" s="4" t="s">
        <v>780</v>
      </c>
      <c r="C140" s="4" t="s">
        <v>569</v>
      </c>
      <c r="D140" s="4" t="s">
        <v>828</v>
      </c>
      <c r="E140" s="4" t="s">
        <v>368</v>
      </c>
      <c r="F140" s="73">
        <v>46212</v>
      </c>
      <c r="G140" s="5">
        <v>1000</v>
      </c>
      <c r="H140" s="6">
        <v>69602.53</v>
      </c>
      <c r="BX140" s="74" t="s">
        <v>1688</v>
      </c>
      <c r="BY140" s="74" t="s">
        <v>171</v>
      </c>
      <c r="BZ140" s="78">
        <v>36000</v>
      </c>
      <c r="CA140" s="41" t="s">
        <v>388</v>
      </c>
      <c r="CB140" s="41" t="s">
        <v>1357</v>
      </c>
      <c r="CC140" s="74" t="s">
        <v>1272</v>
      </c>
      <c r="CD140" s="41" t="s">
        <v>1706</v>
      </c>
      <c r="CE140" s="41" t="s">
        <v>1705</v>
      </c>
      <c r="CF140" s="41"/>
      <c r="CG140" s="41"/>
    </row>
    <row r="141" spans="2:85" ht="20.149999999999999" customHeight="1">
      <c r="B141" s="4" t="s">
        <v>780</v>
      </c>
      <c r="C141" s="4" t="s">
        <v>569</v>
      </c>
      <c r="D141" s="4" t="s">
        <v>828</v>
      </c>
      <c r="E141" s="4" t="s">
        <v>125</v>
      </c>
      <c r="F141" s="73">
        <v>46212</v>
      </c>
      <c r="G141" s="5">
        <v>1000</v>
      </c>
      <c r="H141" s="6">
        <v>69602.53</v>
      </c>
      <c r="BX141" s="74" t="s">
        <v>1689</v>
      </c>
      <c r="BY141" s="74" t="s">
        <v>151</v>
      </c>
      <c r="BZ141" s="78">
        <v>4822</v>
      </c>
      <c r="CA141" s="41" t="s">
        <v>388</v>
      </c>
      <c r="CB141" s="41" t="s">
        <v>1152</v>
      </c>
      <c r="CC141" s="74" t="s">
        <v>1260</v>
      </c>
      <c r="CD141" s="41" t="s">
        <v>1708</v>
      </c>
      <c r="CE141" s="41" t="s">
        <v>1707</v>
      </c>
      <c r="CF141" s="41"/>
      <c r="CG141" s="41"/>
    </row>
    <row r="142" spans="2:85" ht="20.149999999999999" customHeight="1">
      <c r="B142" s="4" t="s">
        <v>780</v>
      </c>
      <c r="C142" s="4" t="s">
        <v>569</v>
      </c>
      <c r="D142" s="4" t="s">
        <v>828</v>
      </c>
      <c r="E142" s="4" t="s">
        <v>133</v>
      </c>
      <c r="F142" s="73">
        <v>46212</v>
      </c>
      <c r="G142" s="5">
        <v>1000</v>
      </c>
      <c r="H142" s="6">
        <v>75334.5</v>
      </c>
      <c r="BX142" s="74" t="s">
        <v>1689</v>
      </c>
      <c r="BY142" s="74" t="s">
        <v>151</v>
      </c>
      <c r="BZ142" s="78">
        <v>98</v>
      </c>
      <c r="CA142" s="41" t="s">
        <v>388</v>
      </c>
      <c r="CB142" s="41" t="s">
        <v>1152</v>
      </c>
      <c r="CC142" s="74" t="s">
        <v>1260</v>
      </c>
      <c r="CD142" s="41" t="s">
        <v>1708</v>
      </c>
      <c r="CE142" s="41" t="s">
        <v>1707</v>
      </c>
      <c r="CF142" s="41"/>
      <c r="CG142" s="41"/>
    </row>
    <row r="143" spans="2:85" ht="20.149999999999999" customHeight="1">
      <c r="B143" s="4" t="s">
        <v>743</v>
      </c>
      <c r="C143" s="4" t="s">
        <v>569</v>
      </c>
      <c r="D143" s="4" t="s">
        <v>824</v>
      </c>
      <c r="E143" s="4" t="s">
        <v>139</v>
      </c>
      <c r="F143" s="73">
        <v>46212</v>
      </c>
      <c r="G143" s="5">
        <v>500</v>
      </c>
      <c r="H143" s="6">
        <v>519480.52</v>
      </c>
      <c r="BX143" s="74" t="s">
        <v>1689</v>
      </c>
      <c r="BY143" s="74" t="s">
        <v>78</v>
      </c>
      <c r="BZ143" s="78">
        <v>4677</v>
      </c>
      <c r="CA143" s="41" t="s">
        <v>388</v>
      </c>
      <c r="CB143" s="41" t="s">
        <v>1152</v>
      </c>
      <c r="CC143" s="74" t="s">
        <v>1260</v>
      </c>
      <c r="CD143" s="41" t="s">
        <v>1708</v>
      </c>
      <c r="CE143" s="41" t="s">
        <v>1707</v>
      </c>
      <c r="CF143" s="41"/>
      <c r="CG143" s="41"/>
    </row>
    <row r="144" spans="2:85" ht="20.149999999999999" customHeight="1">
      <c r="B144" s="4" t="s">
        <v>743</v>
      </c>
      <c r="C144" s="4" t="s">
        <v>569</v>
      </c>
      <c r="D144" s="4" t="s">
        <v>824</v>
      </c>
      <c r="E144" s="4" t="s">
        <v>166</v>
      </c>
      <c r="F144" s="73">
        <v>46212</v>
      </c>
      <c r="G144" s="5">
        <v>900</v>
      </c>
      <c r="H144" s="6">
        <v>98901.1</v>
      </c>
      <c r="BX144" s="74" t="s">
        <v>1689</v>
      </c>
      <c r="BY144" s="74" t="s">
        <v>78</v>
      </c>
      <c r="BZ144" s="78">
        <v>243</v>
      </c>
      <c r="CA144" s="41" t="s">
        <v>388</v>
      </c>
      <c r="CB144" s="41" t="s">
        <v>1152</v>
      </c>
      <c r="CC144" s="74" t="s">
        <v>1260</v>
      </c>
      <c r="CD144" s="41" t="s">
        <v>1708</v>
      </c>
      <c r="CE144" s="41" t="s">
        <v>1707</v>
      </c>
      <c r="CF144" s="41"/>
      <c r="CG144" s="41"/>
    </row>
    <row r="145" spans="2:85" ht="20.149999999999999" customHeight="1">
      <c r="B145" s="4" t="s">
        <v>1397</v>
      </c>
      <c r="C145" s="4" t="s">
        <v>569</v>
      </c>
      <c r="D145" s="4" t="s">
        <v>828</v>
      </c>
      <c r="E145" s="4" t="s">
        <v>123</v>
      </c>
      <c r="F145" s="73">
        <v>46212</v>
      </c>
      <c r="G145" s="5">
        <v>3270</v>
      </c>
      <c r="H145" s="6">
        <v>3756743.25</v>
      </c>
      <c r="BX145" s="74" t="s">
        <v>1689</v>
      </c>
      <c r="BY145" s="74" t="s">
        <v>139</v>
      </c>
      <c r="BZ145" s="78">
        <v>28008</v>
      </c>
      <c r="CA145" s="41" t="s">
        <v>388</v>
      </c>
      <c r="CB145" s="41" t="s">
        <v>1152</v>
      </c>
      <c r="CC145" s="74" t="s">
        <v>1260</v>
      </c>
      <c r="CD145" s="41" t="s">
        <v>1708</v>
      </c>
      <c r="CE145" s="41" t="s">
        <v>1707</v>
      </c>
      <c r="CF145" s="41"/>
      <c r="CG145" s="41"/>
    </row>
    <row r="146" spans="2:85" ht="20.149999999999999" customHeight="1">
      <c r="B146" s="4" t="s">
        <v>1397</v>
      </c>
      <c r="C146" s="4" t="s">
        <v>569</v>
      </c>
      <c r="D146" s="4" t="s">
        <v>828</v>
      </c>
      <c r="E146" s="4" t="s">
        <v>124</v>
      </c>
      <c r="F146" s="73">
        <v>46212</v>
      </c>
      <c r="G146" s="5">
        <v>300</v>
      </c>
      <c r="H146" s="6">
        <v>344655.35</v>
      </c>
      <c r="BX146" s="74" t="s">
        <v>1689</v>
      </c>
      <c r="BY146" s="74" t="s">
        <v>144</v>
      </c>
      <c r="BZ146" s="78">
        <v>4296</v>
      </c>
      <c r="CA146" s="41" t="s">
        <v>388</v>
      </c>
      <c r="CB146" s="41" t="s">
        <v>1152</v>
      </c>
      <c r="CC146" s="74" t="s">
        <v>1260</v>
      </c>
      <c r="CD146" s="41" t="s">
        <v>1708</v>
      </c>
      <c r="CE146" s="41" t="s">
        <v>1707</v>
      </c>
      <c r="CF146" s="41"/>
      <c r="CG146" s="41"/>
    </row>
    <row r="147" spans="2:85" ht="20.149999999999999" customHeight="1">
      <c r="B147" s="4" t="s">
        <v>797</v>
      </c>
      <c r="C147" s="4" t="s">
        <v>1487</v>
      </c>
      <c r="D147" s="4" t="s">
        <v>824</v>
      </c>
      <c r="E147" s="4" t="s">
        <v>139</v>
      </c>
      <c r="F147" s="73">
        <v>46212</v>
      </c>
      <c r="G147" s="5">
        <v>13800</v>
      </c>
      <c r="H147" s="6">
        <v>15939000</v>
      </c>
      <c r="BX147" s="74" t="s">
        <v>1688</v>
      </c>
      <c r="BY147" s="74" t="s">
        <v>115</v>
      </c>
      <c r="BZ147" s="78">
        <v>18000</v>
      </c>
      <c r="CA147" s="41" t="s">
        <v>388</v>
      </c>
      <c r="CB147" s="41" t="s">
        <v>1705</v>
      </c>
      <c r="CC147" s="74" t="s">
        <v>1272</v>
      </c>
      <c r="CD147" s="41" t="s">
        <v>1706</v>
      </c>
      <c r="CE147" s="41" t="s">
        <v>1357</v>
      </c>
      <c r="CF147" s="41"/>
      <c r="CG147" s="41"/>
    </row>
    <row r="148" spans="2:85" ht="20.149999999999999" customHeight="1">
      <c r="B148" s="4" t="s">
        <v>785</v>
      </c>
      <c r="C148" s="4" t="s">
        <v>1487</v>
      </c>
      <c r="D148" s="4" t="s">
        <v>824</v>
      </c>
      <c r="E148" s="4" t="s">
        <v>139</v>
      </c>
      <c r="F148" s="73">
        <v>46212</v>
      </c>
      <c r="G148" s="5">
        <v>6000</v>
      </c>
      <c r="H148" s="6">
        <v>6930000</v>
      </c>
      <c r="BX148" s="74" t="s">
        <v>1688</v>
      </c>
      <c r="BY148" s="74" t="s">
        <v>238</v>
      </c>
      <c r="BZ148" s="78">
        <v>54000</v>
      </c>
      <c r="CA148" s="41" t="s">
        <v>388</v>
      </c>
      <c r="CB148" s="41" t="s">
        <v>1705</v>
      </c>
      <c r="CC148" s="74" t="s">
        <v>1272</v>
      </c>
      <c r="CD148" s="41" t="s">
        <v>1706</v>
      </c>
      <c r="CE148" s="41" t="s">
        <v>1357</v>
      </c>
      <c r="CF148" s="41"/>
      <c r="CG148" s="41"/>
    </row>
    <row r="149" spans="2:85" ht="20.149999999999999" customHeight="1">
      <c r="B149" s="4" t="s">
        <v>739</v>
      </c>
      <c r="C149" s="4" t="s">
        <v>569</v>
      </c>
      <c r="D149" s="4" t="s">
        <v>824</v>
      </c>
      <c r="E149" s="4" t="s">
        <v>218</v>
      </c>
      <c r="F149" s="73">
        <v>46213</v>
      </c>
      <c r="G149" s="5">
        <v>150</v>
      </c>
      <c r="H149" s="6">
        <v>311838.15999999997</v>
      </c>
      <c r="BX149" s="74" t="s">
        <v>1690</v>
      </c>
      <c r="BY149" s="74" t="s">
        <v>218</v>
      </c>
      <c r="BZ149" s="78">
        <v>601</v>
      </c>
      <c r="CA149" s="41" t="s">
        <v>388</v>
      </c>
      <c r="CB149" s="41" t="s">
        <v>1152</v>
      </c>
      <c r="CC149" s="74" t="s">
        <v>1260</v>
      </c>
      <c r="CD149" s="41" t="s">
        <v>1709</v>
      </c>
      <c r="CE149" s="41" t="s">
        <v>1707</v>
      </c>
      <c r="CF149" s="41"/>
      <c r="CG149" s="41"/>
    </row>
    <row r="150" spans="2:85" ht="20.149999999999999" customHeight="1">
      <c r="B150" s="4" t="s">
        <v>714</v>
      </c>
      <c r="C150" s="4" t="s">
        <v>569</v>
      </c>
      <c r="D150" s="4" t="s">
        <v>828</v>
      </c>
      <c r="E150" s="4" t="s">
        <v>322</v>
      </c>
      <c r="F150" s="73">
        <v>46213</v>
      </c>
      <c r="G150" s="5">
        <v>4000</v>
      </c>
      <c r="H150" s="6">
        <v>260000</v>
      </c>
      <c r="BX150" s="74" t="s">
        <v>1690</v>
      </c>
      <c r="BY150" s="74" t="s">
        <v>218</v>
      </c>
      <c r="BZ150" s="78">
        <v>2951</v>
      </c>
      <c r="CA150" s="41" t="s">
        <v>388</v>
      </c>
      <c r="CB150" s="41" t="s">
        <v>1152</v>
      </c>
      <c r="CC150" s="74" t="s">
        <v>1260</v>
      </c>
      <c r="CD150" s="41" t="s">
        <v>1709</v>
      </c>
      <c r="CE150" s="41" t="s">
        <v>1707</v>
      </c>
      <c r="CF150" s="41"/>
      <c r="CG150" s="41"/>
    </row>
    <row r="151" spans="2:85" ht="20.149999999999999" customHeight="1">
      <c r="B151" s="4" t="s">
        <v>1298</v>
      </c>
      <c r="C151" s="4" t="s">
        <v>569</v>
      </c>
      <c r="D151" s="4" t="s">
        <v>828</v>
      </c>
      <c r="E151" s="4" t="s">
        <v>541</v>
      </c>
      <c r="F151" s="73">
        <v>46213</v>
      </c>
      <c r="G151" s="5">
        <v>1000</v>
      </c>
      <c r="H151" s="6">
        <v>53864.41</v>
      </c>
      <c r="BX151" s="74" t="s">
        <v>1690</v>
      </c>
      <c r="BY151" s="74" t="s">
        <v>218</v>
      </c>
      <c r="BZ151" s="78">
        <v>1651</v>
      </c>
      <c r="CA151" s="41" t="s">
        <v>388</v>
      </c>
      <c r="CB151" s="41" t="s">
        <v>1152</v>
      </c>
      <c r="CC151" s="74" t="s">
        <v>1260</v>
      </c>
      <c r="CD151" s="41" t="s">
        <v>1709</v>
      </c>
      <c r="CE151" s="41" t="s">
        <v>1707</v>
      </c>
      <c r="CF151" s="41"/>
      <c r="CG151" s="41"/>
    </row>
    <row r="152" spans="2:85" ht="20.149999999999999" customHeight="1">
      <c r="B152" s="4" t="s">
        <v>677</v>
      </c>
      <c r="C152" s="4" t="s">
        <v>569</v>
      </c>
      <c r="D152" s="4" t="s">
        <v>824</v>
      </c>
      <c r="E152" s="4" t="s">
        <v>326</v>
      </c>
      <c r="F152" s="73">
        <v>46214</v>
      </c>
      <c r="G152" s="5">
        <v>1008</v>
      </c>
      <c r="H152" s="6">
        <v>483840</v>
      </c>
      <c r="BX152" s="74" t="s">
        <v>1690</v>
      </c>
      <c r="BY152" s="74" t="s">
        <v>218</v>
      </c>
      <c r="BZ152" s="78">
        <v>2834</v>
      </c>
      <c r="CA152" s="41" t="s">
        <v>388</v>
      </c>
      <c r="CB152" s="41" t="s">
        <v>1152</v>
      </c>
      <c r="CC152" s="74" t="s">
        <v>1260</v>
      </c>
      <c r="CD152" s="41" t="s">
        <v>1709</v>
      </c>
      <c r="CE152" s="41" t="s">
        <v>1707</v>
      </c>
      <c r="CF152" s="41"/>
      <c r="CG152" s="41"/>
    </row>
    <row r="153" spans="2:85" ht="20.149999999999999" customHeight="1">
      <c r="B153" s="4" t="s">
        <v>677</v>
      </c>
      <c r="C153" s="4" t="s">
        <v>569</v>
      </c>
      <c r="D153" s="4" t="s">
        <v>824</v>
      </c>
      <c r="E153" s="4" t="s">
        <v>326</v>
      </c>
      <c r="F153" s="73">
        <v>46214</v>
      </c>
      <c r="G153" s="5">
        <v>1492</v>
      </c>
      <c r="H153" s="6">
        <v>716160</v>
      </c>
      <c r="BX153" s="74" t="s">
        <v>1690</v>
      </c>
      <c r="BY153" s="74" t="s">
        <v>218</v>
      </c>
      <c r="BZ153" s="78">
        <v>1313</v>
      </c>
      <c r="CA153" s="41" t="s">
        <v>388</v>
      </c>
      <c r="CB153" s="41" t="s">
        <v>1152</v>
      </c>
      <c r="CC153" s="74" t="s">
        <v>1260</v>
      </c>
      <c r="CD153" s="41" t="s">
        <v>1709</v>
      </c>
      <c r="CE153" s="41" t="s">
        <v>1707</v>
      </c>
      <c r="CF153" s="41"/>
      <c r="CG153" s="41"/>
    </row>
    <row r="154" spans="2:85" ht="20.149999999999999" customHeight="1">
      <c r="B154" s="4" t="s">
        <v>677</v>
      </c>
      <c r="C154" s="4" t="s">
        <v>569</v>
      </c>
      <c r="D154" s="4" t="s">
        <v>824</v>
      </c>
      <c r="E154" s="4" t="s">
        <v>139</v>
      </c>
      <c r="F154" s="73">
        <v>46214</v>
      </c>
      <c r="G154" s="5">
        <v>2200</v>
      </c>
      <c r="H154" s="6">
        <v>2596000</v>
      </c>
      <c r="BX154" s="74" t="s">
        <v>1690</v>
      </c>
      <c r="BY154" s="74" t="s">
        <v>218</v>
      </c>
      <c r="BZ154" s="78">
        <v>2795</v>
      </c>
      <c r="CA154" s="41" t="s">
        <v>388</v>
      </c>
      <c r="CB154" s="41" t="s">
        <v>1152</v>
      </c>
      <c r="CC154" s="74" t="s">
        <v>1260</v>
      </c>
      <c r="CD154" s="41" t="s">
        <v>1709</v>
      </c>
      <c r="CE154" s="41" t="s">
        <v>1707</v>
      </c>
      <c r="CF154" s="41"/>
      <c r="CG154" s="41"/>
    </row>
    <row r="155" spans="2:85" ht="20.149999999999999" customHeight="1">
      <c r="B155" s="4" t="s">
        <v>677</v>
      </c>
      <c r="C155" s="4" t="s">
        <v>569</v>
      </c>
      <c r="D155" s="4" t="s">
        <v>824</v>
      </c>
      <c r="E155" s="4" t="s">
        <v>163</v>
      </c>
      <c r="F155" s="73">
        <v>46214</v>
      </c>
      <c r="G155" s="5">
        <v>500</v>
      </c>
      <c r="H155" s="6">
        <v>50000</v>
      </c>
      <c r="BX155" s="74" t="s">
        <v>1690</v>
      </c>
      <c r="BY155" s="74" t="s">
        <v>218</v>
      </c>
      <c r="BZ155" s="78">
        <v>1404</v>
      </c>
      <c r="CA155" s="41" t="s">
        <v>388</v>
      </c>
      <c r="CB155" s="41" t="s">
        <v>1152</v>
      </c>
      <c r="CC155" s="74" t="s">
        <v>1260</v>
      </c>
      <c r="CD155" s="41" t="s">
        <v>1709</v>
      </c>
      <c r="CE155" s="41" t="s">
        <v>1707</v>
      </c>
      <c r="CF155" s="41"/>
      <c r="CG155" s="41"/>
    </row>
    <row r="156" spans="2:85" ht="20.149999999999999" customHeight="1">
      <c r="B156" s="4" t="s">
        <v>701</v>
      </c>
      <c r="C156" s="4" t="s">
        <v>569</v>
      </c>
      <c r="D156" s="4" t="s">
        <v>824</v>
      </c>
      <c r="E156" s="4" t="s">
        <v>139</v>
      </c>
      <c r="F156" s="73">
        <v>46214</v>
      </c>
      <c r="G156" s="5">
        <v>1800</v>
      </c>
      <c r="H156" s="6">
        <v>2088000</v>
      </c>
      <c r="BX156" s="74" t="s">
        <v>1690</v>
      </c>
      <c r="BY156" s="74" t="s">
        <v>218</v>
      </c>
      <c r="BZ156" s="78">
        <v>2808</v>
      </c>
      <c r="CA156" s="41" t="s">
        <v>388</v>
      </c>
      <c r="CB156" s="41" t="s">
        <v>1152</v>
      </c>
      <c r="CC156" s="74" t="s">
        <v>1260</v>
      </c>
      <c r="CD156" s="41" t="s">
        <v>1709</v>
      </c>
      <c r="CE156" s="41" t="s">
        <v>1707</v>
      </c>
      <c r="CF156" s="41"/>
      <c r="CG156" s="41"/>
    </row>
    <row r="157" spans="2:85" ht="20.149999999999999" customHeight="1">
      <c r="B157" s="4" t="s">
        <v>701</v>
      </c>
      <c r="C157" s="4" t="s">
        <v>569</v>
      </c>
      <c r="D157" s="4" t="s">
        <v>824</v>
      </c>
      <c r="E157" s="4" t="s">
        <v>703</v>
      </c>
      <c r="F157" s="73">
        <v>46214</v>
      </c>
      <c r="G157" s="5">
        <v>1521</v>
      </c>
      <c r="H157" s="6">
        <v>699659.11</v>
      </c>
      <c r="BX157" s="74" t="s">
        <v>1690</v>
      </c>
      <c r="BY157" s="74" t="s">
        <v>218</v>
      </c>
      <c r="BZ157" s="78">
        <v>1443</v>
      </c>
      <c r="CA157" s="41" t="s">
        <v>388</v>
      </c>
      <c r="CB157" s="41" t="s">
        <v>1152</v>
      </c>
      <c r="CC157" s="74" t="s">
        <v>1260</v>
      </c>
      <c r="CD157" s="41" t="s">
        <v>1709</v>
      </c>
      <c r="CE157" s="41" t="s">
        <v>1707</v>
      </c>
      <c r="CF157" s="41"/>
      <c r="CG157" s="41"/>
    </row>
    <row r="158" spans="2:85" ht="20.149999999999999" customHeight="1">
      <c r="B158" s="4" t="s">
        <v>701</v>
      </c>
      <c r="C158" s="4" t="s">
        <v>569</v>
      </c>
      <c r="D158" s="4" t="s">
        <v>824</v>
      </c>
      <c r="E158" s="4" t="s">
        <v>159</v>
      </c>
      <c r="F158" s="73">
        <v>46214</v>
      </c>
      <c r="G158" s="5">
        <v>1200</v>
      </c>
      <c r="H158" s="6">
        <v>138000</v>
      </c>
      <c r="BX158" s="74" t="s">
        <v>2443</v>
      </c>
      <c r="BY158" s="74" t="s">
        <v>171</v>
      </c>
      <c r="BZ158" s="78">
        <v>113000</v>
      </c>
      <c r="CA158" s="41" t="s">
        <v>388</v>
      </c>
      <c r="CB158" s="41" t="s">
        <v>2457</v>
      </c>
      <c r="CC158" s="74" t="s">
        <v>1260</v>
      </c>
      <c r="CD158" s="41" t="s">
        <v>1709</v>
      </c>
      <c r="CE158" s="41" t="s">
        <v>2456</v>
      </c>
      <c r="CF158" s="41"/>
      <c r="CG158" s="41"/>
    </row>
    <row r="159" spans="2:85" ht="20.149999999999999" customHeight="1">
      <c r="B159" s="4" t="s">
        <v>660</v>
      </c>
      <c r="C159" s="4" t="s">
        <v>569</v>
      </c>
      <c r="D159" s="4" t="s">
        <v>828</v>
      </c>
      <c r="E159" s="4" t="s">
        <v>332</v>
      </c>
      <c r="F159" s="73">
        <v>46216</v>
      </c>
      <c r="G159" s="5">
        <v>10000</v>
      </c>
      <c r="H159" s="6">
        <v>479520.48</v>
      </c>
      <c r="BX159" s="74" t="s">
        <v>2443</v>
      </c>
      <c r="BY159" s="74" t="s">
        <v>110</v>
      </c>
      <c r="BZ159" s="78">
        <v>121000</v>
      </c>
      <c r="CA159" s="41" t="s">
        <v>388</v>
      </c>
      <c r="CB159" s="41" t="s">
        <v>2457</v>
      </c>
      <c r="CC159" s="74" t="s">
        <v>1260</v>
      </c>
      <c r="CD159" s="41" t="s">
        <v>1709</v>
      </c>
      <c r="CE159" s="41" t="s">
        <v>2456</v>
      </c>
      <c r="CF159" s="41"/>
      <c r="CG159" s="41"/>
    </row>
    <row r="160" spans="2:85" ht="20.149999999999999" customHeight="1">
      <c r="B160" s="4" t="s">
        <v>660</v>
      </c>
      <c r="C160" s="4" t="s">
        <v>569</v>
      </c>
      <c r="D160" s="4" t="s">
        <v>828</v>
      </c>
      <c r="E160" s="4" t="s">
        <v>332</v>
      </c>
      <c r="F160" s="73">
        <v>46216</v>
      </c>
      <c r="G160" s="5">
        <v>5000</v>
      </c>
      <c r="H160" s="6">
        <v>239760.24</v>
      </c>
      <c r="BX160" s="74" t="s">
        <v>2443</v>
      </c>
      <c r="BY160" s="74" t="s">
        <v>666</v>
      </c>
      <c r="BZ160" s="78">
        <v>8000</v>
      </c>
      <c r="CA160" s="41" t="s">
        <v>388</v>
      </c>
      <c r="CB160" s="41" t="s">
        <v>2457</v>
      </c>
      <c r="CC160" s="74" t="s">
        <v>1260</v>
      </c>
      <c r="CD160" s="41" t="s">
        <v>1709</v>
      </c>
      <c r="CE160" s="41" t="s">
        <v>2456</v>
      </c>
      <c r="CF160" s="41"/>
      <c r="CG160" s="41"/>
    </row>
    <row r="161" spans="2:85" ht="20.149999999999999" customHeight="1">
      <c r="B161" s="4" t="s">
        <v>734</v>
      </c>
      <c r="C161" s="4" t="s">
        <v>569</v>
      </c>
      <c r="D161" s="4" t="s">
        <v>828</v>
      </c>
      <c r="E161" s="4" t="s">
        <v>424</v>
      </c>
      <c r="F161" s="73">
        <v>46216</v>
      </c>
      <c r="G161" s="5">
        <v>24</v>
      </c>
      <c r="H161" s="6">
        <v>132071.32</v>
      </c>
      <c r="BX161" s="74" t="s">
        <v>2444</v>
      </c>
      <c r="BY161" s="74" t="s">
        <v>171</v>
      </c>
      <c r="BZ161" s="78">
        <v>30000</v>
      </c>
      <c r="CA161" s="41" t="s">
        <v>388</v>
      </c>
      <c r="CB161" s="41" t="s">
        <v>1284</v>
      </c>
      <c r="CC161" s="74" t="s">
        <v>1260</v>
      </c>
      <c r="CD161" s="41" t="s">
        <v>2459</v>
      </c>
      <c r="CE161" s="41" t="s">
        <v>2458</v>
      </c>
      <c r="CF161" s="41"/>
      <c r="CG161" s="41"/>
    </row>
    <row r="162" spans="2:85" ht="20.149999999999999" customHeight="1">
      <c r="B162" s="4" t="s">
        <v>734</v>
      </c>
      <c r="C162" s="4" t="s">
        <v>569</v>
      </c>
      <c r="D162" s="4" t="s">
        <v>828</v>
      </c>
      <c r="E162" s="4" t="s">
        <v>357</v>
      </c>
      <c r="F162" s="73">
        <v>46216</v>
      </c>
      <c r="G162" s="5">
        <v>32</v>
      </c>
      <c r="H162" s="6">
        <v>176095.09</v>
      </c>
      <c r="BX162" s="74" t="s">
        <v>2444</v>
      </c>
      <c r="BY162" s="74" t="s">
        <v>181</v>
      </c>
      <c r="BZ162" s="78">
        <v>10000</v>
      </c>
      <c r="CA162" s="41" t="s">
        <v>388</v>
      </c>
      <c r="CB162" s="41" t="s">
        <v>1284</v>
      </c>
      <c r="CC162" s="74" t="s">
        <v>1260</v>
      </c>
      <c r="CD162" s="41" t="s">
        <v>2459</v>
      </c>
      <c r="CE162" s="41" t="s">
        <v>2458</v>
      </c>
      <c r="CF162" s="41"/>
      <c r="CG162" s="41"/>
    </row>
    <row r="163" spans="2:85" ht="20.149999999999999" customHeight="1">
      <c r="B163" s="4" t="s">
        <v>734</v>
      </c>
      <c r="C163" s="4" t="s">
        <v>569</v>
      </c>
      <c r="D163" s="4" t="s">
        <v>828</v>
      </c>
      <c r="E163" s="4" t="s">
        <v>696</v>
      </c>
      <c r="F163" s="73">
        <v>46216</v>
      </c>
      <c r="G163" s="5">
        <v>6</v>
      </c>
      <c r="H163" s="6">
        <v>20201.830000000002</v>
      </c>
      <c r="BX163" s="74" t="s">
        <v>2444</v>
      </c>
      <c r="BY163" s="74" t="s">
        <v>238</v>
      </c>
      <c r="BZ163" s="78">
        <v>30000</v>
      </c>
      <c r="CA163" s="41" t="s">
        <v>388</v>
      </c>
      <c r="CB163" s="41" t="s">
        <v>1284</v>
      </c>
      <c r="CC163" s="74" t="s">
        <v>1260</v>
      </c>
      <c r="CD163" s="41" t="s">
        <v>2459</v>
      </c>
      <c r="CE163" s="41" t="s">
        <v>2458</v>
      </c>
      <c r="CF163" s="41"/>
      <c r="CG163" s="41"/>
    </row>
    <row r="164" spans="2:85" ht="20.149999999999999" customHeight="1">
      <c r="B164" s="4" t="s">
        <v>734</v>
      </c>
      <c r="C164" s="4" t="s">
        <v>569</v>
      </c>
      <c r="D164" s="4" t="s">
        <v>828</v>
      </c>
      <c r="E164" s="4" t="s">
        <v>645</v>
      </c>
      <c r="F164" s="73">
        <v>46216</v>
      </c>
      <c r="G164" s="5">
        <v>4</v>
      </c>
      <c r="H164" s="6">
        <v>20338.98</v>
      </c>
      <c r="BX164" s="74" t="s">
        <v>2445</v>
      </c>
      <c r="BY164" s="74" t="s">
        <v>103</v>
      </c>
      <c r="BZ164" s="78">
        <v>15000</v>
      </c>
      <c r="CA164" s="41" t="s">
        <v>388</v>
      </c>
      <c r="CB164" s="41" t="s">
        <v>2461</v>
      </c>
      <c r="CC164" s="74" t="s">
        <v>1260</v>
      </c>
      <c r="CD164" s="41" t="s">
        <v>2459</v>
      </c>
      <c r="CE164" s="41" t="s">
        <v>2460</v>
      </c>
      <c r="CF164" s="41"/>
      <c r="CG164" s="41"/>
    </row>
    <row r="165" spans="2:85" ht="20.149999999999999" customHeight="1">
      <c r="B165" s="4" t="s">
        <v>671</v>
      </c>
      <c r="C165" s="4" t="s">
        <v>569</v>
      </c>
      <c r="D165" s="4" t="s">
        <v>828</v>
      </c>
      <c r="E165" s="4" t="s">
        <v>332</v>
      </c>
      <c r="F165" s="73">
        <v>46216</v>
      </c>
      <c r="G165" s="5">
        <v>1000</v>
      </c>
      <c r="H165" s="6">
        <v>50000</v>
      </c>
      <c r="BX165" s="74" t="s">
        <v>2445</v>
      </c>
      <c r="BY165" s="74" t="s">
        <v>245</v>
      </c>
      <c r="BZ165" s="78">
        <v>4</v>
      </c>
      <c r="CA165" s="41" t="s">
        <v>388</v>
      </c>
      <c r="CB165" s="41" t="s">
        <v>2461</v>
      </c>
      <c r="CC165" s="74" t="s">
        <v>1260</v>
      </c>
      <c r="CD165" s="41" t="s">
        <v>2459</v>
      </c>
      <c r="CE165" s="41" t="s">
        <v>2460</v>
      </c>
      <c r="CF165" s="41"/>
      <c r="CG165" s="41"/>
    </row>
    <row r="166" spans="2:85" ht="20.149999999999999" customHeight="1">
      <c r="B166" s="4" t="s">
        <v>790</v>
      </c>
      <c r="C166" s="4" t="s">
        <v>569</v>
      </c>
      <c r="D166" s="4" t="s">
        <v>824</v>
      </c>
      <c r="E166" s="4" t="s">
        <v>139</v>
      </c>
      <c r="F166" s="73">
        <v>46216</v>
      </c>
      <c r="G166" s="5">
        <v>150</v>
      </c>
      <c r="H166" s="6">
        <v>157342.66</v>
      </c>
      <c r="BX166" s="74" t="s">
        <v>2445</v>
      </c>
      <c r="BY166" s="74" t="s">
        <v>245</v>
      </c>
      <c r="BZ166" s="78">
        <v>44996</v>
      </c>
      <c r="CA166" s="41" t="s">
        <v>388</v>
      </c>
      <c r="CB166" s="41" t="s">
        <v>2461</v>
      </c>
      <c r="CC166" s="74" t="s">
        <v>1260</v>
      </c>
      <c r="CD166" s="41" t="s">
        <v>2459</v>
      </c>
      <c r="CE166" s="41" t="s">
        <v>2460</v>
      </c>
      <c r="CF166" s="41"/>
      <c r="CG166" s="41"/>
    </row>
    <row r="167" spans="2:85" ht="20.149999999999999" customHeight="1">
      <c r="B167" s="4" t="s">
        <v>662</v>
      </c>
      <c r="C167" s="4" t="s">
        <v>1487</v>
      </c>
      <c r="D167" s="4" t="s">
        <v>828</v>
      </c>
      <c r="E167" s="4" t="s">
        <v>332</v>
      </c>
      <c r="F167" s="73">
        <v>46216</v>
      </c>
      <c r="G167" s="5">
        <v>2000</v>
      </c>
      <c r="H167" s="6">
        <v>100000</v>
      </c>
      <c r="BX167" s="74" t="s">
        <v>2445</v>
      </c>
      <c r="BY167" s="74" t="s">
        <v>238</v>
      </c>
      <c r="BZ167" s="78">
        <v>45000</v>
      </c>
      <c r="CA167" s="41" t="s">
        <v>388</v>
      </c>
      <c r="CB167" s="41" t="s">
        <v>2461</v>
      </c>
      <c r="CC167" s="74" t="s">
        <v>1260</v>
      </c>
      <c r="CD167" s="41" t="s">
        <v>2459</v>
      </c>
      <c r="CE167" s="41" t="s">
        <v>2460</v>
      </c>
      <c r="CF167" s="41"/>
      <c r="CG167" s="41"/>
    </row>
    <row r="168" spans="2:85" ht="20.149999999999999" customHeight="1">
      <c r="B168" s="4" t="s">
        <v>621</v>
      </c>
      <c r="C168" s="4" t="s">
        <v>569</v>
      </c>
      <c r="D168" s="4" t="s">
        <v>828</v>
      </c>
      <c r="E168" s="4" t="s">
        <v>424</v>
      </c>
      <c r="F168" s="73">
        <v>46216</v>
      </c>
      <c r="G168" s="5">
        <v>4</v>
      </c>
      <c r="H168" s="6">
        <v>24000</v>
      </c>
      <c r="BX168" s="74" t="s">
        <v>2445</v>
      </c>
      <c r="BY168" s="74" t="s">
        <v>238</v>
      </c>
      <c r="BZ168" s="78">
        <v>15000</v>
      </c>
      <c r="CA168" s="41" t="s">
        <v>388</v>
      </c>
      <c r="CB168" s="41" t="s">
        <v>2461</v>
      </c>
      <c r="CC168" s="74" t="s">
        <v>1260</v>
      </c>
      <c r="CD168" s="41" t="s">
        <v>2459</v>
      </c>
      <c r="CE168" s="41" t="s">
        <v>2460</v>
      </c>
      <c r="CF168" s="41"/>
      <c r="CG168" s="41"/>
    </row>
    <row r="169" spans="2:85" ht="20.149999999999999" customHeight="1">
      <c r="B169" s="4" t="s">
        <v>621</v>
      </c>
      <c r="C169" s="4" t="s">
        <v>569</v>
      </c>
      <c r="D169" s="4" t="s">
        <v>828</v>
      </c>
      <c r="E169" s="4" t="s">
        <v>357</v>
      </c>
      <c r="F169" s="73">
        <v>46216</v>
      </c>
      <c r="G169" s="5">
        <v>4</v>
      </c>
      <c r="H169" s="6">
        <v>24000</v>
      </c>
      <c r="BX169" s="74" t="s">
        <v>2446</v>
      </c>
      <c r="BY169" s="74" t="s">
        <v>139</v>
      </c>
      <c r="BZ169" s="78">
        <v>98</v>
      </c>
      <c r="CA169" s="41" t="s">
        <v>388</v>
      </c>
      <c r="CB169" s="41" t="s">
        <v>2461</v>
      </c>
      <c r="CC169" s="74" t="s">
        <v>1260</v>
      </c>
      <c r="CD169" s="41" t="s">
        <v>2462</v>
      </c>
      <c r="CE169" s="41" t="s">
        <v>1362</v>
      </c>
      <c r="CF169" s="41"/>
      <c r="CG169" s="41"/>
    </row>
    <row r="170" spans="2:85" ht="20.149999999999999" customHeight="1">
      <c r="B170" s="4" t="s">
        <v>607</v>
      </c>
      <c r="C170" s="4" t="s">
        <v>569</v>
      </c>
      <c r="D170" s="4" t="s">
        <v>828</v>
      </c>
      <c r="E170" s="4" t="s">
        <v>431</v>
      </c>
      <c r="F170" s="73">
        <v>46217</v>
      </c>
      <c r="G170" s="5">
        <v>4</v>
      </c>
      <c r="H170" s="6">
        <v>24000</v>
      </c>
      <c r="BX170" s="74" t="s">
        <v>2446</v>
      </c>
      <c r="BY170" s="74" t="s">
        <v>139</v>
      </c>
      <c r="BZ170" s="78">
        <v>175</v>
      </c>
      <c r="CA170" s="41" t="s">
        <v>388</v>
      </c>
      <c r="CB170" s="41" t="s">
        <v>2461</v>
      </c>
      <c r="CC170" s="74" t="s">
        <v>1260</v>
      </c>
      <c r="CD170" s="41" t="s">
        <v>2462</v>
      </c>
      <c r="CE170" s="41" t="s">
        <v>1362</v>
      </c>
      <c r="CF170" s="41"/>
      <c r="CG170" s="41"/>
    </row>
    <row r="171" spans="2:85" ht="20.149999999999999" customHeight="1">
      <c r="B171" s="4" t="s">
        <v>607</v>
      </c>
      <c r="C171" s="4" t="s">
        <v>569</v>
      </c>
      <c r="D171" s="4" t="s">
        <v>828</v>
      </c>
      <c r="E171" s="4" t="s">
        <v>431</v>
      </c>
      <c r="F171" s="73">
        <v>46217</v>
      </c>
      <c r="G171" s="5">
        <v>4</v>
      </c>
      <c r="H171" s="6">
        <v>24000</v>
      </c>
      <c r="BX171" s="74" t="s">
        <v>2446</v>
      </c>
      <c r="BY171" s="74" t="s">
        <v>139</v>
      </c>
      <c r="BZ171" s="78">
        <v>37743</v>
      </c>
      <c r="CA171" s="41" t="s">
        <v>388</v>
      </c>
      <c r="CB171" s="41" t="s">
        <v>2461</v>
      </c>
      <c r="CC171" s="74" t="s">
        <v>1260</v>
      </c>
      <c r="CD171" s="41" t="s">
        <v>2462</v>
      </c>
      <c r="CE171" s="41" t="s">
        <v>1362</v>
      </c>
      <c r="CF171" s="41"/>
      <c r="CG171" s="41"/>
    </row>
    <row r="172" spans="2:85" ht="20.149999999999999" customHeight="1">
      <c r="B172" s="4" t="s">
        <v>759</v>
      </c>
      <c r="C172" s="4" t="s">
        <v>569</v>
      </c>
      <c r="D172" s="4" t="s">
        <v>824</v>
      </c>
      <c r="E172" s="4" t="s">
        <v>139</v>
      </c>
      <c r="F172" s="73">
        <v>46217</v>
      </c>
      <c r="G172" s="5">
        <v>300</v>
      </c>
      <c r="H172" s="6">
        <v>292207.78999999998</v>
      </c>
      <c r="BX172" s="74" t="s">
        <v>2446</v>
      </c>
      <c r="BY172" s="74" t="s">
        <v>144</v>
      </c>
      <c r="BZ172" s="78">
        <v>4296</v>
      </c>
      <c r="CA172" s="41" t="s">
        <v>388</v>
      </c>
      <c r="CB172" s="41" t="s">
        <v>2461</v>
      </c>
      <c r="CC172" s="74" t="s">
        <v>1260</v>
      </c>
      <c r="CD172" s="41" t="s">
        <v>2462</v>
      </c>
      <c r="CE172" s="41" t="s">
        <v>1362</v>
      </c>
      <c r="CF172" s="41"/>
      <c r="CG172" s="41"/>
    </row>
    <row r="173" spans="2:85" ht="20.149999999999999" customHeight="1">
      <c r="B173" s="4" t="s">
        <v>759</v>
      </c>
      <c r="C173" s="4" t="s">
        <v>569</v>
      </c>
      <c r="D173" s="4" t="s">
        <v>824</v>
      </c>
      <c r="E173" s="4" t="s">
        <v>151</v>
      </c>
      <c r="F173" s="73">
        <v>46217</v>
      </c>
      <c r="G173" s="5">
        <v>800</v>
      </c>
      <c r="H173" s="6">
        <v>799200.8</v>
      </c>
    </row>
    <row r="174" spans="2:85" ht="20.149999999999999" customHeight="1">
      <c r="B174" s="4" t="s">
        <v>759</v>
      </c>
      <c r="C174" s="4" t="s">
        <v>569</v>
      </c>
      <c r="D174" s="4" t="s">
        <v>824</v>
      </c>
      <c r="E174" s="4" t="s">
        <v>144</v>
      </c>
      <c r="F174" s="73">
        <v>46217</v>
      </c>
      <c r="G174" s="5">
        <v>100</v>
      </c>
      <c r="H174" s="6">
        <v>99900.1</v>
      </c>
    </row>
    <row r="175" spans="2:85" ht="20.149999999999999" customHeight="1">
      <c r="B175" s="4" t="s">
        <v>752</v>
      </c>
      <c r="C175" s="4" t="s">
        <v>752</v>
      </c>
      <c r="D175" s="4" t="s">
        <v>824</v>
      </c>
      <c r="E175" s="4" t="s">
        <v>218</v>
      </c>
      <c r="F175" s="73">
        <v>46217</v>
      </c>
      <c r="G175" s="5">
        <v>2768</v>
      </c>
      <c r="H175" s="6">
        <v>5823872</v>
      </c>
    </row>
    <row r="176" spans="2:85" ht="20.149999999999999" customHeight="1">
      <c r="B176" s="4" t="s">
        <v>752</v>
      </c>
      <c r="C176" s="4" t="s">
        <v>752</v>
      </c>
      <c r="D176" s="4" t="s">
        <v>824</v>
      </c>
      <c r="E176" s="4" t="s">
        <v>218</v>
      </c>
      <c r="F176" s="73">
        <v>46217</v>
      </c>
      <c r="G176" s="5">
        <v>2872</v>
      </c>
      <c r="H176" s="6">
        <v>6042688</v>
      </c>
    </row>
    <row r="177" spans="2:8" ht="20.149999999999999" customHeight="1">
      <c r="B177" s="4" t="s">
        <v>808</v>
      </c>
      <c r="C177" s="4" t="s">
        <v>569</v>
      </c>
      <c r="D177" s="4" t="s">
        <v>828</v>
      </c>
      <c r="E177" s="4" t="s">
        <v>332</v>
      </c>
      <c r="F177" s="73">
        <v>46218</v>
      </c>
      <c r="G177" s="5">
        <v>30000</v>
      </c>
      <c r="H177" s="6">
        <v>1462500</v>
      </c>
    </row>
    <row r="178" spans="2:8" ht="20.149999999999999" customHeight="1">
      <c r="B178" s="4" t="s">
        <v>684</v>
      </c>
      <c r="C178" s="4" t="s">
        <v>569</v>
      </c>
      <c r="D178" s="4" t="s">
        <v>828</v>
      </c>
      <c r="E178" s="4" t="s">
        <v>357</v>
      </c>
      <c r="F178" s="73">
        <v>46218</v>
      </c>
      <c r="G178" s="5">
        <v>14</v>
      </c>
      <c r="H178" s="6">
        <v>77000</v>
      </c>
    </row>
    <row r="179" spans="2:8" ht="20.149999999999999" customHeight="1">
      <c r="B179" s="4" t="s">
        <v>684</v>
      </c>
      <c r="C179" s="4" t="s">
        <v>569</v>
      </c>
      <c r="D179" s="4" t="s">
        <v>828</v>
      </c>
      <c r="E179" s="4" t="s">
        <v>120</v>
      </c>
      <c r="F179" s="73">
        <v>46218</v>
      </c>
      <c r="G179" s="5">
        <v>2</v>
      </c>
      <c r="H179" s="6">
        <v>11000</v>
      </c>
    </row>
    <row r="180" spans="2:8" ht="20.149999999999999" customHeight="1">
      <c r="B180" s="4" t="s">
        <v>718</v>
      </c>
      <c r="C180" s="4" t="s">
        <v>1487</v>
      </c>
      <c r="D180" s="4" t="s">
        <v>828</v>
      </c>
      <c r="E180" s="4" t="s">
        <v>406</v>
      </c>
      <c r="F180" s="73">
        <v>46219</v>
      </c>
      <c r="G180" s="5">
        <v>27</v>
      </c>
      <c r="H180" s="6">
        <v>2565</v>
      </c>
    </row>
    <row r="181" spans="2:8" ht="20.149999999999999" customHeight="1">
      <c r="B181" s="4" t="s">
        <v>718</v>
      </c>
      <c r="C181" s="4" t="s">
        <v>1487</v>
      </c>
      <c r="D181" s="4" t="s">
        <v>828</v>
      </c>
      <c r="E181" s="4" t="s">
        <v>406</v>
      </c>
      <c r="F181" s="73">
        <v>46219</v>
      </c>
      <c r="G181" s="5">
        <v>1000</v>
      </c>
      <c r="H181" s="6">
        <v>95000</v>
      </c>
    </row>
    <row r="182" spans="2:8" ht="20.149999999999999" customHeight="1">
      <c r="B182" s="4" t="s">
        <v>718</v>
      </c>
      <c r="C182" s="4" t="s">
        <v>1487</v>
      </c>
      <c r="D182" s="4" t="s">
        <v>828</v>
      </c>
      <c r="E182" s="4" t="s">
        <v>406</v>
      </c>
      <c r="F182" s="73">
        <v>46219</v>
      </c>
      <c r="G182" s="5">
        <v>13973</v>
      </c>
      <c r="H182" s="6">
        <v>1327435</v>
      </c>
    </row>
    <row r="183" spans="2:8" ht="20.149999999999999" customHeight="1">
      <c r="B183" s="4" t="s">
        <v>718</v>
      </c>
      <c r="C183" s="4" t="s">
        <v>1487</v>
      </c>
      <c r="D183" s="4" t="s">
        <v>828</v>
      </c>
      <c r="E183" s="4" t="s">
        <v>410</v>
      </c>
      <c r="F183" s="73">
        <v>46219</v>
      </c>
      <c r="G183" s="5">
        <v>15000</v>
      </c>
      <c r="H183" s="6">
        <v>1425000</v>
      </c>
    </row>
    <row r="184" spans="2:8" ht="20.149999999999999" customHeight="1">
      <c r="B184" s="4" t="s">
        <v>718</v>
      </c>
      <c r="C184" s="4" t="s">
        <v>1487</v>
      </c>
      <c r="D184" s="4" t="s">
        <v>828</v>
      </c>
      <c r="E184" s="4" t="s">
        <v>301</v>
      </c>
      <c r="F184" s="73">
        <v>46219</v>
      </c>
      <c r="G184" s="5">
        <v>493</v>
      </c>
      <c r="H184" s="6">
        <v>61625</v>
      </c>
    </row>
    <row r="185" spans="2:8" ht="20.149999999999999" customHeight="1">
      <c r="B185" s="4" t="s">
        <v>718</v>
      </c>
      <c r="C185" s="4" t="s">
        <v>1487</v>
      </c>
      <c r="D185" s="4" t="s">
        <v>828</v>
      </c>
      <c r="E185" s="4" t="s">
        <v>301</v>
      </c>
      <c r="F185" s="73">
        <v>46219</v>
      </c>
      <c r="G185" s="5">
        <v>92</v>
      </c>
      <c r="H185" s="6">
        <v>11500</v>
      </c>
    </row>
    <row r="186" spans="2:8" ht="20.149999999999999" customHeight="1">
      <c r="B186" s="4" t="s">
        <v>718</v>
      </c>
      <c r="C186" s="4" t="s">
        <v>1487</v>
      </c>
      <c r="D186" s="4" t="s">
        <v>828</v>
      </c>
      <c r="E186" s="4" t="s">
        <v>301</v>
      </c>
      <c r="F186" s="73">
        <v>46219</v>
      </c>
      <c r="G186" s="5">
        <v>14415</v>
      </c>
      <c r="H186" s="6">
        <v>1801875</v>
      </c>
    </row>
    <row r="187" spans="2:8" ht="20.149999999999999" customHeight="1">
      <c r="B187" s="4" t="s">
        <v>1400</v>
      </c>
      <c r="C187" s="4" t="s">
        <v>569</v>
      </c>
      <c r="D187" s="4" t="s">
        <v>1288</v>
      </c>
      <c r="E187" s="4" t="s">
        <v>589</v>
      </c>
      <c r="F187" s="73">
        <v>46219</v>
      </c>
      <c r="G187" s="5">
        <v>10000</v>
      </c>
      <c r="H187" s="6">
        <v>319680.32</v>
      </c>
    </row>
    <row r="188" spans="2:8" ht="20.149999999999999" customHeight="1">
      <c r="B188" s="4" t="s">
        <v>1402</v>
      </c>
      <c r="C188" s="4" t="s">
        <v>569</v>
      </c>
      <c r="D188" s="4" t="s">
        <v>828</v>
      </c>
      <c r="E188" s="4" t="s">
        <v>424</v>
      </c>
      <c r="F188" s="73">
        <v>46219</v>
      </c>
      <c r="G188" s="5">
        <v>10</v>
      </c>
      <c r="H188" s="6">
        <v>60000</v>
      </c>
    </row>
    <row r="189" spans="2:8" ht="20.149999999999999" customHeight="1">
      <c r="B189" s="4" t="s">
        <v>1402</v>
      </c>
      <c r="C189" s="4" t="s">
        <v>569</v>
      </c>
      <c r="D189" s="4" t="s">
        <v>828</v>
      </c>
      <c r="E189" s="4" t="s">
        <v>120</v>
      </c>
      <c r="F189" s="73">
        <v>46219</v>
      </c>
      <c r="G189" s="5">
        <v>2</v>
      </c>
      <c r="H189" s="6">
        <v>12000</v>
      </c>
    </row>
    <row r="190" spans="2:8" ht="20.149999999999999" customHeight="1">
      <c r="B190" s="4" t="s">
        <v>647</v>
      </c>
      <c r="C190" s="4" t="s">
        <v>569</v>
      </c>
      <c r="D190" s="4" t="s">
        <v>824</v>
      </c>
      <c r="E190" s="4" t="s">
        <v>326</v>
      </c>
      <c r="F190" s="73">
        <v>46220</v>
      </c>
      <c r="G190" s="5">
        <v>288</v>
      </c>
      <c r="H190" s="6">
        <v>126593.41</v>
      </c>
    </row>
    <row r="191" spans="2:8" ht="20.149999999999999" customHeight="1">
      <c r="B191" s="4" t="s">
        <v>647</v>
      </c>
      <c r="C191" s="4" t="s">
        <v>569</v>
      </c>
      <c r="D191" s="4" t="s">
        <v>824</v>
      </c>
      <c r="E191" s="4" t="s">
        <v>144</v>
      </c>
      <c r="F191" s="73">
        <v>46220</v>
      </c>
      <c r="G191" s="5">
        <v>288</v>
      </c>
      <c r="H191" s="6">
        <v>330869.13</v>
      </c>
    </row>
    <row r="192" spans="2:8" ht="20.149999999999999" customHeight="1">
      <c r="B192" s="4" t="s">
        <v>602</v>
      </c>
      <c r="C192" s="4" t="s">
        <v>569</v>
      </c>
      <c r="D192" s="4" t="s">
        <v>828</v>
      </c>
      <c r="E192" s="4" t="s">
        <v>332</v>
      </c>
      <c r="F192" s="73">
        <v>46220</v>
      </c>
      <c r="G192" s="5">
        <v>3000</v>
      </c>
      <c r="H192" s="6">
        <v>174000</v>
      </c>
    </row>
    <row r="193" spans="2:8" ht="20.149999999999999" customHeight="1">
      <c r="B193" s="4" t="s">
        <v>1547</v>
      </c>
      <c r="C193" s="4" t="s">
        <v>569</v>
      </c>
      <c r="D193" s="4" t="s">
        <v>1288</v>
      </c>
      <c r="E193" s="4" t="s">
        <v>115</v>
      </c>
      <c r="F193" s="73">
        <v>46220</v>
      </c>
      <c r="G193" s="5">
        <v>1000</v>
      </c>
      <c r="H193" s="6">
        <v>600000</v>
      </c>
    </row>
    <row r="194" spans="2:8" ht="20.149999999999999" customHeight="1">
      <c r="B194" s="4" t="s">
        <v>1551</v>
      </c>
      <c r="C194" s="4" t="s">
        <v>569</v>
      </c>
      <c r="D194" s="4" t="s">
        <v>824</v>
      </c>
      <c r="E194" s="4" t="s">
        <v>218</v>
      </c>
      <c r="F194" s="73">
        <v>46220</v>
      </c>
      <c r="G194" s="5">
        <v>117</v>
      </c>
      <c r="H194" s="6">
        <v>251298.7</v>
      </c>
    </row>
    <row r="195" spans="2:8" ht="20.149999999999999" customHeight="1">
      <c r="B195" s="4" t="s">
        <v>1551</v>
      </c>
      <c r="C195" s="4" t="s">
        <v>569</v>
      </c>
      <c r="D195" s="4" t="s">
        <v>824</v>
      </c>
      <c r="E195" s="4" t="s">
        <v>226</v>
      </c>
      <c r="F195" s="73">
        <v>46220</v>
      </c>
      <c r="G195" s="5">
        <v>170</v>
      </c>
      <c r="H195" s="6">
        <v>33830.85</v>
      </c>
    </row>
    <row r="196" spans="2:8" ht="20.149999999999999" customHeight="1">
      <c r="B196" s="4" t="s">
        <v>1551</v>
      </c>
      <c r="C196" s="4" t="s">
        <v>569</v>
      </c>
      <c r="D196" s="4" t="s">
        <v>824</v>
      </c>
      <c r="E196" s="4" t="s">
        <v>187</v>
      </c>
      <c r="F196" s="73">
        <v>46220</v>
      </c>
      <c r="G196" s="5">
        <v>170</v>
      </c>
      <c r="H196" s="6">
        <v>50746.27</v>
      </c>
    </row>
    <row r="197" spans="2:8" ht="20.149999999999999" customHeight="1">
      <c r="B197" s="4" t="s">
        <v>611</v>
      </c>
      <c r="C197" s="4" t="s">
        <v>569</v>
      </c>
      <c r="D197" s="4" t="s">
        <v>1288</v>
      </c>
      <c r="E197" s="4" t="s">
        <v>115</v>
      </c>
      <c r="F197" s="73">
        <v>46220</v>
      </c>
      <c r="G197" s="5">
        <v>1000</v>
      </c>
      <c r="H197" s="6">
        <v>639360.64</v>
      </c>
    </row>
    <row r="198" spans="2:8" ht="20.149999999999999" customHeight="1">
      <c r="B198" s="4" t="s">
        <v>607</v>
      </c>
      <c r="C198" s="4" t="s">
        <v>569</v>
      </c>
      <c r="D198" s="4" t="s">
        <v>828</v>
      </c>
      <c r="E198" s="4" t="s">
        <v>679</v>
      </c>
      <c r="F198" s="73">
        <v>46223</v>
      </c>
      <c r="G198" s="5">
        <v>10</v>
      </c>
      <c r="H198" s="6">
        <v>63000</v>
      </c>
    </row>
    <row r="199" spans="2:8" ht="20.149999999999999" customHeight="1">
      <c r="B199" s="4" t="s">
        <v>794</v>
      </c>
      <c r="C199" s="4" t="s">
        <v>569</v>
      </c>
      <c r="D199" s="4" t="s">
        <v>1288</v>
      </c>
      <c r="E199" s="4" t="s">
        <v>592</v>
      </c>
      <c r="F199" s="73">
        <v>46223</v>
      </c>
      <c r="G199" s="5">
        <v>11000</v>
      </c>
      <c r="H199" s="6">
        <v>230769.23</v>
      </c>
    </row>
    <row r="200" spans="2:8" ht="20.149999999999999" customHeight="1">
      <c r="B200" s="4" t="s">
        <v>778</v>
      </c>
      <c r="C200" s="4" t="s">
        <v>569</v>
      </c>
      <c r="D200" s="4" t="s">
        <v>828</v>
      </c>
      <c r="E200" s="4" t="s">
        <v>1564</v>
      </c>
      <c r="F200" s="73">
        <v>46224</v>
      </c>
      <c r="G200" s="5">
        <v>99600</v>
      </c>
      <c r="H200" s="6">
        <v>2587012.9900000002</v>
      </c>
    </row>
    <row r="201" spans="2:8" ht="20.149999999999999" customHeight="1">
      <c r="B201" s="4" t="s">
        <v>654</v>
      </c>
      <c r="C201" s="4" t="s">
        <v>569</v>
      </c>
      <c r="D201" s="4" t="s">
        <v>824</v>
      </c>
      <c r="E201" s="4" t="s">
        <v>326</v>
      </c>
      <c r="F201" s="73">
        <v>46225</v>
      </c>
      <c r="G201" s="5">
        <v>192</v>
      </c>
      <c r="H201" s="6">
        <v>92067.93</v>
      </c>
    </row>
    <row r="202" spans="2:8" ht="20.149999999999999" customHeight="1">
      <c r="B202" s="4" t="s">
        <v>654</v>
      </c>
      <c r="C202" s="4" t="s">
        <v>569</v>
      </c>
      <c r="D202" s="4" t="s">
        <v>824</v>
      </c>
      <c r="E202" s="4" t="s">
        <v>139</v>
      </c>
      <c r="F202" s="73">
        <v>46225</v>
      </c>
      <c r="G202" s="5">
        <v>192</v>
      </c>
      <c r="H202" s="6">
        <v>205234.77</v>
      </c>
    </row>
    <row r="203" spans="2:8" ht="20.149999999999999" customHeight="1">
      <c r="B203" s="4" t="s">
        <v>654</v>
      </c>
      <c r="C203" s="4" t="s">
        <v>569</v>
      </c>
      <c r="D203" s="4" t="s">
        <v>824</v>
      </c>
      <c r="E203" s="4" t="s">
        <v>163</v>
      </c>
      <c r="F203" s="73">
        <v>46225</v>
      </c>
      <c r="G203" s="5">
        <v>192</v>
      </c>
      <c r="H203" s="6">
        <v>23016.98</v>
      </c>
    </row>
    <row r="204" spans="2:8" ht="20.149999999999999" customHeight="1">
      <c r="B204" s="4" t="s">
        <v>594</v>
      </c>
      <c r="C204" s="4" t="s">
        <v>569</v>
      </c>
      <c r="D204" s="4" t="s">
        <v>824</v>
      </c>
      <c r="E204" s="4" t="s">
        <v>218</v>
      </c>
      <c r="F204" s="73">
        <v>46225</v>
      </c>
      <c r="G204" s="5">
        <v>198</v>
      </c>
      <c r="H204" s="6">
        <v>395604.4</v>
      </c>
    </row>
    <row r="205" spans="2:8" ht="20.149999999999999" customHeight="1">
      <c r="B205" s="4" t="s">
        <v>594</v>
      </c>
      <c r="C205" s="4" t="s">
        <v>569</v>
      </c>
      <c r="D205" s="4" t="s">
        <v>824</v>
      </c>
      <c r="E205" s="4" t="s">
        <v>218</v>
      </c>
      <c r="F205" s="73">
        <v>46225</v>
      </c>
      <c r="G205" s="5">
        <v>36</v>
      </c>
      <c r="H205" s="6">
        <v>71928.070000000007</v>
      </c>
    </row>
    <row r="206" spans="2:8" ht="20.149999999999999" customHeight="1">
      <c r="B206" s="4" t="s">
        <v>759</v>
      </c>
      <c r="C206" s="4" t="s">
        <v>569</v>
      </c>
      <c r="D206" s="4" t="s">
        <v>824</v>
      </c>
      <c r="E206" s="4" t="s">
        <v>218</v>
      </c>
      <c r="F206" s="73">
        <v>46225</v>
      </c>
      <c r="G206" s="5">
        <v>234</v>
      </c>
      <c r="H206" s="6">
        <v>485064.94</v>
      </c>
    </row>
    <row r="207" spans="2:8" ht="20.149999999999999" customHeight="1">
      <c r="B207" s="4" t="s">
        <v>605</v>
      </c>
      <c r="C207" s="4" t="s">
        <v>569</v>
      </c>
      <c r="D207" s="4" t="s">
        <v>824</v>
      </c>
      <c r="E207" s="4" t="s">
        <v>326</v>
      </c>
      <c r="F207" s="73">
        <v>46225</v>
      </c>
      <c r="G207" s="5">
        <v>24</v>
      </c>
      <c r="H207" s="6">
        <v>10560</v>
      </c>
    </row>
    <row r="208" spans="2:8" ht="20.149999999999999" customHeight="1">
      <c r="B208" s="4" t="s">
        <v>605</v>
      </c>
      <c r="C208" s="4" t="s">
        <v>569</v>
      </c>
      <c r="D208" s="4" t="s">
        <v>824</v>
      </c>
      <c r="E208" s="4" t="s">
        <v>139</v>
      </c>
      <c r="F208" s="73">
        <v>46225</v>
      </c>
      <c r="G208" s="5">
        <v>24</v>
      </c>
      <c r="H208" s="6">
        <v>26400</v>
      </c>
    </row>
    <row r="209" spans="2:8" ht="20.149999999999999" customHeight="1">
      <c r="B209" s="4" t="s">
        <v>626</v>
      </c>
      <c r="C209" s="4" t="s">
        <v>569</v>
      </c>
      <c r="D209" s="4" t="s">
        <v>824</v>
      </c>
      <c r="E209" s="4" t="s">
        <v>218</v>
      </c>
      <c r="F209" s="73">
        <v>46226</v>
      </c>
      <c r="G209" s="5">
        <v>600</v>
      </c>
      <c r="H209" s="6">
        <v>1228771.23</v>
      </c>
    </row>
    <row r="210" spans="2:8" ht="20.149999999999999" customHeight="1">
      <c r="B210" s="4" t="s">
        <v>626</v>
      </c>
      <c r="C210" s="4" t="s">
        <v>569</v>
      </c>
      <c r="D210" s="4" t="s">
        <v>824</v>
      </c>
      <c r="E210" s="4" t="s">
        <v>326</v>
      </c>
      <c r="F210" s="73">
        <v>46226</v>
      </c>
      <c r="G210" s="5">
        <v>3000</v>
      </c>
      <c r="H210" s="6">
        <v>1378621.38</v>
      </c>
    </row>
    <row r="211" spans="2:8" ht="20.149999999999999" customHeight="1">
      <c r="B211" s="4" t="s">
        <v>626</v>
      </c>
      <c r="C211" s="4" t="s">
        <v>569</v>
      </c>
      <c r="D211" s="4" t="s">
        <v>824</v>
      </c>
      <c r="E211" s="4" t="s">
        <v>139</v>
      </c>
      <c r="F211" s="73">
        <v>46226</v>
      </c>
      <c r="G211" s="5">
        <v>2000</v>
      </c>
      <c r="H211" s="6">
        <v>2037962.04</v>
      </c>
    </row>
    <row r="212" spans="2:8" ht="20.149999999999999" customHeight="1">
      <c r="B212" s="4" t="s">
        <v>626</v>
      </c>
      <c r="C212" s="4" t="s">
        <v>569</v>
      </c>
      <c r="D212" s="4" t="s">
        <v>824</v>
      </c>
      <c r="E212" s="4" t="s">
        <v>78</v>
      </c>
      <c r="F212" s="73">
        <v>46226</v>
      </c>
      <c r="G212" s="5">
        <v>111</v>
      </c>
      <c r="H212" s="6">
        <v>113106.89</v>
      </c>
    </row>
    <row r="213" spans="2:8" ht="20.149999999999999" customHeight="1">
      <c r="B213" s="4" t="s">
        <v>626</v>
      </c>
      <c r="C213" s="4" t="s">
        <v>569</v>
      </c>
      <c r="D213" s="4" t="s">
        <v>824</v>
      </c>
      <c r="E213" s="4" t="s">
        <v>78</v>
      </c>
      <c r="F213" s="73">
        <v>46226</v>
      </c>
      <c r="G213" s="5">
        <v>889</v>
      </c>
      <c r="H213" s="6">
        <v>905874.13</v>
      </c>
    </row>
    <row r="214" spans="2:8" ht="20.149999999999999" customHeight="1">
      <c r="B214" s="4" t="s">
        <v>626</v>
      </c>
      <c r="C214" s="4" t="s">
        <v>569</v>
      </c>
      <c r="D214" s="4" t="s">
        <v>824</v>
      </c>
      <c r="E214" s="4" t="s">
        <v>166</v>
      </c>
      <c r="F214" s="73">
        <v>46226</v>
      </c>
      <c r="G214" s="5">
        <v>3000</v>
      </c>
      <c r="H214" s="6">
        <v>344655.34</v>
      </c>
    </row>
    <row r="215" spans="2:8" ht="20.149999999999999" customHeight="1">
      <c r="B215" s="4" t="s">
        <v>770</v>
      </c>
      <c r="C215" s="4" t="s">
        <v>569</v>
      </c>
      <c r="D215" s="4" t="s">
        <v>828</v>
      </c>
      <c r="E215" s="4" t="s">
        <v>358</v>
      </c>
      <c r="F215" s="73">
        <v>46226</v>
      </c>
      <c r="G215" s="5">
        <v>48</v>
      </c>
      <c r="H215" s="6">
        <v>336000</v>
      </c>
    </row>
    <row r="216" spans="2:8" ht="20.149999999999999" customHeight="1">
      <c r="B216" s="4" t="s">
        <v>770</v>
      </c>
      <c r="C216" s="4" t="s">
        <v>569</v>
      </c>
      <c r="D216" s="4" t="s">
        <v>828</v>
      </c>
      <c r="E216" s="4" t="s">
        <v>120</v>
      </c>
      <c r="F216" s="73">
        <v>46226</v>
      </c>
      <c r="G216" s="5">
        <v>24</v>
      </c>
      <c r="H216" s="6">
        <v>168000</v>
      </c>
    </row>
    <row r="217" spans="2:8" ht="20.149999999999999" customHeight="1">
      <c r="B217" s="4" t="s">
        <v>770</v>
      </c>
      <c r="C217" s="4" t="s">
        <v>569</v>
      </c>
      <c r="D217" s="4" t="s">
        <v>828</v>
      </c>
      <c r="E217" s="4" t="s">
        <v>271</v>
      </c>
      <c r="F217" s="73">
        <v>46226</v>
      </c>
      <c r="G217" s="5">
        <v>24</v>
      </c>
      <c r="H217" s="6">
        <v>168000</v>
      </c>
    </row>
    <row r="218" spans="2:8" ht="20.149999999999999" customHeight="1">
      <c r="B218" s="4" t="s">
        <v>671</v>
      </c>
      <c r="C218" s="4" t="s">
        <v>569</v>
      </c>
      <c r="D218" s="4" t="s">
        <v>828</v>
      </c>
      <c r="E218" s="4" t="s">
        <v>332</v>
      </c>
      <c r="F218" s="73">
        <v>46226</v>
      </c>
      <c r="G218" s="5">
        <v>1500</v>
      </c>
      <c r="H218" s="6">
        <v>75000</v>
      </c>
    </row>
    <row r="219" spans="2:8" ht="20.149999999999999" customHeight="1">
      <c r="B219" s="4" t="s">
        <v>671</v>
      </c>
      <c r="C219" s="4" t="s">
        <v>569</v>
      </c>
      <c r="D219" s="4" t="s">
        <v>828</v>
      </c>
      <c r="E219" s="4" t="s">
        <v>322</v>
      </c>
      <c r="F219" s="73">
        <v>46226</v>
      </c>
      <c r="G219" s="5">
        <v>250</v>
      </c>
      <c r="H219" s="6">
        <v>17500</v>
      </c>
    </row>
    <row r="220" spans="2:8" ht="20.149999999999999" customHeight="1">
      <c r="B220" s="4" t="s">
        <v>671</v>
      </c>
      <c r="C220" s="4" t="s">
        <v>569</v>
      </c>
      <c r="D220" s="4" t="s">
        <v>828</v>
      </c>
      <c r="E220" s="4" t="s">
        <v>554</v>
      </c>
      <c r="F220" s="73">
        <v>46226</v>
      </c>
      <c r="G220" s="5">
        <v>2770</v>
      </c>
      <c r="H220" s="6">
        <v>281694.92</v>
      </c>
    </row>
    <row r="221" spans="2:8" ht="20.149999999999999" customHeight="1">
      <c r="B221" s="4" t="s">
        <v>818</v>
      </c>
      <c r="C221" s="4" t="s">
        <v>569</v>
      </c>
      <c r="D221" s="4" t="s">
        <v>824</v>
      </c>
      <c r="E221" s="4" t="s">
        <v>78</v>
      </c>
      <c r="F221" s="73">
        <v>46226</v>
      </c>
      <c r="G221" s="5">
        <v>100</v>
      </c>
      <c r="H221" s="6">
        <v>104000</v>
      </c>
    </row>
    <row r="222" spans="2:8" ht="20.149999999999999" customHeight="1">
      <c r="B222" s="4" t="s">
        <v>818</v>
      </c>
      <c r="C222" s="4" t="s">
        <v>569</v>
      </c>
      <c r="D222" s="4" t="s">
        <v>824</v>
      </c>
      <c r="E222" s="4" t="s">
        <v>78</v>
      </c>
      <c r="F222" s="73">
        <v>46226</v>
      </c>
      <c r="G222" s="5">
        <v>48</v>
      </c>
      <c r="H222" s="6">
        <v>49920</v>
      </c>
    </row>
    <row r="223" spans="2:8" ht="20.149999999999999" customHeight="1">
      <c r="B223" s="4" t="s">
        <v>640</v>
      </c>
      <c r="C223" s="4" t="s">
        <v>569</v>
      </c>
      <c r="D223" s="4" t="s">
        <v>824</v>
      </c>
      <c r="E223" s="4" t="s">
        <v>187</v>
      </c>
      <c r="F223" s="73">
        <v>46226</v>
      </c>
      <c r="G223" s="5">
        <v>100</v>
      </c>
      <c r="H223" s="6">
        <v>34825.870000000003</v>
      </c>
    </row>
    <row r="224" spans="2:8" ht="20.149999999999999" customHeight="1">
      <c r="B224" s="4" t="s">
        <v>764</v>
      </c>
      <c r="C224" s="4" t="s">
        <v>569</v>
      </c>
      <c r="D224" s="4" t="s">
        <v>824</v>
      </c>
      <c r="E224" s="4" t="s">
        <v>218</v>
      </c>
      <c r="F224" s="73">
        <v>46226</v>
      </c>
      <c r="G224" s="5">
        <v>50</v>
      </c>
      <c r="H224" s="6">
        <v>99900.1</v>
      </c>
    </row>
    <row r="225" spans="2:8" ht="20.149999999999999" customHeight="1">
      <c r="B225" s="4" t="s">
        <v>729</v>
      </c>
      <c r="C225" s="4" t="s">
        <v>569</v>
      </c>
      <c r="D225" s="4" t="s">
        <v>824</v>
      </c>
      <c r="E225" s="4" t="s">
        <v>139</v>
      </c>
      <c r="F225" s="73">
        <v>46230</v>
      </c>
      <c r="G225" s="5">
        <v>120</v>
      </c>
      <c r="H225" s="6">
        <v>125874.13</v>
      </c>
    </row>
    <row r="226" spans="2:8" ht="20.149999999999999" customHeight="1">
      <c r="B226" s="4" t="s">
        <v>741</v>
      </c>
      <c r="C226" s="4" t="s">
        <v>569</v>
      </c>
      <c r="D226" s="4" t="s">
        <v>824</v>
      </c>
      <c r="E226" s="4" t="s">
        <v>218</v>
      </c>
      <c r="F226" s="73">
        <v>46230</v>
      </c>
      <c r="G226" s="5">
        <v>140</v>
      </c>
      <c r="H226" s="6">
        <v>279723.21000000002</v>
      </c>
    </row>
    <row r="227" spans="2:8" ht="20.149999999999999" customHeight="1">
      <c r="B227" s="4" t="s">
        <v>741</v>
      </c>
      <c r="C227" s="4" t="s">
        <v>569</v>
      </c>
      <c r="D227" s="4" t="s">
        <v>824</v>
      </c>
      <c r="E227" s="4" t="s">
        <v>218</v>
      </c>
      <c r="F227" s="73">
        <v>46230</v>
      </c>
      <c r="G227" s="5">
        <v>94</v>
      </c>
      <c r="H227" s="6">
        <v>187814.15</v>
      </c>
    </row>
    <row r="228" spans="2:8" ht="20.149999999999999" customHeight="1">
      <c r="B228" s="4" t="s">
        <v>746</v>
      </c>
      <c r="C228" s="4" t="s">
        <v>569</v>
      </c>
      <c r="D228" s="4" t="s">
        <v>824</v>
      </c>
      <c r="E228" s="4" t="s">
        <v>218</v>
      </c>
      <c r="F228" s="73">
        <v>46230</v>
      </c>
      <c r="G228" s="5">
        <v>117</v>
      </c>
      <c r="H228" s="6">
        <v>243701.3</v>
      </c>
    </row>
    <row r="229" spans="2:8" ht="20.149999999999999" customHeight="1">
      <c r="B229" s="4" t="s">
        <v>810</v>
      </c>
      <c r="C229" s="4" t="s">
        <v>569</v>
      </c>
      <c r="D229" s="4" t="s">
        <v>824</v>
      </c>
      <c r="E229" s="4" t="s">
        <v>218</v>
      </c>
      <c r="F229" s="73">
        <v>46230</v>
      </c>
      <c r="G229" s="5">
        <v>234</v>
      </c>
      <c r="H229" s="6">
        <v>502599.56</v>
      </c>
    </row>
    <row r="230" spans="2:8" ht="20.149999999999999" customHeight="1">
      <c r="B230" s="4" t="s">
        <v>810</v>
      </c>
      <c r="C230" s="4" t="s">
        <v>569</v>
      </c>
      <c r="D230" s="4" t="s">
        <v>824</v>
      </c>
      <c r="E230" s="4" t="s">
        <v>226</v>
      </c>
      <c r="F230" s="73">
        <v>46230</v>
      </c>
      <c r="G230" s="5">
        <v>60</v>
      </c>
      <c r="H230" s="6">
        <v>11941.79</v>
      </c>
    </row>
    <row r="231" spans="2:8" ht="20.149999999999999" customHeight="1">
      <c r="B231" s="4" t="s">
        <v>768</v>
      </c>
      <c r="C231" s="4" t="s">
        <v>569</v>
      </c>
      <c r="D231" s="4" t="s">
        <v>1288</v>
      </c>
      <c r="E231" s="4" t="s">
        <v>712</v>
      </c>
      <c r="F231" s="73">
        <v>46212</v>
      </c>
      <c r="G231" s="5">
        <v>10</v>
      </c>
      <c r="H231" s="6">
        <v>9000</v>
      </c>
    </row>
    <row r="232" spans="2:8" ht="20.149999999999999" customHeight="1">
      <c r="B232" s="4" t="s">
        <v>613</v>
      </c>
      <c r="C232" s="4" t="s">
        <v>569</v>
      </c>
      <c r="D232" s="4" t="s">
        <v>824</v>
      </c>
      <c r="E232" s="4" t="s">
        <v>151</v>
      </c>
      <c r="F232" s="73">
        <v>46231</v>
      </c>
      <c r="G232" s="5">
        <v>2</v>
      </c>
      <c r="H232" s="6">
        <v>2680.02</v>
      </c>
    </row>
    <row r="233" spans="2:8" ht="20.149999999999999" customHeight="1">
      <c r="B233" s="4" t="s">
        <v>613</v>
      </c>
      <c r="C233" s="4" t="s">
        <v>569</v>
      </c>
      <c r="D233" s="4" t="s">
        <v>824</v>
      </c>
      <c r="E233" s="4" t="s">
        <v>166</v>
      </c>
      <c r="F233" s="73">
        <v>46231</v>
      </c>
      <c r="G233" s="5">
        <v>25</v>
      </c>
      <c r="H233" s="6">
        <v>3000</v>
      </c>
    </row>
    <row r="234" spans="2:8" ht="20.149999999999999" customHeight="1">
      <c r="B234" s="4" t="s">
        <v>613</v>
      </c>
      <c r="C234" s="4" t="s">
        <v>569</v>
      </c>
      <c r="D234" s="4" t="s">
        <v>828</v>
      </c>
      <c r="E234" s="4" t="s">
        <v>332</v>
      </c>
      <c r="F234" s="73">
        <v>46231</v>
      </c>
      <c r="G234" s="5">
        <v>2500</v>
      </c>
      <c r="H234" s="6">
        <v>112500.45</v>
      </c>
    </row>
    <row r="235" spans="2:8" ht="20.149999999999999" customHeight="1">
      <c r="B235" s="4" t="s">
        <v>692</v>
      </c>
      <c r="C235" s="4" t="s">
        <v>569</v>
      </c>
      <c r="D235" s="4" t="s">
        <v>828</v>
      </c>
      <c r="E235" s="4" t="s">
        <v>358</v>
      </c>
      <c r="F235" s="73">
        <v>46231</v>
      </c>
      <c r="G235" s="5">
        <v>8</v>
      </c>
      <c r="H235" s="6">
        <v>43051.5</v>
      </c>
    </row>
    <row r="236" spans="2:8" ht="20.149999999999999" customHeight="1">
      <c r="B236" s="4" t="s">
        <v>692</v>
      </c>
      <c r="C236" s="4" t="s">
        <v>569</v>
      </c>
      <c r="D236" s="4" t="s">
        <v>828</v>
      </c>
      <c r="E236" s="4" t="s">
        <v>120</v>
      </c>
      <c r="F236" s="73">
        <v>46231</v>
      </c>
      <c r="G236" s="5">
        <v>4</v>
      </c>
      <c r="H236" s="6">
        <v>21525.75</v>
      </c>
    </row>
    <row r="237" spans="2:8" ht="20.149999999999999" customHeight="1">
      <c r="B237" s="4" t="s">
        <v>692</v>
      </c>
      <c r="C237" s="4" t="s">
        <v>569</v>
      </c>
      <c r="D237" s="4" t="s">
        <v>828</v>
      </c>
      <c r="E237" s="4" t="s">
        <v>441</v>
      </c>
      <c r="F237" s="73">
        <v>46231</v>
      </c>
      <c r="G237" s="5">
        <v>3</v>
      </c>
      <c r="H237" s="6">
        <v>16144.31</v>
      </c>
    </row>
    <row r="238" spans="2:8" ht="20.149999999999999" customHeight="1">
      <c r="B238" s="4" t="s">
        <v>692</v>
      </c>
      <c r="C238" s="4" t="s">
        <v>569</v>
      </c>
      <c r="D238" s="4" t="s">
        <v>828</v>
      </c>
      <c r="E238" s="4" t="s">
        <v>271</v>
      </c>
      <c r="F238" s="73">
        <v>46231</v>
      </c>
      <c r="G238" s="5">
        <v>2</v>
      </c>
      <c r="H238" s="6">
        <v>10762.87</v>
      </c>
    </row>
    <row r="239" spans="2:8" ht="20.149999999999999" customHeight="1">
      <c r="B239" s="4" t="s">
        <v>778</v>
      </c>
      <c r="C239" s="4" t="s">
        <v>569</v>
      </c>
      <c r="D239" s="4" t="s">
        <v>828</v>
      </c>
      <c r="E239" s="4" t="s">
        <v>631</v>
      </c>
      <c r="F239" s="73">
        <v>46231</v>
      </c>
      <c r="G239" s="5">
        <v>750</v>
      </c>
      <c r="H239" s="6">
        <v>50796.66</v>
      </c>
    </row>
    <row r="240" spans="2:8" ht="20.149999999999999" customHeight="1">
      <c r="B240" s="4" t="s">
        <v>778</v>
      </c>
      <c r="C240" s="4" t="s">
        <v>569</v>
      </c>
      <c r="D240" s="4" t="s">
        <v>828</v>
      </c>
      <c r="E240" s="4" t="s">
        <v>631</v>
      </c>
      <c r="F240" s="73">
        <v>46231</v>
      </c>
      <c r="G240" s="5">
        <v>500</v>
      </c>
      <c r="H240" s="6">
        <v>33864.44</v>
      </c>
    </row>
    <row r="241" spans="2:8" ht="20.149999999999999" customHeight="1">
      <c r="B241" s="4" t="s">
        <v>598</v>
      </c>
      <c r="C241" s="4" t="s">
        <v>569</v>
      </c>
      <c r="D241" s="4" t="s">
        <v>828</v>
      </c>
      <c r="E241" s="4" t="s">
        <v>357</v>
      </c>
      <c r="F241" s="73">
        <v>46232</v>
      </c>
      <c r="G241" s="5">
        <v>40</v>
      </c>
      <c r="H241" s="6">
        <v>203186.64</v>
      </c>
    </row>
    <row r="242" spans="2:8" ht="20.149999999999999" customHeight="1">
      <c r="B242" s="4" t="s">
        <v>598</v>
      </c>
      <c r="C242" s="4" t="s">
        <v>569</v>
      </c>
      <c r="D242" s="4" t="s">
        <v>828</v>
      </c>
      <c r="E242" s="4" t="s">
        <v>424</v>
      </c>
      <c r="F242" s="73">
        <v>46232</v>
      </c>
      <c r="G242" s="5">
        <v>20</v>
      </c>
      <c r="H242" s="6">
        <v>101593.32</v>
      </c>
    </row>
    <row r="243" spans="2:8" ht="20.149999999999999" customHeight="1">
      <c r="B243" s="4" t="s">
        <v>598</v>
      </c>
      <c r="C243" s="4" t="s">
        <v>569</v>
      </c>
      <c r="D243" s="4" t="s">
        <v>828</v>
      </c>
      <c r="E243" s="4" t="s">
        <v>431</v>
      </c>
      <c r="F243" s="73">
        <v>46232</v>
      </c>
      <c r="G243" s="5">
        <v>16</v>
      </c>
      <c r="H243" s="6">
        <v>81274.66</v>
      </c>
    </row>
    <row r="244" spans="2:8" ht="20.149999999999999" customHeight="1">
      <c r="B244" s="4" t="s">
        <v>598</v>
      </c>
      <c r="C244" s="4" t="s">
        <v>569</v>
      </c>
      <c r="D244" s="4" t="s">
        <v>828</v>
      </c>
      <c r="E244" s="4" t="s">
        <v>1564</v>
      </c>
      <c r="F244" s="73">
        <v>46232</v>
      </c>
      <c r="G244" s="5">
        <v>1500</v>
      </c>
      <c r="H244" s="6">
        <v>43456.54</v>
      </c>
    </row>
    <row r="245" spans="2:8" ht="20.149999999999999" customHeight="1">
      <c r="B245" s="4" t="s">
        <v>671</v>
      </c>
      <c r="C245" s="4" t="s">
        <v>569</v>
      </c>
      <c r="D245" s="4" t="s">
        <v>828</v>
      </c>
      <c r="E245" s="4" t="s">
        <v>424</v>
      </c>
      <c r="F245" s="73">
        <v>46232</v>
      </c>
      <c r="G245" s="5">
        <v>8</v>
      </c>
      <c r="H245" s="6">
        <v>44067.8</v>
      </c>
    </row>
    <row r="246" spans="2:8" ht="20.149999999999999" customHeight="1">
      <c r="B246" s="4" t="s">
        <v>657</v>
      </c>
      <c r="C246" s="4" t="s">
        <v>569</v>
      </c>
      <c r="D246" s="4" t="s">
        <v>828</v>
      </c>
      <c r="E246" s="4" t="s">
        <v>332</v>
      </c>
      <c r="F246" s="73">
        <v>46232</v>
      </c>
      <c r="G246" s="5">
        <v>2000</v>
      </c>
      <c r="H246" s="6">
        <v>99900.1</v>
      </c>
    </row>
    <row r="247" spans="2:8" ht="20.149999999999999" customHeight="1">
      <c r="B247" s="4" t="s">
        <v>725</v>
      </c>
      <c r="C247" s="4" t="s">
        <v>569</v>
      </c>
      <c r="D247" s="4" t="s">
        <v>828</v>
      </c>
      <c r="E247" s="4" t="s">
        <v>357</v>
      </c>
      <c r="F247" s="73">
        <v>46232</v>
      </c>
      <c r="G247" s="5">
        <v>16</v>
      </c>
      <c r="H247" s="6">
        <v>96000</v>
      </c>
    </row>
    <row r="248" spans="2:8" ht="20.149999999999999" customHeight="1">
      <c r="B248" s="4" t="s">
        <v>725</v>
      </c>
      <c r="C248" s="4" t="s">
        <v>569</v>
      </c>
      <c r="D248" s="4" t="s">
        <v>828</v>
      </c>
      <c r="E248" s="4" t="s">
        <v>332</v>
      </c>
      <c r="F248" s="73">
        <v>46232</v>
      </c>
      <c r="G248" s="5">
        <v>25</v>
      </c>
      <c r="H248" s="6">
        <v>1375.01</v>
      </c>
    </row>
    <row r="249" spans="2:8" ht="20.149999999999999" customHeight="1">
      <c r="B249" s="4" t="s">
        <v>636</v>
      </c>
      <c r="C249" s="4" t="s">
        <v>569</v>
      </c>
      <c r="D249" s="4" t="s">
        <v>824</v>
      </c>
      <c r="E249" s="4" t="s">
        <v>139</v>
      </c>
      <c r="F249" s="73">
        <v>46232</v>
      </c>
      <c r="G249" s="5">
        <v>1248</v>
      </c>
      <c r="H249" s="6">
        <v>1309090.9099999999</v>
      </c>
    </row>
    <row r="250" spans="2:8" ht="20.149999999999999" customHeight="1">
      <c r="B250" s="4" t="s">
        <v>636</v>
      </c>
      <c r="C250" s="4" t="s">
        <v>569</v>
      </c>
      <c r="D250" s="4" t="s">
        <v>824</v>
      </c>
      <c r="E250" s="4" t="s">
        <v>218</v>
      </c>
      <c r="F250" s="73">
        <v>46232</v>
      </c>
      <c r="G250" s="5">
        <v>20</v>
      </c>
      <c r="H250" s="6">
        <v>43456.54</v>
      </c>
    </row>
    <row r="251" spans="2:8" ht="20.149999999999999" customHeight="1">
      <c r="B251" s="4" t="s">
        <v>761</v>
      </c>
      <c r="C251" s="4" t="s">
        <v>569</v>
      </c>
      <c r="D251" s="4" t="s">
        <v>828</v>
      </c>
      <c r="E251" s="4" t="s">
        <v>357</v>
      </c>
      <c r="F251" s="73">
        <v>46232</v>
      </c>
      <c r="G251" s="5">
        <v>16</v>
      </c>
      <c r="H251" s="6">
        <v>87125.99</v>
      </c>
    </row>
    <row r="252" spans="2:8" ht="20.149999999999999" customHeight="1">
      <c r="B252" s="4" t="s">
        <v>607</v>
      </c>
      <c r="C252" s="4" t="s">
        <v>569</v>
      </c>
      <c r="D252" s="4" t="s">
        <v>828</v>
      </c>
      <c r="E252" s="4" t="s">
        <v>357</v>
      </c>
      <c r="F252" s="73">
        <v>46232</v>
      </c>
      <c r="G252" s="5">
        <v>68</v>
      </c>
      <c r="H252" s="6">
        <v>408000</v>
      </c>
    </row>
    <row r="253" spans="2:8" ht="20.149999999999999" customHeight="1">
      <c r="B253" s="4" t="s">
        <v>607</v>
      </c>
      <c r="C253" s="4" t="s">
        <v>569</v>
      </c>
      <c r="D253" s="4" t="s">
        <v>828</v>
      </c>
      <c r="E253" s="4" t="s">
        <v>431</v>
      </c>
      <c r="F253" s="73">
        <v>46232</v>
      </c>
      <c r="G253" s="5">
        <v>8</v>
      </c>
      <c r="H253" s="6">
        <v>48000</v>
      </c>
    </row>
    <row r="254" spans="2:8" ht="20.149999999999999" customHeight="1">
      <c r="B254" s="4" t="s">
        <v>607</v>
      </c>
      <c r="C254" s="4" t="s">
        <v>569</v>
      </c>
      <c r="D254" s="4" t="s">
        <v>828</v>
      </c>
      <c r="E254" s="4" t="s">
        <v>424</v>
      </c>
      <c r="F254" s="73">
        <v>46232</v>
      </c>
      <c r="G254" s="5">
        <v>60</v>
      </c>
      <c r="H254" s="6">
        <v>360000</v>
      </c>
    </row>
    <row r="255" spans="2:8" ht="20.149999999999999" customHeight="1">
      <c r="B255" s="4" t="s">
        <v>660</v>
      </c>
      <c r="C255" s="4" t="s">
        <v>569</v>
      </c>
      <c r="D255" s="4" t="s">
        <v>828</v>
      </c>
      <c r="E255" s="4" t="s">
        <v>332</v>
      </c>
      <c r="F255" s="73">
        <v>46233</v>
      </c>
      <c r="G255" s="5">
        <v>40000</v>
      </c>
      <c r="H255" s="6">
        <v>1878121.88</v>
      </c>
    </row>
    <row r="256" spans="2:8" ht="20.149999999999999" customHeight="1">
      <c r="B256" s="4" t="s">
        <v>754</v>
      </c>
      <c r="C256" s="4" t="s">
        <v>569</v>
      </c>
      <c r="D256" s="4" t="s">
        <v>828</v>
      </c>
      <c r="E256" s="4" t="s">
        <v>709</v>
      </c>
      <c r="F256" s="73">
        <v>46233</v>
      </c>
      <c r="G256" s="5">
        <v>20</v>
      </c>
      <c r="H256" s="6">
        <v>27091.55</v>
      </c>
    </row>
    <row r="257" spans="2:8" ht="20.149999999999999" customHeight="1">
      <c r="B257" s="4" t="s">
        <v>754</v>
      </c>
      <c r="C257" s="4" t="s">
        <v>569</v>
      </c>
      <c r="D257" s="4" t="s">
        <v>828</v>
      </c>
      <c r="E257" s="4" t="s">
        <v>694</v>
      </c>
      <c r="F257" s="73">
        <v>46233</v>
      </c>
      <c r="G257" s="5">
        <v>40</v>
      </c>
      <c r="H257" s="6">
        <v>86117.27</v>
      </c>
    </row>
    <row r="258" spans="2:8" ht="20.149999999999999" customHeight="1">
      <c r="B258" s="4" t="s">
        <v>754</v>
      </c>
      <c r="C258" s="4" t="s">
        <v>569</v>
      </c>
      <c r="D258" s="4" t="s">
        <v>828</v>
      </c>
      <c r="E258" s="4" t="s">
        <v>696</v>
      </c>
      <c r="F258" s="73">
        <v>46233</v>
      </c>
      <c r="G258" s="5">
        <v>20</v>
      </c>
      <c r="H258" s="6">
        <v>57061.59</v>
      </c>
    </row>
    <row r="259" spans="2:8" ht="20.149999999999999" customHeight="1">
      <c r="B259" s="4" t="s">
        <v>754</v>
      </c>
      <c r="C259" s="4" t="s">
        <v>569</v>
      </c>
      <c r="D259" s="4" t="s">
        <v>828</v>
      </c>
      <c r="E259" s="4" t="s">
        <v>679</v>
      </c>
      <c r="F259" s="73">
        <v>46233</v>
      </c>
      <c r="G259" s="5">
        <v>3</v>
      </c>
      <c r="H259" s="6">
        <v>17194.669999999998</v>
      </c>
    </row>
    <row r="260" spans="2:8" ht="20.149999999999999" customHeight="1">
      <c r="B260" s="4" t="s">
        <v>778</v>
      </c>
      <c r="C260" s="4" t="s">
        <v>569</v>
      </c>
      <c r="D260" s="4" t="s">
        <v>824</v>
      </c>
      <c r="E260" s="4" t="s">
        <v>218</v>
      </c>
      <c r="F260" s="73">
        <v>46234</v>
      </c>
      <c r="G260" s="5">
        <v>117</v>
      </c>
      <c r="H260" s="6">
        <v>249091.95</v>
      </c>
    </row>
    <row r="261" spans="2:8" ht="20.149999999999999" customHeight="1">
      <c r="B261" s="4" t="s">
        <v>799</v>
      </c>
      <c r="C261" s="4" t="s">
        <v>1487</v>
      </c>
      <c r="D261" s="4" t="s">
        <v>1288</v>
      </c>
      <c r="E261" s="4" t="s">
        <v>110</v>
      </c>
      <c r="F261" s="73">
        <v>46234</v>
      </c>
      <c r="G261" s="5">
        <v>3000</v>
      </c>
      <c r="H261" s="6">
        <v>285000</v>
      </c>
    </row>
    <row r="262" spans="2:8" ht="20.149999999999999" customHeight="1">
      <c r="B262" s="4" t="s">
        <v>799</v>
      </c>
      <c r="C262" s="4" t="s">
        <v>1487</v>
      </c>
      <c r="D262" s="4" t="s">
        <v>1288</v>
      </c>
      <c r="E262" s="4" t="s">
        <v>110</v>
      </c>
      <c r="F262" s="73">
        <v>46234</v>
      </c>
      <c r="G262" s="5">
        <v>3000</v>
      </c>
      <c r="H262" s="6">
        <v>285000</v>
      </c>
    </row>
    <row r="263" spans="2:8" ht="20.149999999999999" customHeight="1">
      <c r="B263" s="4" t="s">
        <v>609</v>
      </c>
      <c r="C263" s="4" t="s">
        <v>569</v>
      </c>
      <c r="D263" s="4" t="s">
        <v>1288</v>
      </c>
      <c r="E263" s="4" t="s">
        <v>115</v>
      </c>
      <c r="F263" s="73">
        <v>46234</v>
      </c>
      <c r="G263" s="5">
        <v>1000</v>
      </c>
      <c r="H263" s="6">
        <v>649350.65</v>
      </c>
    </row>
    <row r="264" spans="2:8" ht="20.149999999999999" customHeight="1">
      <c r="B264" s="4" t="s">
        <v>671</v>
      </c>
      <c r="C264" s="4" t="s">
        <v>569</v>
      </c>
      <c r="D264" s="4" t="s">
        <v>828</v>
      </c>
      <c r="E264" s="4" t="s">
        <v>1642</v>
      </c>
      <c r="F264" s="73">
        <v>46234</v>
      </c>
      <c r="G264" s="5">
        <v>1500</v>
      </c>
      <c r="H264" s="6">
        <v>75000</v>
      </c>
    </row>
    <row r="265" spans="2:8" ht="20.149999999999999" customHeight="1">
      <c r="B265" s="4" t="s">
        <v>576</v>
      </c>
      <c r="C265" s="4" t="s">
        <v>569</v>
      </c>
      <c r="D265" s="4" t="s">
        <v>824</v>
      </c>
      <c r="E265" s="4" t="s">
        <v>326</v>
      </c>
      <c r="F265" s="73">
        <v>46234</v>
      </c>
      <c r="G265" s="5">
        <v>1000</v>
      </c>
      <c r="H265" s="6">
        <v>435000</v>
      </c>
    </row>
    <row r="266" spans="2:8" ht="20.149999999999999" customHeight="1">
      <c r="B266" s="4" t="s">
        <v>576</v>
      </c>
      <c r="C266" s="4" t="s">
        <v>569</v>
      </c>
      <c r="D266" s="4" t="s">
        <v>824</v>
      </c>
      <c r="E266" s="4" t="s">
        <v>139</v>
      </c>
      <c r="F266" s="73">
        <v>46234</v>
      </c>
      <c r="G266" s="5">
        <v>1000</v>
      </c>
      <c r="H266" s="6">
        <v>1050000</v>
      </c>
    </row>
    <row r="267" spans="2:8" ht="20.149999999999999" customHeight="1">
      <c r="B267" s="4" t="s">
        <v>576</v>
      </c>
      <c r="C267" s="4" t="s">
        <v>569</v>
      </c>
      <c r="D267" s="4" t="s">
        <v>824</v>
      </c>
      <c r="E267" s="4" t="s">
        <v>163</v>
      </c>
      <c r="F267" s="73">
        <v>46234</v>
      </c>
      <c r="G267" s="5">
        <v>1000</v>
      </c>
      <c r="H267" s="6">
        <v>115000</v>
      </c>
    </row>
    <row r="268" spans="2:8" ht="20.149999999999999" customHeight="1">
      <c r="B268" s="4" t="s">
        <v>821</v>
      </c>
      <c r="C268" s="4" t="s">
        <v>569</v>
      </c>
      <c r="D268" s="4" t="s">
        <v>828</v>
      </c>
      <c r="E268" s="4" t="s">
        <v>332</v>
      </c>
      <c r="F268" s="73">
        <v>46234</v>
      </c>
      <c r="G268" s="5">
        <v>5000</v>
      </c>
      <c r="H268" s="6">
        <v>235000</v>
      </c>
    </row>
    <row r="269" spans="2:8" ht="20.149999999999999" customHeight="1">
      <c r="B269" s="4" t="s">
        <v>607</v>
      </c>
      <c r="C269" s="4" t="s">
        <v>569</v>
      </c>
      <c r="D269" s="4" t="s">
        <v>828</v>
      </c>
      <c r="E269" s="4" t="s">
        <v>120</v>
      </c>
      <c r="F269" s="73">
        <v>46234</v>
      </c>
      <c r="G269" s="5">
        <v>108</v>
      </c>
      <c r="H269" s="6">
        <v>648000</v>
      </c>
    </row>
    <row r="270" spans="2:8" ht="20.149999999999999" customHeight="1">
      <c r="B270" s="4" t="s">
        <v>737</v>
      </c>
      <c r="C270" s="4" t="s">
        <v>569</v>
      </c>
      <c r="D270" s="4" t="s">
        <v>824</v>
      </c>
      <c r="E270" s="4" t="s">
        <v>326</v>
      </c>
      <c r="F270" s="73">
        <v>46234</v>
      </c>
      <c r="G270" s="5">
        <v>300</v>
      </c>
      <c r="H270" s="6">
        <v>138000</v>
      </c>
    </row>
    <row r="271" spans="2:8" ht="20.149999999999999" customHeight="1">
      <c r="B271" s="4" t="s">
        <v>737</v>
      </c>
      <c r="C271" s="4" t="s">
        <v>569</v>
      </c>
      <c r="D271" s="4" t="s">
        <v>824</v>
      </c>
      <c r="E271" s="4" t="s">
        <v>139</v>
      </c>
      <c r="F271" s="73">
        <v>46234</v>
      </c>
      <c r="G271" s="5">
        <v>300</v>
      </c>
      <c r="H271" s="6">
        <v>366000</v>
      </c>
    </row>
    <row r="272" spans="2:8" ht="20.149999999999999" customHeight="1">
      <c r="B272" s="4" t="s">
        <v>737</v>
      </c>
      <c r="C272" s="4" t="s">
        <v>569</v>
      </c>
      <c r="D272" s="4" t="s">
        <v>824</v>
      </c>
      <c r="E272" s="4" t="s">
        <v>163</v>
      </c>
      <c r="F272" s="73">
        <v>46234</v>
      </c>
      <c r="G272" s="5">
        <v>200</v>
      </c>
      <c r="H272" s="6">
        <v>23000</v>
      </c>
    </row>
    <row r="273" spans="2:8" ht="20.149999999999999" customHeight="1">
      <c r="B273" s="4" t="s">
        <v>1298</v>
      </c>
      <c r="C273" s="4" t="s">
        <v>569</v>
      </c>
      <c r="D273" s="4" t="s">
        <v>828</v>
      </c>
      <c r="E273" s="4" t="s">
        <v>549</v>
      </c>
      <c r="F273" s="73">
        <v>46234</v>
      </c>
      <c r="G273" s="5">
        <v>3000</v>
      </c>
      <c r="H273" s="6">
        <v>161593.22</v>
      </c>
    </row>
    <row r="274" spans="2:8" ht="20.149999999999999" customHeight="1">
      <c r="B274" s="4" t="s">
        <v>1298</v>
      </c>
      <c r="C274" s="4" t="s">
        <v>569</v>
      </c>
      <c r="D274" s="4" t="s">
        <v>828</v>
      </c>
      <c r="E274" s="4" t="s">
        <v>332</v>
      </c>
      <c r="F274" s="73">
        <v>46234</v>
      </c>
      <c r="G274" s="5">
        <v>6500</v>
      </c>
      <c r="H274" s="6">
        <v>318500</v>
      </c>
    </row>
    <row r="275" spans="2:8" ht="20.149999999999999" customHeight="1">
      <c r="B275" s="4" t="s">
        <v>1298</v>
      </c>
      <c r="C275" s="4" t="s">
        <v>569</v>
      </c>
      <c r="D275" s="4" t="s">
        <v>828</v>
      </c>
      <c r="E275" s="4" t="s">
        <v>322</v>
      </c>
      <c r="F275" s="73">
        <v>46234</v>
      </c>
      <c r="G275" s="5">
        <v>500</v>
      </c>
      <c r="H275" s="6">
        <v>37500</v>
      </c>
    </row>
    <row r="276" spans="2:8" ht="20.149999999999999" customHeight="1">
      <c r="B276" s="4" t="s">
        <v>654</v>
      </c>
      <c r="C276" s="4" t="s">
        <v>569</v>
      </c>
      <c r="D276" s="4" t="s">
        <v>1288</v>
      </c>
      <c r="E276" s="4" t="s">
        <v>171</v>
      </c>
      <c r="F276" s="73">
        <v>46234</v>
      </c>
      <c r="G276" s="5">
        <v>1765</v>
      </c>
      <c r="H276" s="6">
        <v>440827.53</v>
      </c>
    </row>
    <row r="277" spans="2:8" ht="20.149999999999999" customHeight="1">
      <c r="B277" s="4" t="s">
        <v>654</v>
      </c>
      <c r="C277" s="4" t="s">
        <v>569</v>
      </c>
      <c r="D277" s="4" t="s">
        <v>1288</v>
      </c>
      <c r="E277" s="4" t="s">
        <v>115</v>
      </c>
      <c r="F277" s="73">
        <v>46234</v>
      </c>
      <c r="G277" s="5">
        <v>500</v>
      </c>
      <c r="H277" s="6">
        <v>324675.32</v>
      </c>
    </row>
    <row r="278" spans="2:8" ht="20.149999999999999" customHeight="1">
      <c r="B278" s="4" t="s">
        <v>654</v>
      </c>
      <c r="C278" s="4" t="s">
        <v>569</v>
      </c>
      <c r="D278" s="4" t="s">
        <v>1288</v>
      </c>
      <c r="E278" s="4" t="s">
        <v>238</v>
      </c>
      <c r="F278" s="73">
        <v>46234</v>
      </c>
      <c r="G278" s="5">
        <v>2000</v>
      </c>
      <c r="H278" s="6">
        <v>109890.11</v>
      </c>
    </row>
    <row r="279" spans="2:8" ht="20.149999999999999" customHeight="1">
      <c r="B279" s="4" t="s">
        <v>602</v>
      </c>
      <c r="C279" s="4" t="s">
        <v>569</v>
      </c>
      <c r="D279" s="4" t="s">
        <v>828</v>
      </c>
      <c r="E279" s="4" t="s">
        <v>332</v>
      </c>
      <c r="F279" s="73">
        <v>46238</v>
      </c>
      <c r="G279" s="5">
        <v>5000</v>
      </c>
      <c r="H279" s="6">
        <v>290000</v>
      </c>
    </row>
    <row r="280" spans="2:8" ht="20.149999999999999" customHeight="1">
      <c r="B280" s="4" t="s">
        <v>647</v>
      </c>
      <c r="C280" s="4" t="s">
        <v>569</v>
      </c>
      <c r="D280" s="4" t="s">
        <v>824</v>
      </c>
      <c r="E280" s="4" t="s">
        <v>144</v>
      </c>
      <c r="F280" s="73">
        <v>46239</v>
      </c>
      <c r="G280" s="5">
        <v>200</v>
      </c>
      <c r="H280" s="6">
        <v>229770.23</v>
      </c>
    </row>
    <row r="281" spans="2:8" ht="20.149999999999999" customHeight="1">
      <c r="B281" s="4" t="s">
        <v>647</v>
      </c>
      <c r="C281" s="4" t="s">
        <v>569</v>
      </c>
      <c r="D281" s="4" t="s">
        <v>824</v>
      </c>
      <c r="E281" s="4" t="s">
        <v>326</v>
      </c>
      <c r="F281" s="73">
        <v>46239</v>
      </c>
      <c r="G281" s="5">
        <v>100</v>
      </c>
      <c r="H281" s="6">
        <v>43956.05</v>
      </c>
    </row>
    <row r="282" spans="2:8" ht="20.149999999999999" customHeight="1">
      <c r="B282" s="4" t="s">
        <v>647</v>
      </c>
      <c r="C282" s="4" t="s">
        <v>569</v>
      </c>
      <c r="D282" s="4" t="s">
        <v>824</v>
      </c>
      <c r="E282" s="4" t="s">
        <v>326</v>
      </c>
      <c r="F282" s="73">
        <v>46239</v>
      </c>
      <c r="G282" s="5">
        <v>120</v>
      </c>
      <c r="H282" s="6">
        <v>52747.25</v>
      </c>
    </row>
    <row r="283" spans="2:8" ht="20.149999999999999" customHeight="1">
      <c r="B283" s="4" t="s">
        <v>647</v>
      </c>
      <c r="C283" s="4" t="s">
        <v>569</v>
      </c>
      <c r="D283" s="4" t="s">
        <v>824</v>
      </c>
      <c r="E283" s="4" t="s">
        <v>139</v>
      </c>
      <c r="F283" s="73">
        <v>46239</v>
      </c>
      <c r="G283" s="5">
        <v>20</v>
      </c>
      <c r="H283" s="6">
        <v>20979.02</v>
      </c>
    </row>
    <row r="284" spans="2:8" ht="20.149999999999999" customHeight="1">
      <c r="B284" s="4" t="s">
        <v>647</v>
      </c>
      <c r="C284" s="4" t="s">
        <v>569</v>
      </c>
      <c r="D284" s="4" t="s">
        <v>824</v>
      </c>
      <c r="E284" s="4" t="s">
        <v>166</v>
      </c>
      <c r="F284" s="73">
        <v>46239</v>
      </c>
      <c r="G284" s="5">
        <v>60</v>
      </c>
      <c r="H284" s="6">
        <v>6593.41</v>
      </c>
    </row>
    <row r="285" spans="2:8" ht="20.149999999999999" customHeight="1">
      <c r="B285" s="4" t="s">
        <v>647</v>
      </c>
      <c r="C285" s="4" t="s">
        <v>569</v>
      </c>
      <c r="D285" s="4" t="s">
        <v>824</v>
      </c>
      <c r="E285" s="4" t="s">
        <v>326</v>
      </c>
      <c r="F285" s="73">
        <v>46239</v>
      </c>
      <c r="G285" s="5">
        <v>48</v>
      </c>
      <c r="H285" s="6">
        <v>22057.94</v>
      </c>
    </row>
    <row r="286" spans="2:8" ht="20.149999999999999" customHeight="1">
      <c r="B286" s="4" t="s">
        <v>647</v>
      </c>
      <c r="C286" s="4" t="s">
        <v>569</v>
      </c>
      <c r="D286" s="4" t="s">
        <v>824</v>
      </c>
      <c r="E286" s="4" t="s">
        <v>139</v>
      </c>
      <c r="F286" s="73">
        <v>46239</v>
      </c>
      <c r="G286" s="5">
        <v>48</v>
      </c>
      <c r="H286" s="6">
        <v>52267.73</v>
      </c>
    </row>
    <row r="287" spans="2:8" ht="20.149999999999999" customHeight="1">
      <c r="B287" s="4" t="s">
        <v>681</v>
      </c>
      <c r="C287" s="4" t="s">
        <v>569</v>
      </c>
      <c r="D287" s="4" t="s">
        <v>824</v>
      </c>
      <c r="E287" s="4" t="s">
        <v>139</v>
      </c>
      <c r="F287" s="73">
        <v>46239</v>
      </c>
      <c r="G287" s="5">
        <v>480</v>
      </c>
      <c r="H287" s="6">
        <v>600000</v>
      </c>
    </row>
    <row r="288" spans="2:8" ht="20.149999999999999" customHeight="1">
      <c r="B288" s="4" t="s">
        <v>654</v>
      </c>
      <c r="C288" s="4" t="s">
        <v>569</v>
      </c>
      <c r="D288" s="4" t="s">
        <v>1288</v>
      </c>
      <c r="E288" s="4" t="s">
        <v>171</v>
      </c>
      <c r="F288" s="73">
        <v>46239</v>
      </c>
      <c r="G288" s="5">
        <v>3000</v>
      </c>
      <c r="H288" s="6">
        <v>749250.75</v>
      </c>
    </row>
    <row r="289" spans="2:8" ht="20.149999999999999" customHeight="1">
      <c r="B289" s="4" t="s">
        <v>739</v>
      </c>
      <c r="C289" s="4" t="s">
        <v>569</v>
      </c>
      <c r="D289" s="4" t="s">
        <v>824</v>
      </c>
      <c r="E289" s="4" t="s">
        <v>218</v>
      </c>
      <c r="F289" s="73">
        <v>46239</v>
      </c>
      <c r="G289" s="5">
        <v>234</v>
      </c>
      <c r="H289" s="6">
        <v>486486.51</v>
      </c>
    </row>
    <row r="290" spans="2:8" ht="20.149999999999999" customHeight="1">
      <c r="B290" s="4" t="s">
        <v>818</v>
      </c>
      <c r="C290" s="4" t="s">
        <v>569</v>
      </c>
      <c r="D290" s="4" t="s">
        <v>824</v>
      </c>
      <c r="E290" s="4" t="s">
        <v>139</v>
      </c>
      <c r="F290" s="73">
        <v>46239</v>
      </c>
      <c r="G290" s="5">
        <v>480</v>
      </c>
      <c r="H290" s="6">
        <v>499200</v>
      </c>
    </row>
    <row r="291" spans="2:8" ht="20.149999999999999" customHeight="1">
      <c r="B291" s="4" t="s">
        <v>707</v>
      </c>
      <c r="C291" s="4" t="s">
        <v>569</v>
      </c>
      <c r="D291" s="4" t="s">
        <v>1288</v>
      </c>
      <c r="E291" s="4" t="s">
        <v>115</v>
      </c>
      <c r="F291" s="73">
        <v>46240</v>
      </c>
      <c r="G291" s="5">
        <v>1500</v>
      </c>
      <c r="H291" s="6">
        <v>1026473.53</v>
      </c>
    </row>
    <row r="292" spans="2:8" ht="20.149999999999999" customHeight="1">
      <c r="B292" s="4" t="s">
        <v>803</v>
      </c>
      <c r="C292" s="4" t="s">
        <v>1487</v>
      </c>
      <c r="D292" s="4" t="s">
        <v>824</v>
      </c>
      <c r="E292" s="4" t="s">
        <v>139</v>
      </c>
      <c r="F292" s="73">
        <v>46241</v>
      </c>
      <c r="G292" s="5">
        <v>8000</v>
      </c>
      <c r="H292" s="6">
        <v>9240000</v>
      </c>
    </row>
    <row r="293" spans="2:8" ht="20.149999999999999" customHeight="1">
      <c r="B293" s="4" t="s">
        <v>723</v>
      </c>
      <c r="C293" s="4" t="s">
        <v>569</v>
      </c>
      <c r="D293" s="4" t="s">
        <v>824</v>
      </c>
      <c r="E293" s="4" t="s">
        <v>218</v>
      </c>
      <c r="F293" s="73">
        <v>46241</v>
      </c>
      <c r="G293" s="5">
        <v>226</v>
      </c>
      <c r="H293" s="6">
        <v>481151.92</v>
      </c>
    </row>
    <row r="294" spans="2:8" ht="20.149999999999999" customHeight="1">
      <c r="B294" s="4" t="s">
        <v>723</v>
      </c>
      <c r="C294" s="4" t="s">
        <v>569</v>
      </c>
      <c r="D294" s="4" t="s">
        <v>824</v>
      </c>
      <c r="E294" s="4" t="s">
        <v>218</v>
      </c>
      <c r="F294" s="73">
        <v>46241</v>
      </c>
      <c r="G294" s="5">
        <v>8</v>
      </c>
      <c r="H294" s="6">
        <v>17031.919999999998</v>
      </c>
    </row>
    <row r="295" spans="2:8" ht="20.149999999999999" customHeight="1">
      <c r="B295" s="4" t="s">
        <v>660</v>
      </c>
      <c r="C295" s="4" t="s">
        <v>569</v>
      </c>
      <c r="D295" s="4" t="s">
        <v>828</v>
      </c>
      <c r="E295" s="4" t="s">
        <v>332</v>
      </c>
      <c r="F295" s="73">
        <v>46241</v>
      </c>
      <c r="G295" s="5">
        <v>5000</v>
      </c>
      <c r="H295" s="6">
        <v>239760.24</v>
      </c>
    </row>
    <row r="296" spans="2:8" ht="20.149999999999999" customHeight="1">
      <c r="B296" s="4" t="s">
        <v>605</v>
      </c>
      <c r="C296" s="4" t="s">
        <v>569</v>
      </c>
      <c r="D296" s="4" t="s">
        <v>824</v>
      </c>
      <c r="E296" s="4" t="s">
        <v>326</v>
      </c>
      <c r="F296" s="73">
        <v>46241</v>
      </c>
      <c r="G296" s="5">
        <v>48</v>
      </c>
      <c r="H296" s="6">
        <v>21120</v>
      </c>
    </row>
    <row r="297" spans="2:8" ht="20.149999999999999" customHeight="1">
      <c r="B297" s="4" t="s">
        <v>605</v>
      </c>
      <c r="C297" s="4" t="s">
        <v>569</v>
      </c>
      <c r="D297" s="4" t="s">
        <v>824</v>
      </c>
      <c r="E297" s="4" t="s">
        <v>139</v>
      </c>
      <c r="F297" s="73">
        <v>46241</v>
      </c>
      <c r="G297" s="5">
        <v>48</v>
      </c>
      <c r="H297" s="6">
        <v>52800</v>
      </c>
    </row>
    <row r="298" spans="2:8" ht="20.149999999999999" customHeight="1">
      <c r="B298" s="4" t="s">
        <v>615</v>
      </c>
      <c r="C298" s="4" t="s">
        <v>569</v>
      </c>
      <c r="D298" s="4" t="s">
        <v>824</v>
      </c>
      <c r="E298" s="4" t="s">
        <v>226</v>
      </c>
      <c r="F298" s="73">
        <v>46242</v>
      </c>
      <c r="G298" s="5">
        <v>60</v>
      </c>
      <c r="H298" s="6">
        <v>11940.3</v>
      </c>
    </row>
    <row r="299" spans="2:8" ht="20.149999999999999" customHeight="1">
      <c r="B299" s="4" t="s">
        <v>707</v>
      </c>
      <c r="C299" s="4" t="s">
        <v>569</v>
      </c>
      <c r="D299" s="4" t="s">
        <v>1288</v>
      </c>
      <c r="E299" s="4" t="s">
        <v>103</v>
      </c>
      <c r="F299" s="73">
        <v>46244</v>
      </c>
      <c r="G299" s="5">
        <v>900</v>
      </c>
      <c r="H299" s="6">
        <v>463036.96</v>
      </c>
    </row>
    <row r="300" spans="2:8" ht="20.149999999999999" customHeight="1">
      <c r="B300" s="4" t="s">
        <v>671</v>
      </c>
      <c r="C300" s="4" t="s">
        <v>569</v>
      </c>
      <c r="D300" s="4" t="s">
        <v>828</v>
      </c>
      <c r="E300" s="4" t="s">
        <v>357</v>
      </c>
      <c r="F300" s="73">
        <v>46244</v>
      </c>
      <c r="G300" s="5">
        <v>8</v>
      </c>
      <c r="H300" s="6">
        <v>44067.8</v>
      </c>
    </row>
    <row r="301" spans="2:8" ht="20.149999999999999" customHeight="1">
      <c r="B301" s="4" t="s">
        <v>715</v>
      </c>
      <c r="C301" s="4" t="s">
        <v>569</v>
      </c>
      <c r="D301" s="4" t="s">
        <v>824</v>
      </c>
      <c r="E301" s="4" t="s">
        <v>187</v>
      </c>
      <c r="F301" s="73">
        <v>46244</v>
      </c>
      <c r="G301" s="5">
        <v>150</v>
      </c>
      <c r="H301" s="6">
        <v>52238.81</v>
      </c>
    </row>
    <row r="302" spans="2:8" ht="20.149999999999999" customHeight="1">
      <c r="B302" s="4" t="s">
        <v>715</v>
      </c>
      <c r="C302" s="4" t="s">
        <v>569</v>
      </c>
      <c r="D302" s="4" t="s">
        <v>824</v>
      </c>
      <c r="E302" s="4" t="s">
        <v>226</v>
      </c>
      <c r="F302" s="73">
        <v>46244</v>
      </c>
      <c r="G302" s="5">
        <v>100</v>
      </c>
      <c r="H302" s="6">
        <v>21393.03</v>
      </c>
    </row>
    <row r="303" spans="2:8" ht="20.149999999999999" customHeight="1">
      <c r="B303" s="4" t="s">
        <v>618</v>
      </c>
      <c r="C303" s="4" t="s">
        <v>1487</v>
      </c>
      <c r="D303" s="4" t="s">
        <v>1288</v>
      </c>
      <c r="E303" s="4" t="s">
        <v>103</v>
      </c>
      <c r="F303" s="73">
        <v>46244</v>
      </c>
      <c r="G303" s="5">
        <v>3000</v>
      </c>
      <c r="H303" s="6">
        <v>1950000</v>
      </c>
    </row>
    <row r="304" spans="2:8" ht="20.149999999999999" customHeight="1">
      <c r="B304" s="4" t="s">
        <v>1398</v>
      </c>
      <c r="C304" s="4" t="s">
        <v>569</v>
      </c>
      <c r="D304" s="4" t="s">
        <v>824</v>
      </c>
      <c r="E304" s="4" t="s">
        <v>139</v>
      </c>
      <c r="F304" s="73">
        <v>46244</v>
      </c>
      <c r="G304" s="5">
        <v>550</v>
      </c>
      <c r="H304" s="6">
        <v>566500</v>
      </c>
    </row>
    <row r="305" spans="2:8" ht="20.149999999999999" customHeight="1">
      <c r="B305" s="4" t="s">
        <v>1398</v>
      </c>
      <c r="C305" s="4" t="s">
        <v>569</v>
      </c>
      <c r="D305" s="4" t="s">
        <v>824</v>
      </c>
      <c r="E305" s="4" t="s">
        <v>163</v>
      </c>
      <c r="F305" s="73">
        <v>46244</v>
      </c>
      <c r="G305" s="5">
        <v>550</v>
      </c>
      <c r="H305" s="6">
        <v>60500</v>
      </c>
    </row>
    <row r="306" spans="2:8" ht="20.149999999999999" customHeight="1">
      <c r="B306" s="4" t="s">
        <v>1398</v>
      </c>
      <c r="C306" s="4" t="s">
        <v>569</v>
      </c>
      <c r="D306" s="4" t="s">
        <v>824</v>
      </c>
      <c r="E306" s="4" t="s">
        <v>326</v>
      </c>
      <c r="F306" s="73">
        <v>46244</v>
      </c>
      <c r="G306" s="5">
        <v>550</v>
      </c>
      <c r="H306" s="6">
        <v>253000</v>
      </c>
    </row>
    <row r="307" spans="2:8" ht="20.149999999999999" customHeight="1">
      <c r="B307" s="4" t="s">
        <v>671</v>
      </c>
      <c r="C307" s="4" t="s">
        <v>569</v>
      </c>
      <c r="D307" s="4" t="s">
        <v>828</v>
      </c>
      <c r="E307" s="4" t="s">
        <v>357</v>
      </c>
      <c r="F307" s="73">
        <v>46245</v>
      </c>
      <c r="G307" s="5">
        <v>8</v>
      </c>
      <c r="H307" s="6">
        <v>44067.8</v>
      </c>
    </row>
    <row r="308" spans="2:8" ht="20.149999999999999" customHeight="1">
      <c r="B308" s="4" t="s">
        <v>671</v>
      </c>
      <c r="C308" s="4" t="s">
        <v>569</v>
      </c>
      <c r="D308" s="4" t="s">
        <v>828</v>
      </c>
      <c r="E308" s="4" t="s">
        <v>1642</v>
      </c>
      <c r="F308" s="73">
        <v>46245</v>
      </c>
      <c r="G308" s="5">
        <v>1000</v>
      </c>
      <c r="H308" s="6">
        <v>50000</v>
      </c>
    </row>
    <row r="309" spans="2:8" ht="20.149999999999999" customHeight="1">
      <c r="B309" s="4" t="s">
        <v>734</v>
      </c>
      <c r="C309" s="4" t="s">
        <v>569</v>
      </c>
      <c r="D309" s="4" t="s">
        <v>828</v>
      </c>
      <c r="E309" s="4" t="s">
        <v>1642</v>
      </c>
      <c r="F309" s="73">
        <v>46245</v>
      </c>
      <c r="G309" s="5">
        <v>12000</v>
      </c>
      <c r="H309" s="6">
        <v>311688.31</v>
      </c>
    </row>
    <row r="310" spans="2:8" ht="20.149999999999999" customHeight="1">
      <c r="B310" s="4" t="s">
        <v>734</v>
      </c>
      <c r="C310" s="4" t="s">
        <v>569</v>
      </c>
      <c r="D310" s="4" t="s">
        <v>828</v>
      </c>
      <c r="E310" s="4" t="s">
        <v>357</v>
      </c>
      <c r="F310" s="73">
        <v>46245</v>
      </c>
      <c r="G310" s="5">
        <v>24</v>
      </c>
      <c r="H310" s="6">
        <v>132071.32</v>
      </c>
    </row>
    <row r="311" spans="2:8" ht="20.149999999999999" customHeight="1">
      <c r="B311" s="4" t="s">
        <v>636</v>
      </c>
      <c r="C311" s="4" t="s">
        <v>569</v>
      </c>
      <c r="D311" s="4" t="s">
        <v>824</v>
      </c>
      <c r="E311" s="4" t="s">
        <v>139</v>
      </c>
      <c r="F311" s="73">
        <v>46245</v>
      </c>
      <c r="G311" s="5">
        <v>3</v>
      </c>
      <c r="H311" s="6">
        <v>3146.85</v>
      </c>
    </row>
    <row r="312" spans="2:8" ht="20.149999999999999" customHeight="1">
      <c r="B312" s="4" t="s">
        <v>636</v>
      </c>
      <c r="C312" s="4" t="s">
        <v>569</v>
      </c>
      <c r="D312" s="4" t="s">
        <v>824</v>
      </c>
      <c r="E312" s="4" t="s">
        <v>78</v>
      </c>
      <c r="F312" s="73">
        <v>46245</v>
      </c>
      <c r="G312" s="5">
        <v>3</v>
      </c>
      <c r="H312" s="6">
        <v>3146.86</v>
      </c>
    </row>
    <row r="313" spans="2:8" ht="20.149999999999999" customHeight="1">
      <c r="B313" s="4" t="s">
        <v>746</v>
      </c>
      <c r="C313" s="4" t="s">
        <v>569</v>
      </c>
      <c r="D313" s="4" t="s">
        <v>824</v>
      </c>
      <c r="E313" s="4" t="s">
        <v>226</v>
      </c>
      <c r="F313" s="73">
        <v>46245</v>
      </c>
      <c r="G313" s="5">
        <v>24</v>
      </c>
      <c r="H313" s="6">
        <v>4776.12</v>
      </c>
    </row>
    <row r="314" spans="2:8" ht="20.149999999999999" customHeight="1">
      <c r="B314" s="4" t="s">
        <v>746</v>
      </c>
      <c r="C314" s="4" t="s">
        <v>569</v>
      </c>
      <c r="D314" s="4" t="s">
        <v>824</v>
      </c>
      <c r="E314" s="4" t="s">
        <v>226</v>
      </c>
      <c r="F314" s="73">
        <v>46245</v>
      </c>
      <c r="G314" s="5">
        <v>76</v>
      </c>
      <c r="H314" s="6">
        <v>15124.38</v>
      </c>
    </row>
    <row r="315" spans="2:8" ht="20.149999999999999" customHeight="1">
      <c r="B315" s="4" t="s">
        <v>744</v>
      </c>
      <c r="C315" s="4" t="s">
        <v>569</v>
      </c>
      <c r="D315" s="4" t="s">
        <v>824</v>
      </c>
      <c r="E315" s="4" t="s">
        <v>326</v>
      </c>
      <c r="F315" s="73">
        <v>46245</v>
      </c>
      <c r="G315" s="5">
        <v>120</v>
      </c>
      <c r="H315" s="6">
        <v>53400</v>
      </c>
    </row>
    <row r="316" spans="2:8" ht="20.149999999999999" customHeight="1">
      <c r="B316" s="4" t="s">
        <v>744</v>
      </c>
      <c r="C316" s="4" t="s">
        <v>569</v>
      </c>
      <c r="D316" s="4" t="s">
        <v>824</v>
      </c>
      <c r="E316" s="4" t="s">
        <v>139</v>
      </c>
      <c r="F316" s="73">
        <v>46245</v>
      </c>
      <c r="G316" s="5">
        <v>120</v>
      </c>
      <c r="H316" s="6">
        <v>147000</v>
      </c>
    </row>
    <row r="317" spans="2:8" ht="20.149999999999999" customHeight="1">
      <c r="B317" s="4" t="s">
        <v>744</v>
      </c>
      <c r="C317" s="4" t="s">
        <v>569</v>
      </c>
      <c r="D317" s="4" t="s">
        <v>824</v>
      </c>
      <c r="E317" s="4" t="s">
        <v>163</v>
      </c>
      <c r="F317" s="73">
        <v>46245</v>
      </c>
      <c r="G317" s="5">
        <v>100</v>
      </c>
      <c r="H317" s="6">
        <v>10000</v>
      </c>
    </row>
    <row r="318" spans="2:8" ht="20.149999999999999" customHeight="1">
      <c r="B318" s="4" t="s">
        <v>744</v>
      </c>
      <c r="C318" s="4" t="s">
        <v>569</v>
      </c>
      <c r="D318" s="4" t="s">
        <v>824</v>
      </c>
      <c r="E318" s="4" t="s">
        <v>166</v>
      </c>
      <c r="F318" s="73">
        <v>46245</v>
      </c>
      <c r="G318" s="5">
        <v>50</v>
      </c>
      <c r="H318" s="6">
        <v>5000</v>
      </c>
    </row>
    <row r="319" spans="2:8" ht="20.149999999999999" customHeight="1">
      <c r="B319" s="4" t="s">
        <v>723</v>
      </c>
      <c r="C319" s="4" t="s">
        <v>569</v>
      </c>
      <c r="D319" s="4" t="s">
        <v>824</v>
      </c>
      <c r="E319" s="4" t="s">
        <v>187</v>
      </c>
      <c r="F319" s="73">
        <v>46246</v>
      </c>
      <c r="G319" s="5">
        <v>1190</v>
      </c>
      <c r="H319" s="6">
        <v>284179.09999999998</v>
      </c>
    </row>
    <row r="320" spans="2:8" ht="20.149999999999999" customHeight="1">
      <c r="B320" s="4" t="s">
        <v>778</v>
      </c>
      <c r="C320" s="4" t="s">
        <v>569</v>
      </c>
      <c r="D320" s="4" t="s">
        <v>824</v>
      </c>
      <c r="E320" s="4" t="s">
        <v>139</v>
      </c>
      <c r="F320" s="73">
        <v>46246</v>
      </c>
      <c r="G320" s="5">
        <v>480</v>
      </c>
      <c r="H320" s="6">
        <v>503496.5</v>
      </c>
    </row>
    <row r="321" spans="2:8" ht="20.149999999999999" customHeight="1">
      <c r="B321" s="4" t="s">
        <v>778</v>
      </c>
      <c r="C321" s="4" t="s">
        <v>569</v>
      </c>
      <c r="D321" s="4" t="s">
        <v>824</v>
      </c>
      <c r="E321" s="4" t="s">
        <v>78</v>
      </c>
      <c r="F321" s="73">
        <v>46246</v>
      </c>
      <c r="G321" s="5">
        <v>480</v>
      </c>
      <c r="H321" s="6">
        <v>503496.5</v>
      </c>
    </row>
    <row r="322" spans="2:8" ht="20.149999999999999" customHeight="1">
      <c r="B322" s="4" t="s">
        <v>1720</v>
      </c>
      <c r="C322" s="4" t="s">
        <v>569</v>
      </c>
      <c r="D322" s="4" t="s">
        <v>828</v>
      </c>
      <c r="E322" s="4" t="s">
        <v>358</v>
      </c>
      <c r="F322" s="73">
        <v>46246</v>
      </c>
      <c r="G322" s="5">
        <v>8</v>
      </c>
      <c r="H322" s="6">
        <v>42580.37</v>
      </c>
    </row>
    <row r="323" spans="2:8" ht="20.149999999999999" customHeight="1">
      <c r="B323" s="4" t="s">
        <v>1720</v>
      </c>
      <c r="C323" s="4" t="s">
        <v>569</v>
      </c>
      <c r="D323" s="4" t="s">
        <v>828</v>
      </c>
      <c r="E323" s="4" t="s">
        <v>120</v>
      </c>
      <c r="F323" s="73">
        <v>46246</v>
      </c>
      <c r="G323" s="5">
        <v>8</v>
      </c>
      <c r="H323" s="6">
        <v>42580.37</v>
      </c>
    </row>
    <row r="324" spans="2:8" ht="20.149999999999999" customHeight="1">
      <c r="B324" s="4" t="s">
        <v>1720</v>
      </c>
      <c r="C324" s="4" t="s">
        <v>569</v>
      </c>
      <c r="D324" s="4" t="s">
        <v>828</v>
      </c>
      <c r="E324" s="4" t="s">
        <v>271</v>
      </c>
      <c r="F324" s="73">
        <v>46246</v>
      </c>
      <c r="G324" s="5">
        <v>8</v>
      </c>
      <c r="H324" s="6">
        <v>42580.37</v>
      </c>
    </row>
    <row r="325" spans="2:8" ht="20.149999999999999" customHeight="1">
      <c r="B325" s="4" t="s">
        <v>1720</v>
      </c>
      <c r="C325" s="4" t="s">
        <v>569</v>
      </c>
      <c r="D325" s="4" t="s">
        <v>828</v>
      </c>
      <c r="E325" s="4" t="s">
        <v>441</v>
      </c>
      <c r="F325" s="73">
        <v>46246</v>
      </c>
      <c r="G325" s="5">
        <v>8</v>
      </c>
      <c r="H325" s="6">
        <v>42580.37</v>
      </c>
    </row>
    <row r="326" spans="2:8" ht="20.149999999999999" customHeight="1">
      <c r="B326" s="4" t="s">
        <v>684</v>
      </c>
      <c r="C326" s="4" t="s">
        <v>569</v>
      </c>
      <c r="D326" s="4" t="s">
        <v>828</v>
      </c>
      <c r="E326" s="4" t="s">
        <v>424</v>
      </c>
      <c r="F326" s="73">
        <v>46246</v>
      </c>
      <c r="G326" s="5">
        <v>6</v>
      </c>
      <c r="H326" s="6">
        <v>33000</v>
      </c>
    </row>
    <row r="327" spans="2:8" ht="20.149999999999999" customHeight="1">
      <c r="B327" s="4" t="s">
        <v>1402</v>
      </c>
      <c r="C327" s="4" t="s">
        <v>569</v>
      </c>
      <c r="D327" s="4" t="s">
        <v>828</v>
      </c>
      <c r="E327" s="4" t="s">
        <v>424</v>
      </c>
      <c r="F327" s="73">
        <v>46247</v>
      </c>
      <c r="G327" s="5">
        <v>40</v>
      </c>
      <c r="H327" s="6">
        <v>240000</v>
      </c>
    </row>
    <row r="328" spans="2:8" ht="20.149999999999999" customHeight="1">
      <c r="B328" s="4" t="s">
        <v>1402</v>
      </c>
      <c r="C328" s="4" t="s">
        <v>569</v>
      </c>
      <c r="D328" s="4" t="s">
        <v>828</v>
      </c>
      <c r="E328" s="4" t="s">
        <v>120</v>
      </c>
      <c r="F328" s="73">
        <v>46247</v>
      </c>
      <c r="G328" s="5">
        <v>43</v>
      </c>
      <c r="H328" s="6">
        <v>258000</v>
      </c>
    </row>
    <row r="329" spans="2:8" ht="20.149999999999999" customHeight="1">
      <c r="B329" s="4" t="s">
        <v>647</v>
      </c>
      <c r="C329" s="4" t="s">
        <v>569</v>
      </c>
      <c r="D329" s="4" t="s">
        <v>824</v>
      </c>
      <c r="E329" s="4" t="s">
        <v>326</v>
      </c>
      <c r="F329" s="73">
        <v>46247</v>
      </c>
      <c r="G329" s="5">
        <v>72</v>
      </c>
      <c r="H329" s="6">
        <v>33086.910000000003</v>
      </c>
    </row>
    <row r="330" spans="2:8" ht="20.149999999999999" customHeight="1">
      <c r="B330" s="4" t="s">
        <v>647</v>
      </c>
      <c r="C330" s="4" t="s">
        <v>569</v>
      </c>
      <c r="D330" s="4" t="s">
        <v>824</v>
      </c>
      <c r="E330" s="4" t="s">
        <v>139</v>
      </c>
      <c r="F330" s="73">
        <v>46247</v>
      </c>
      <c r="G330" s="5">
        <v>72</v>
      </c>
      <c r="H330" s="6">
        <v>78401.600000000006</v>
      </c>
    </row>
    <row r="331" spans="2:8" ht="20.149999999999999" customHeight="1">
      <c r="B331" s="4" t="s">
        <v>607</v>
      </c>
      <c r="C331" s="4" t="s">
        <v>569</v>
      </c>
      <c r="D331" s="4" t="s">
        <v>828</v>
      </c>
      <c r="E331" s="4" t="s">
        <v>696</v>
      </c>
      <c r="F331" s="73">
        <v>46247</v>
      </c>
      <c r="G331" s="5">
        <v>1</v>
      </c>
      <c r="H331" s="6">
        <v>3200</v>
      </c>
    </row>
    <row r="332" spans="2:8" ht="20.149999999999999" customHeight="1">
      <c r="B332" s="4" t="s">
        <v>607</v>
      </c>
      <c r="C332" s="4" t="s">
        <v>569</v>
      </c>
      <c r="D332" s="4" t="s">
        <v>828</v>
      </c>
      <c r="E332" s="4" t="s">
        <v>679</v>
      </c>
      <c r="F332" s="73">
        <v>46247</v>
      </c>
      <c r="G332" s="5">
        <v>1</v>
      </c>
      <c r="H332" s="6">
        <v>6300</v>
      </c>
    </row>
    <row r="333" spans="2:8" ht="20.149999999999999" customHeight="1">
      <c r="B333" s="4" t="s">
        <v>628</v>
      </c>
      <c r="C333" s="4" t="s">
        <v>569</v>
      </c>
      <c r="D333" s="4" t="s">
        <v>828</v>
      </c>
      <c r="E333" s="4" t="s">
        <v>357</v>
      </c>
      <c r="F333" s="73">
        <v>46247</v>
      </c>
      <c r="G333" s="5">
        <v>200</v>
      </c>
      <c r="H333" s="6">
        <v>1015933.22</v>
      </c>
    </row>
    <row r="334" spans="2:8" ht="20.149999999999999" customHeight="1">
      <c r="B334" s="4" t="s">
        <v>628</v>
      </c>
      <c r="C334" s="4" t="s">
        <v>569</v>
      </c>
      <c r="D334" s="4" t="s">
        <v>828</v>
      </c>
      <c r="E334" s="4" t="s">
        <v>431</v>
      </c>
      <c r="F334" s="73">
        <v>46247</v>
      </c>
      <c r="G334" s="5">
        <v>100</v>
      </c>
      <c r="H334" s="6">
        <v>507966.61</v>
      </c>
    </row>
    <row r="335" spans="2:8" ht="20.149999999999999" customHeight="1">
      <c r="B335" s="4" t="s">
        <v>628</v>
      </c>
      <c r="C335" s="4" t="s">
        <v>569</v>
      </c>
      <c r="D335" s="4" t="s">
        <v>828</v>
      </c>
      <c r="E335" s="4" t="s">
        <v>120</v>
      </c>
      <c r="F335" s="73">
        <v>46247</v>
      </c>
      <c r="G335" s="5">
        <v>200</v>
      </c>
      <c r="H335" s="6">
        <v>1015933.22</v>
      </c>
    </row>
    <row r="336" spans="2:8" ht="20.149999999999999" customHeight="1">
      <c r="B336" s="4" t="s">
        <v>746</v>
      </c>
      <c r="C336" s="4" t="s">
        <v>569</v>
      </c>
      <c r="D336" s="4" t="s">
        <v>824</v>
      </c>
      <c r="E336" s="4" t="s">
        <v>218</v>
      </c>
      <c r="F336" s="73">
        <v>46247</v>
      </c>
      <c r="G336" s="5">
        <v>117</v>
      </c>
      <c r="H336" s="6">
        <v>239610.39</v>
      </c>
    </row>
    <row r="337" spans="2:8" ht="20.149999999999999" customHeight="1">
      <c r="B337" s="4" t="s">
        <v>611</v>
      </c>
      <c r="C337" s="4" t="s">
        <v>569</v>
      </c>
      <c r="D337" s="4" t="s">
        <v>1288</v>
      </c>
      <c r="E337" s="4" t="s">
        <v>110</v>
      </c>
      <c r="F337" s="73">
        <v>46247</v>
      </c>
      <c r="G337" s="5">
        <v>1000</v>
      </c>
      <c r="H337" s="6">
        <v>118881.12</v>
      </c>
    </row>
    <row r="338" spans="2:8" ht="20.149999999999999" customHeight="1">
      <c r="B338" s="4" t="s">
        <v>611</v>
      </c>
      <c r="C338" s="4" t="s">
        <v>569</v>
      </c>
      <c r="D338" s="4" t="s">
        <v>1288</v>
      </c>
      <c r="E338" s="4" t="s">
        <v>115</v>
      </c>
      <c r="F338" s="73">
        <v>46247</v>
      </c>
      <c r="G338" s="5">
        <v>1000</v>
      </c>
      <c r="H338" s="6">
        <v>639360.64</v>
      </c>
    </row>
    <row r="339" spans="2:8" ht="20.149999999999999" customHeight="1">
      <c r="B339" s="4" t="s">
        <v>618</v>
      </c>
      <c r="C339" s="4" t="s">
        <v>1487</v>
      </c>
      <c r="D339" s="4" t="s">
        <v>1288</v>
      </c>
      <c r="E339" s="4" t="s">
        <v>110</v>
      </c>
      <c r="F339" s="73">
        <v>46247</v>
      </c>
      <c r="G339" s="5">
        <v>3000</v>
      </c>
      <c r="H339" s="6">
        <v>381000</v>
      </c>
    </row>
    <row r="340" spans="2:8" ht="20.149999999999999" customHeight="1">
      <c r="B340" s="4" t="s">
        <v>618</v>
      </c>
      <c r="C340" s="4" t="s">
        <v>1487</v>
      </c>
      <c r="D340" s="4" t="s">
        <v>1288</v>
      </c>
      <c r="E340" s="4" t="s">
        <v>110</v>
      </c>
      <c r="F340" s="73">
        <v>46247</v>
      </c>
      <c r="G340" s="5">
        <v>2000</v>
      </c>
      <c r="H340" s="6">
        <v>254000</v>
      </c>
    </row>
    <row r="341" spans="2:8" ht="20.149999999999999" customHeight="1">
      <c r="B341" s="4" t="s">
        <v>598</v>
      </c>
      <c r="C341" s="4" t="s">
        <v>569</v>
      </c>
      <c r="D341" s="4" t="s">
        <v>828</v>
      </c>
      <c r="E341" s="4" t="s">
        <v>424</v>
      </c>
      <c r="F341" s="73">
        <v>46251</v>
      </c>
      <c r="G341" s="5">
        <v>24</v>
      </c>
      <c r="H341" s="6">
        <v>121911.98</v>
      </c>
    </row>
    <row r="342" spans="2:8" ht="20.149999999999999" customHeight="1">
      <c r="B342" s="4" t="s">
        <v>598</v>
      </c>
      <c r="C342" s="4" t="s">
        <v>569</v>
      </c>
      <c r="D342" s="4" t="s">
        <v>828</v>
      </c>
      <c r="E342" s="4" t="s">
        <v>357</v>
      </c>
      <c r="F342" s="73">
        <v>46251</v>
      </c>
      <c r="G342" s="5">
        <v>32</v>
      </c>
      <c r="H342" s="6">
        <v>162549.31</v>
      </c>
    </row>
    <row r="343" spans="2:8" ht="20.149999999999999" customHeight="1">
      <c r="B343" s="4" t="s">
        <v>598</v>
      </c>
      <c r="C343" s="4" t="s">
        <v>569</v>
      </c>
      <c r="D343" s="4" t="s">
        <v>828</v>
      </c>
      <c r="E343" s="4" t="s">
        <v>1564</v>
      </c>
      <c r="F343" s="73">
        <v>46251</v>
      </c>
      <c r="G343" s="5">
        <v>3000</v>
      </c>
      <c r="H343" s="6">
        <v>86913.09</v>
      </c>
    </row>
    <row r="344" spans="2:8" ht="20.149999999999999" customHeight="1">
      <c r="B344" s="4" t="s">
        <v>671</v>
      </c>
      <c r="C344" s="4" t="s">
        <v>569</v>
      </c>
      <c r="D344" s="4" t="s">
        <v>828</v>
      </c>
      <c r="E344" s="4" t="s">
        <v>696</v>
      </c>
      <c r="F344" s="73">
        <v>46251</v>
      </c>
      <c r="G344" s="5">
        <v>1</v>
      </c>
      <c r="H344" s="6">
        <v>3389.83</v>
      </c>
    </row>
    <row r="345" spans="2:8" ht="20.149999999999999" customHeight="1">
      <c r="B345" s="4" t="s">
        <v>671</v>
      </c>
      <c r="C345" s="4" t="s">
        <v>569</v>
      </c>
      <c r="D345" s="4" t="s">
        <v>828</v>
      </c>
      <c r="E345" s="4" t="s">
        <v>645</v>
      </c>
      <c r="F345" s="73">
        <v>46251</v>
      </c>
      <c r="G345" s="5">
        <v>1</v>
      </c>
      <c r="H345" s="6">
        <v>5508.48</v>
      </c>
    </row>
    <row r="346" spans="2:8" ht="20.149999999999999" customHeight="1">
      <c r="B346" s="4" t="s">
        <v>587</v>
      </c>
      <c r="C346" s="4" t="s">
        <v>569</v>
      </c>
      <c r="D346" s="4" t="s">
        <v>828</v>
      </c>
      <c r="E346" s="4" t="s">
        <v>358</v>
      </c>
      <c r="F346" s="73">
        <v>46251</v>
      </c>
      <c r="G346" s="5">
        <v>19</v>
      </c>
      <c r="H346" s="6">
        <v>104556.46</v>
      </c>
    </row>
    <row r="347" spans="2:8" ht="20.149999999999999" customHeight="1">
      <c r="B347" s="4" t="s">
        <v>587</v>
      </c>
      <c r="C347" s="4" t="s">
        <v>569</v>
      </c>
      <c r="D347" s="4" t="s">
        <v>828</v>
      </c>
      <c r="E347" s="4" t="s">
        <v>271</v>
      </c>
      <c r="F347" s="73">
        <v>46251</v>
      </c>
      <c r="G347" s="5">
        <v>36</v>
      </c>
      <c r="H347" s="6">
        <v>198106.98</v>
      </c>
    </row>
    <row r="348" spans="2:8" ht="20.149999999999999" customHeight="1">
      <c r="B348" s="4" t="s">
        <v>587</v>
      </c>
      <c r="C348" s="4" t="s">
        <v>569</v>
      </c>
      <c r="D348" s="4" t="s">
        <v>1288</v>
      </c>
      <c r="E348" s="4" t="s">
        <v>589</v>
      </c>
      <c r="F348" s="73">
        <v>46251</v>
      </c>
      <c r="G348" s="5">
        <v>20000</v>
      </c>
      <c r="H348" s="6">
        <v>719280.72</v>
      </c>
    </row>
    <row r="349" spans="2:8" ht="20.149999999999999" customHeight="1">
      <c r="B349" s="4" t="s">
        <v>607</v>
      </c>
      <c r="C349" s="4" t="s">
        <v>569</v>
      </c>
      <c r="D349" s="4" t="s">
        <v>828</v>
      </c>
      <c r="E349" s="4" t="s">
        <v>645</v>
      </c>
      <c r="F349" s="73">
        <v>46251</v>
      </c>
      <c r="G349" s="5">
        <v>20</v>
      </c>
      <c r="H349" s="6">
        <v>94000</v>
      </c>
    </row>
    <row r="350" spans="2:8" ht="20.149999999999999" customHeight="1">
      <c r="B350" s="4" t="s">
        <v>607</v>
      </c>
      <c r="C350" s="4" t="s">
        <v>569</v>
      </c>
      <c r="D350" s="4" t="s">
        <v>828</v>
      </c>
      <c r="E350" s="4" t="s">
        <v>679</v>
      </c>
      <c r="F350" s="73">
        <v>46251</v>
      </c>
      <c r="G350" s="5">
        <v>8</v>
      </c>
      <c r="H350" s="6">
        <v>50400</v>
      </c>
    </row>
    <row r="351" spans="2:8" ht="20.149999999999999" customHeight="1">
      <c r="B351" s="4" t="s">
        <v>795</v>
      </c>
      <c r="C351" s="4" t="s">
        <v>569</v>
      </c>
      <c r="D351" s="4" t="s">
        <v>1288</v>
      </c>
      <c r="E351" s="4" t="s">
        <v>115</v>
      </c>
      <c r="F351" s="73">
        <v>46251</v>
      </c>
      <c r="G351" s="5">
        <v>100</v>
      </c>
      <c r="H351" s="6">
        <v>80000</v>
      </c>
    </row>
    <row r="352" spans="2:8" ht="20.149999999999999" customHeight="1">
      <c r="B352" s="4" t="s">
        <v>795</v>
      </c>
      <c r="C352" s="4" t="s">
        <v>569</v>
      </c>
      <c r="D352" s="4" t="s">
        <v>1288</v>
      </c>
      <c r="E352" s="4" t="s">
        <v>171</v>
      </c>
      <c r="F352" s="73">
        <v>46251</v>
      </c>
      <c r="G352" s="5">
        <v>200</v>
      </c>
      <c r="H352" s="6">
        <v>60000</v>
      </c>
    </row>
    <row r="353" spans="2:8" ht="20.149999999999999" customHeight="1">
      <c r="B353" s="4" t="s">
        <v>795</v>
      </c>
      <c r="C353" s="4" t="s">
        <v>569</v>
      </c>
      <c r="D353" s="4" t="s">
        <v>1288</v>
      </c>
      <c r="E353" s="4" t="s">
        <v>110</v>
      </c>
      <c r="F353" s="73">
        <v>46251</v>
      </c>
      <c r="G353" s="5">
        <v>200</v>
      </c>
      <c r="H353" s="6">
        <v>34000</v>
      </c>
    </row>
    <row r="354" spans="2:8" ht="20.149999999999999" customHeight="1">
      <c r="B354" s="4" t="s">
        <v>1298</v>
      </c>
      <c r="C354" s="4" t="s">
        <v>569</v>
      </c>
      <c r="D354" s="4" t="s">
        <v>828</v>
      </c>
      <c r="E354" s="4" t="s">
        <v>332</v>
      </c>
      <c r="F354" s="73">
        <v>46251</v>
      </c>
      <c r="G354" s="5">
        <v>10000</v>
      </c>
      <c r="H354" s="6">
        <v>490000</v>
      </c>
    </row>
    <row r="355" spans="2:8" ht="20.149999999999999" customHeight="1">
      <c r="B355" s="4" t="s">
        <v>633</v>
      </c>
      <c r="C355" s="4" t="s">
        <v>569</v>
      </c>
      <c r="D355" s="4" t="s">
        <v>824</v>
      </c>
      <c r="E355" s="4" t="s">
        <v>218</v>
      </c>
      <c r="F355" s="73">
        <v>46252</v>
      </c>
      <c r="G355" s="5">
        <v>375</v>
      </c>
      <c r="H355" s="6">
        <v>768431.57</v>
      </c>
    </row>
    <row r="356" spans="2:8" ht="20.149999999999999" customHeight="1">
      <c r="B356" s="4" t="s">
        <v>607</v>
      </c>
      <c r="C356" s="4" t="s">
        <v>569</v>
      </c>
      <c r="D356" s="4" t="s">
        <v>828</v>
      </c>
      <c r="E356" s="4" t="s">
        <v>120</v>
      </c>
      <c r="F356" s="73">
        <v>46252</v>
      </c>
      <c r="G356" s="5">
        <v>76</v>
      </c>
      <c r="H356" s="6">
        <v>456000</v>
      </c>
    </row>
    <row r="357" spans="2:8" ht="20.149999999999999" customHeight="1">
      <c r="B357" s="4" t="s">
        <v>607</v>
      </c>
      <c r="C357" s="4" t="s">
        <v>569</v>
      </c>
      <c r="D357" s="4" t="s">
        <v>828</v>
      </c>
      <c r="E357" s="4" t="s">
        <v>120</v>
      </c>
      <c r="F357" s="73">
        <v>46252</v>
      </c>
      <c r="G357" s="5">
        <v>24</v>
      </c>
      <c r="H357" s="6">
        <v>144000</v>
      </c>
    </row>
    <row r="358" spans="2:8" ht="20.149999999999999" customHeight="1">
      <c r="B358" s="4" t="s">
        <v>607</v>
      </c>
      <c r="C358" s="4" t="s">
        <v>569</v>
      </c>
      <c r="D358" s="4" t="s">
        <v>828</v>
      </c>
      <c r="E358" s="4" t="s">
        <v>357</v>
      </c>
      <c r="F358" s="73">
        <v>46252</v>
      </c>
      <c r="G358" s="5">
        <v>100</v>
      </c>
      <c r="H358" s="6">
        <v>600000</v>
      </c>
    </row>
    <row r="359" spans="2:8" ht="20.149999999999999" customHeight="1">
      <c r="B359" s="4" t="s">
        <v>607</v>
      </c>
      <c r="C359" s="4" t="s">
        <v>569</v>
      </c>
      <c r="D359" s="4" t="s">
        <v>828</v>
      </c>
      <c r="E359" s="4" t="s">
        <v>424</v>
      </c>
      <c r="F359" s="73">
        <v>46252</v>
      </c>
      <c r="G359" s="5">
        <v>20</v>
      </c>
      <c r="H359" s="6">
        <v>120000</v>
      </c>
    </row>
    <row r="360" spans="2:8" ht="20.149999999999999" customHeight="1">
      <c r="B360" s="4" t="s">
        <v>684</v>
      </c>
      <c r="C360" s="4" t="s">
        <v>569</v>
      </c>
      <c r="D360" s="4" t="s">
        <v>828</v>
      </c>
      <c r="E360" s="4" t="s">
        <v>424</v>
      </c>
      <c r="F360" s="73">
        <v>46252</v>
      </c>
      <c r="G360" s="5">
        <v>10</v>
      </c>
      <c r="H360" s="6">
        <v>55000</v>
      </c>
    </row>
    <row r="361" spans="2:8" ht="20.149999999999999" customHeight="1">
      <c r="B361" s="4" t="s">
        <v>684</v>
      </c>
      <c r="C361" s="4" t="s">
        <v>569</v>
      </c>
      <c r="D361" s="4" t="s">
        <v>828</v>
      </c>
      <c r="E361" s="4" t="s">
        <v>357</v>
      </c>
      <c r="F361" s="73">
        <v>46252</v>
      </c>
      <c r="G361" s="5">
        <v>14</v>
      </c>
      <c r="H361" s="6">
        <v>77000</v>
      </c>
    </row>
    <row r="362" spans="2:8" ht="20.149999999999999" customHeight="1">
      <c r="B362" s="4" t="s">
        <v>684</v>
      </c>
      <c r="C362" s="4" t="s">
        <v>569</v>
      </c>
      <c r="D362" s="4" t="s">
        <v>828</v>
      </c>
      <c r="E362" s="4" t="s">
        <v>120</v>
      </c>
      <c r="F362" s="73">
        <v>46252</v>
      </c>
      <c r="G362" s="5">
        <v>2</v>
      </c>
      <c r="H362" s="6">
        <v>11000</v>
      </c>
    </row>
    <row r="363" spans="2:8" ht="20.149999999999999" customHeight="1">
      <c r="B363" s="4" t="s">
        <v>647</v>
      </c>
      <c r="C363" s="4" t="s">
        <v>569</v>
      </c>
      <c r="D363" s="4" t="s">
        <v>824</v>
      </c>
      <c r="E363" s="4" t="s">
        <v>326</v>
      </c>
      <c r="F363" s="73">
        <v>46253</v>
      </c>
      <c r="G363" s="5">
        <v>200</v>
      </c>
      <c r="H363" s="6">
        <v>87912.09</v>
      </c>
    </row>
    <row r="364" spans="2:8" ht="20.149999999999999" customHeight="1">
      <c r="B364" s="4" t="s">
        <v>647</v>
      </c>
      <c r="C364" s="4" t="s">
        <v>569</v>
      </c>
      <c r="D364" s="4" t="s">
        <v>824</v>
      </c>
      <c r="E364" s="4" t="s">
        <v>144</v>
      </c>
      <c r="F364" s="73">
        <v>46253</v>
      </c>
      <c r="G364" s="5">
        <v>200</v>
      </c>
      <c r="H364" s="6">
        <v>229770.23</v>
      </c>
    </row>
    <row r="365" spans="2:8" ht="20.149999999999999" customHeight="1">
      <c r="B365" s="4" t="s">
        <v>607</v>
      </c>
      <c r="C365" s="4" t="s">
        <v>569</v>
      </c>
      <c r="D365" s="4" t="s">
        <v>828</v>
      </c>
      <c r="E365" s="4" t="s">
        <v>424</v>
      </c>
      <c r="F365" s="73">
        <v>46253</v>
      </c>
      <c r="G365" s="5">
        <v>160</v>
      </c>
      <c r="H365" s="6">
        <v>960000</v>
      </c>
    </row>
    <row r="366" spans="2:8" ht="20.149999999999999" customHeight="1">
      <c r="B366" s="4" t="s">
        <v>607</v>
      </c>
      <c r="C366" s="4" t="s">
        <v>569</v>
      </c>
      <c r="D366" s="4" t="s">
        <v>828</v>
      </c>
      <c r="E366" s="4" t="s">
        <v>357</v>
      </c>
      <c r="F366" s="73">
        <v>46253</v>
      </c>
      <c r="G366" s="5">
        <v>120</v>
      </c>
      <c r="H366" s="6">
        <v>720000</v>
      </c>
    </row>
    <row r="367" spans="2:8" ht="20.149999999999999" customHeight="1">
      <c r="B367" s="4" t="s">
        <v>1400</v>
      </c>
      <c r="C367" s="4" t="s">
        <v>569</v>
      </c>
      <c r="D367" s="4" t="s">
        <v>1288</v>
      </c>
      <c r="E367" s="4" t="s">
        <v>171</v>
      </c>
      <c r="F367" s="73">
        <v>46253</v>
      </c>
      <c r="G367" s="5">
        <v>200</v>
      </c>
      <c r="H367" s="6">
        <v>54945.05</v>
      </c>
    </row>
    <row r="368" spans="2:8" ht="20.149999999999999" customHeight="1">
      <c r="B368" s="4" t="s">
        <v>1400</v>
      </c>
      <c r="C368" s="4" t="s">
        <v>569</v>
      </c>
      <c r="D368" s="4" t="s">
        <v>1288</v>
      </c>
      <c r="E368" s="4" t="s">
        <v>115</v>
      </c>
      <c r="F368" s="73">
        <v>46253</v>
      </c>
      <c r="G368" s="5">
        <v>500</v>
      </c>
      <c r="H368" s="6">
        <v>349650.35</v>
      </c>
    </row>
    <row r="369" spans="2:8" ht="20.149999999999999" customHeight="1">
      <c r="B369" s="4" t="s">
        <v>609</v>
      </c>
      <c r="C369" s="4" t="s">
        <v>569</v>
      </c>
      <c r="D369" s="4" t="s">
        <v>1288</v>
      </c>
      <c r="E369" s="4" t="s">
        <v>103</v>
      </c>
      <c r="F369" s="73">
        <v>46254</v>
      </c>
      <c r="G369" s="5">
        <v>640</v>
      </c>
      <c r="H369" s="6">
        <v>336943.06</v>
      </c>
    </row>
    <row r="370" spans="2:8" ht="20.149999999999999" customHeight="1">
      <c r="B370" s="4" t="s">
        <v>609</v>
      </c>
      <c r="C370" s="4" t="s">
        <v>569</v>
      </c>
      <c r="D370" s="4" t="s">
        <v>1288</v>
      </c>
      <c r="E370" s="4" t="s">
        <v>115</v>
      </c>
      <c r="F370" s="73">
        <v>46254</v>
      </c>
      <c r="G370" s="5">
        <v>300</v>
      </c>
      <c r="H370" s="6">
        <v>194805.19</v>
      </c>
    </row>
    <row r="371" spans="2:8" ht="20.149999999999999" customHeight="1">
      <c r="B371" s="4" t="s">
        <v>609</v>
      </c>
      <c r="C371" s="4" t="s">
        <v>569</v>
      </c>
      <c r="D371" s="4" t="s">
        <v>1288</v>
      </c>
      <c r="E371" s="4" t="s">
        <v>238</v>
      </c>
      <c r="F371" s="73">
        <v>46254</v>
      </c>
      <c r="G371" s="5">
        <v>2000</v>
      </c>
      <c r="H371" s="6">
        <v>109890.11</v>
      </c>
    </row>
    <row r="372" spans="2:8" ht="20.149999999999999" customHeight="1">
      <c r="B372" s="4" t="s">
        <v>770</v>
      </c>
      <c r="C372" s="4" t="s">
        <v>569</v>
      </c>
      <c r="D372" s="4" t="s">
        <v>828</v>
      </c>
      <c r="E372" s="4" t="s">
        <v>358</v>
      </c>
      <c r="F372" s="73">
        <v>46254</v>
      </c>
      <c r="G372" s="5">
        <v>48</v>
      </c>
      <c r="H372" s="6">
        <v>336000</v>
      </c>
    </row>
    <row r="373" spans="2:8" ht="20.149999999999999" customHeight="1">
      <c r="B373" s="4" t="s">
        <v>770</v>
      </c>
      <c r="C373" s="4" t="s">
        <v>569</v>
      </c>
      <c r="D373" s="4" t="s">
        <v>828</v>
      </c>
      <c r="E373" s="4" t="s">
        <v>120</v>
      </c>
      <c r="F373" s="73">
        <v>46254</v>
      </c>
      <c r="G373" s="5">
        <v>24</v>
      </c>
      <c r="H373" s="6">
        <v>168000</v>
      </c>
    </row>
    <row r="374" spans="2:8" ht="20.149999999999999" customHeight="1">
      <c r="B374" s="4" t="s">
        <v>770</v>
      </c>
      <c r="C374" s="4" t="s">
        <v>569</v>
      </c>
      <c r="D374" s="4" t="s">
        <v>828</v>
      </c>
      <c r="E374" s="4" t="s">
        <v>441</v>
      </c>
      <c r="F374" s="73">
        <v>46254</v>
      </c>
      <c r="G374" s="5">
        <v>2</v>
      </c>
      <c r="H374" s="6">
        <v>14000</v>
      </c>
    </row>
    <row r="375" spans="2:8" ht="20.149999999999999" customHeight="1">
      <c r="B375" s="4" t="s">
        <v>655</v>
      </c>
      <c r="C375" s="4" t="s">
        <v>569</v>
      </c>
      <c r="D375" s="4" t="s">
        <v>824</v>
      </c>
      <c r="E375" s="4" t="s">
        <v>218</v>
      </c>
      <c r="F375" s="73">
        <v>46254</v>
      </c>
      <c r="G375" s="5">
        <v>740</v>
      </c>
      <c r="H375" s="6">
        <v>1515484.52</v>
      </c>
    </row>
    <row r="376" spans="2:8" ht="20.149999999999999" customHeight="1">
      <c r="B376" s="4" t="s">
        <v>602</v>
      </c>
      <c r="C376" s="4" t="s">
        <v>569</v>
      </c>
      <c r="D376" s="4" t="s">
        <v>828</v>
      </c>
      <c r="E376" s="4" t="s">
        <v>332</v>
      </c>
      <c r="F376" s="73">
        <v>46254</v>
      </c>
      <c r="G376" s="5">
        <v>5000</v>
      </c>
      <c r="H376" s="6">
        <v>290000</v>
      </c>
    </row>
    <row r="377" spans="2:8" ht="20.149999999999999" customHeight="1">
      <c r="B377" s="4" t="s">
        <v>607</v>
      </c>
      <c r="C377" s="4" t="s">
        <v>569</v>
      </c>
      <c r="D377" s="4" t="s">
        <v>828</v>
      </c>
      <c r="E377" s="4" t="s">
        <v>431</v>
      </c>
      <c r="F377" s="73">
        <v>46254</v>
      </c>
      <c r="G377" s="5">
        <v>8</v>
      </c>
      <c r="H377" s="6">
        <v>48000</v>
      </c>
    </row>
    <row r="378" spans="2:8" ht="20.149999999999999" customHeight="1">
      <c r="B378" s="4" t="s">
        <v>607</v>
      </c>
      <c r="C378" s="4" t="s">
        <v>569</v>
      </c>
      <c r="D378" s="4" t="s">
        <v>828</v>
      </c>
      <c r="E378" s="4" t="s">
        <v>271</v>
      </c>
      <c r="F378" s="73">
        <v>46254</v>
      </c>
      <c r="G378" s="5">
        <v>10</v>
      </c>
      <c r="H378" s="6">
        <v>60000</v>
      </c>
    </row>
    <row r="379" spans="2:8" ht="20.149999999999999" customHeight="1">
      <c r="B379" s="4" t="s">
        <v>607</v>
      </c>
      <c r="C379" s="4" t="s">
        <v>569</v>
      </c>
      <c r="D379" s="4" t="s">
        <v>828</v>
      </c>
      <c r="E379" s="4" t="s">
        <v>424</v>
      </c>
      <c r="F379" s="73">
        <v>46254</v>
      </c>
      <c r="G379" s="5">
        <v>30</v>
      </c>
      <c r="H379" s="6">
        <v>180000</v>
      </c>
    </row>
    <row r="380" spans="2:8" ht="20.149999999999999" customHeight="1">
      <c r="B380" s="4" t="s">
        <v>607</v>
      </c>
      <c r="C380" s="4" t="s">
        <v>569</v>
      </c>
      <c r="D380" s="4" t="s">
        <v>828</v>
      </c>
      <c r="E380" s="4" t="s">
        <v>357</v>
      </c>
      <c r="F380" s="73">
        <v>46254</v>
      </c>
      <c r="G380" s="5">
        <v>30</v>
      </c>
      <c r="H380" s="6">
        <v>180000</v>
      </c>
    </row>
    <row r="381" spans="2:8" ht="20.149999999999999" customHeight="1">
      <c r="B381" s="4" t="s">
        <v>621</v>
      </c>
      <c r="C381" s="4" t="s">
        <v>569</v>
      </c>
      <c r="D381" s="4" t="s">
        <v>828</v>
      </c>
      <c r="E381" s="4" t="s">
        <v>357</v>
      </c>
      <c r="F381" s="73">
        <v>46254</v>
      </c>
      <c r="G381" s="5">
        <v>3</v>
      </c>
      <c r="H381" s="6">
        <v>18000</v>
      </c>
    </row>
    <row r="382" spans="2:8" ht="20.149999999999999" customHeight="1">
      <c r="B382" s="4" t="s">
        <v>2219</v>
      </c>
      <c r="C382" s="4" t="s">
        <v>569</v>
      </c>
      <c r="D382" s="4" t="s">
        <v>824</v>
      </c>
      <c r="E382" s="4" t="s">
        <v>326</v>
      </c>
      <c r="F382" s="73">
        <v>46254</v>
      </c>
      <c r="G382" s="5">
        <v>300</v>
      </c>
      <c r="H382" s="6">
        <v>132000</v>
      </c>
    </row>
    <row r="383" spans="2:8" ht="20.149999999999999" customHeight="1">
      <c r="B383" s="4" t="s">
        <v>2219</v>
      </c>
      <c r="C383" s="4" t="s">
        <v>569</v>
      </c>
      <c r="D383" s="4" t="s">
        <v>824</v>
      </c>
      <c r="E383" s="4" t="s">
        <v>139</v>
      </c>
      <c r="F383" s="73">
        <v>46254</v>
      </c>
      <c r="G383" s="5">
        <v>300</v>
      </c>
      <c r="H383" s="6">
        <v>315000</v>
      </c>
    </row>
    <row r="384" spans="2:8" ht="20.149999999999999" customHeight="1">
      <c r="B384" s="4" t="s">
        <v>2219</v>
      </c>
      <c r="C384" s="4" t="s">
        <v>569</v>
      </c>
      <c r="D384" s="4" t="s">
        <v>824</v>
      </c>
      <c r="E384" s="4" t="s">
        <v>163</v>
      </c>
      <c r="F384" s="73">
        <v>46254</v>
      </c>
      <c r="G384" s="5">
        <v>300</v>
      </c>
      <c r="H384" s="6">
        <v>33000</v>
      </c>
    </row>
    <row r="385" spans="2:8" ht="20.149999999999999" customHeight="1">
      <c r="B385" s="4" t="s">
        <v>607</v>
      </c>
      <c r="C385" s="4" t="s">
        <v>569</v>
      </c>
      <c r="D385" s="4" t="s">
        <v>828</v>
      </c>
      <c r="E385" s="4" t="s">
        <v>120</v>
      </c>
      <c r="F385" s="73">
        <v>46255</v>
      </c>
      <c r="G385" s="5">
        <v>24</v>
      </c>
      <c r="H385" s="6">
        <v>144000</v>
      </c>
    </row>
    <row r="386" spans="2:8" ht="20.149999999999999" customHeight="1">
      <c r="B386" s="4" t="s">
        <v>607</v>
      </c>
      <c r="C386" s="4" t="s">
        <v>569</v>
      </c>
      <c r="D386" s="4" t="s">
        <v>828</v>
      </c>
      <c r="E386" s="4" t="s">
        <v>431</v>
      </c>
      <c r="F386" s="73">
        <v>46255</v>
      </c>
      <c r="G386" s="5">
        <v>8</v>
      </c>
      <c r="H386" s="6">
        <v>48000</v>
      </c>
    </row>
    <row r="387" spans="2:8" ht="20.149999999999999" customHeight="1">
      <c r="B387" s="4" t="s">
        <v>613</v>
      </c>
      <c r="C387" s="4" t="s">
        <v>569</v>
      </c>
      <c r="D387" s="4" t="s">
        <v>824</v>
      </c>
      <c r="E387" s="4" t="s">
        <v>578</v>
      </c>
      <c r="F387" s="73">
        <v>46255</v>
      </c>
      <c r="G387" s="5">
        <v>50</v>
      </c>
      <c r="H387" s="6">
        <v>24500</v>
      </c>
    </row>
    <row r="388" spans="2:8" ht="20.149999999999999" customHeight="1">
      <c r="B388" s="4" t="s">
        <v>613</v>
      </c>
      <c r="C388" s="4" t="s">
        <v>569</v>
      </c>
      <c r="D388" s="4" t="s">
        <v>824</v>
      </c>
      <c r="E388" s="4" t="s">
        <v>144</v>
      </c>
      <c r="F388" s="73">
        <v>46255</v>
      </c>
      <c r="G388" s="5">
        <v>48</v>
      </c>
      <c r="H388" s="6">
        <v>68880</v>
      </c>
    </row>
    <row r="389" spans="2:8" ht="20.149999999999999" customHeight="1">
      <c r="B389" s="4" t="s">
        <v>613</v>
      </c>
      <c r="C389" s="4" t="s">
        <v>569</v>
      </c>
      <c r="D389" s="4" t="s">
        <v>824</v>
      </c>
      <c r="E389" s="4" t="s">
        <v>166</v>
      </c>
      <c r="F389" s="73">
        <v>46255</v>
      </c>
      <c r="G389" s="5">
        <v>10</v>
      </c>
      <c r="H389" s="6">
        <v>1200</v>
      </c>
    </row>
    <row r="390" spans="2:8" ht="20.149999999999999" customHeight="1">
      <c r="B390" s="4" t="s">
        <v>671</v>
      </c>
      <c r="C390" s="4" t="s">
        <v>569</v>
      </c>
      <c r="D390" s="4" t="s">
        <v>828</v>
      </c>
      <c r="E390" s="4" t="s">
        <v>424</v>
      </c>
      <c r="F390" s="73">
        <v>46255</v>
      </c>
      <c r="G390" s="5">
        <v>16</v>
      </c>
      <c r="H390" s="6">
        <v>88135.59</v>
      </c>
    </row>
    <row r="391" spans="2:8" ht="20.149999999999999" customHeight="1">
      <c r="B391" s="4" t="s">
        <v>671</v>
      </c>
      <c r="C391" s="4" t="s">
        <v>569</v>
      </c>
      <c r="D391" s="4" t="s">
        <v>828</v>
      </c>
      <c r="E391" s="4" t="s">
        <v>357</v>
      </c>
      <c r="F391" s="73">
        <v>46255</v>
      </c>
      <c r="G391" s="5">
        <v>16</v>
      </c>
      <c r="H391" s="6">
        <v>88135.59</v>
      </c>
    </row>
    <row r="392" spans="2:8" ht="20.149999999999999" customHeight="1">
      <c r="B392" s="4" t="s">
        <v>671</v>
      </c>
      <c r="C392" s="4" t="s">
        <v>569</v>
      </c>
      <c r="D392" s="4" t="s">
        <v>828</v>
      </c>
      <c r="E392" s="4" t="s">
        <v>519</v>
      </c>
      <c r="F392" s="73">
        <v>46255</v>
      </c>
      <c r="G392" s="5">
        <v>500</v>
      </c>
      <c r="H392" s="6">
        <v>50847.46</v>
      </c>
    </row>
    <row r="393" spans="2:8" ht="20.149999999999999" customHeight="1">
      <c r="B393" s="4" t="s">
        <v>671</v>
      </c>
      <c r="C393" s="4" t="s">
        <v>569</v>
      </c>
      <c r="D393" s="4" t="s">
        <v>828</v>
      </c>
      <c r="E393" s="4" t="s">
        <v>125</v>
      </c>
      <c r="F393" s="73">
        <v>46255</v>
      </c>
      <c r="G393" s="5">
        <v>1500</v>
      </c>
      <c r="H393" s="6">
        <v>165254.24</v>
      </c>
    </row>
    <row r="394" spans="2:8" ht="20.149999999999999" customHeight="1">
      <c r="B394" s="4" t="s">
        <v>671</v>
      </c>
      <c r="C394" s="4" t="s">
        <v>569</v>
      </c>
      <c r="D394" s="4" t="s">
        <v>828</v>
      </c>
      <c r="E394" s="4" t="s">
        <v>1642</v>
      </c>
      <c r="F394" s="73">
        <v>46255</v>
      </c>
      <c r="G394" s="5">
        <v>1500</v>
      </c>
      <c r="H394" s="6">
        <v>75000</v>
      </c>
    </row>
    <row r="395" spans="2:8" ht="20.149999999999999" customHeight="1">
      <c r="B395" s="4" t="s">
        <v>705</v>
      </c>
      <c r="C395" s="4" t="s">
        <v>569</v>
      </c>
      <c r="D395" s="4" t="s">
        <v>824</v>
      </c>
      <c r="E395" s="4" t="s">
        <v>326</v>
      </c>
      <c r="F395" s="73">
        <v>46255</v>
      </c>
      <c r="G395" s="5">
        <v>200</v>
      </c>
      <c r="H395" s="6">
        <v>86913.09</v>
      </c>
    </row>
    <row r="396" spans="2:8" ht="20.149999999999999" customHeight="1">
      <c r="B396" s="4" t="s">
        <v>705</v>
      </c>
      <c r="C396" s="4" t="s">
        <v>569</v>
      </c>
      <c r="D396" s="4" t="s">
        <v>824</v>
      </c>
      <c r="E396" s="4" t="s">
        <v>139</v>
      </c>
      <c r="F396" s="73">
        <v>46255</v>
      </c>
      <c r="G396" s="5">
        <v>100</v>
      </c>
      <c r="H396" s="6">
        <v>124875.12</v>
      </c>
    </row>
    <row r="397" spans="2:8" ht="20.149999999999999" customHeight="1">
      <c r="B397" s="4" t="s">
        <v>705</v>
      </c>
      <c r="C397" s="4" t="s">
        <v>569</v>
      </c>
      <c r="D397" s="4" t="s">
        <v>824</v>
      </c>
      <c r="E397" s="4" t="s">
        <v>78</v>
      </c>
      <c r="F397" s="73">
        <v>46255</v>
      </c>
      <c r="G397" s="5">
        <v>50</v>
      </c>
      <c r="H397" s="6">
        <v>63436.56</v>
      </c>
    </row>
    <row r="398" spans="2:8" ht="20.149999999999999" customHeight="1">
      <c r="B398" s="4" t="s">
        <v>705</v>
      </c>
      <c r="C398" s="4" t="s">
        <v>569</v>
      </c>
      <c r="D398" s="4" t="s">
        <v>824</v>
      </c>
      <c r="E398" s="4" t="s">
        <v>151</v>
      </c>
      <c r="F398" s="73">
        <v>46255</v>
      </c>
      <c r="G398" s="5">
        <v>50</v>
      </c>
      <c r="H398" s="6">
        <v>63436.56</v>
      </c>
    </row>
    <row r="399" spans="2:8" ht="20.149999999999999" customHeight="1">
      <c r="B399" s="4" t="s">
        <v>705</v>
      </c>
      <c r="C399" s="4" t="s">
        <v>569</v>
      </c>
      <c r="D399" s="4" t="s">
        <v>824</v>
      </c>
      <c r="E399" s="4" t="s">
        <v>144</v>
      </c>
      <c r="F399" s="73">
        <v>46255</v>
      </c>
      <c r="G399" s="5">
        <v>25</v>
      </c>
      <c r="H399" s="6">
        <v>31718.28</v>
      </c>
    </row>
    <row r="400" spans="2:8" ht="20.149999999999999" customHeight="1">
      <c r="B400" s="4" t="s">
        <v>705</v>
      </c>
      <c r="C400" s="4" t="s">
        <v>569</v>
      </c>
      <c r="D400" s="4" t="s">
        <v>824</v>
      </c>
      <c r="E400" s="4" t="s">
        <v>163</v>
      </c>
      <c r="F400" s="73">
        <v>46255</v>
      </c>
      <c r="G400" s="5">
        <v>90</v>
      </c>
      <c r="H400" s="6">
        <v>8091.91</v>
      </c>
    </row>
    <row r="401" spans="2:8" ht="20.149999999999999" customHeight="1">
      <c r="B401" s="4" t="s">
        <v>705</v>
      </c>
      <c r="C401" s="4" t="s">
        <v>569</v>
      </c>
      <c r="D401" s="4" t="s">
        <v>824</v>
      </c>
      <c r="E401" s="4" t="s">
        <v>166</v>
      </c>
      <c r="F401" s="73">
        <v>46255</v>
      </c>
      <c r="G401" s="5">
        <v>90</v>
      </c>
      <c r="H401" s="6">
        <v>8091.91</v>
      </c>
    </row>
    <row r="402" spans="2:8" ht="20.149999999999999" customHeight="1">
      <c r="B402" s="4" t="s">
        <v>605</v>
      </c>
      <c r="C402" s="4" t="s">
        <v>569</v>
      </c>
      <c r="D402" s="4" t="s">
        <v>824</v>
      </c>
      <c r="E402" s="4" t="s">
        <v>326</v>
      </c>
      <c r="F402" s="73">
        <v>46255</v>
      </c>
      <c r="G402" s="5">
        <v>48</v>
      </c>
      <c r="H402" s="6">
        <v>21120</v>
      </c>
    </row>
    <row r="403" spans="2:8" ht="20.149999999999999" customHeight="1">
      <c r="B403" s="4" t="s">
        <v>605</v>
      </c>
      <c r="C403" s="4" t="s">
        <v>569</v>
      </c>
      <c r="D403" s="4" t="s">
        <v>824</v>
      </c>
      <c r="E403" s="4" t="s">
        <v>139</v>
      </c>
      <c r="F403" s="73">
        <v>46255</v>
      </c>
      <c r="G403" s="5">
        <v>48</v>
      </c>
      <c r="H403" s="6">
        <v>52800</v>
      </c>
    </row>
    <row r="404" spans="2:8" ht="20.149999999999999" customHeight="1">
      <c r="B404" s="4" t="s">
        <v>716</v>
      </c>
      <c r="C404" s="4" t="s">
        <v>569</v>
      </c>
      <c r="D404" s="4" t="s">
        <v>828</v>
      </c>
      <c r="E404" s="4" t="s">
        <v>424</v>
      </c>
      <c r="F404" s="73">
        <v>46255</v>
      </c>
      <c r="G404" s="5">
        <v>20</v>
      </c>
      <c r="H404" s="6">
        <v>110000</v>
      </c>
    </row>
    <row r="405" spans="2:8" ht="20.149999999999999" customHeight="1">
      <c r="B405" s="4" t="s">
        <v>716</v>
      </c>
      <c r="C405" s="4" t="s">
        <v>569</v>
      </c>
      <c r="D405" s="4" t="s">
        <v>828</v>
      </c>
      <c r="E405" s="4" t="s">
        <v>357</v>
      </c>
      <c r="F405" s="73">
        <v>46255</v>
      </c>
      <c r="G405" s="5">
        <v>80</v>
      </c>
      <c r="H405" s="6">
        <v>440000</v>
      </c>
    </row>
    <row r="406" spans="2:8" ht="20.149999999999999" customHeight="1">
      <c r="B406" s="4" t="s">
        <v>716</v>
      </c>
      <c r="C406" s="4" t="s">
        <v>569</v>
      </c>
      <c r="D406" s="4" t="s">
        <v>828</v>
      </c>
      <c r="E406" s="4" t="s">
        <v>431</v>
      </c>
      <c r="F406" s="73">
        <v>46255</v>
      </c>
      <c r="G406" s="5">
        <v>20</v>
      </c>
      <c r="H406" s="6">
        <v>110000</v>
      </c>
    </row>
    <row r="407" spans="2:8" ht="20.149999999999999" customHeight="1">
      <c r="B407" s="4" t="s">
        <v>716</v>
      </c>
      <c r="C407" s="4" t="s">
        <v>569</v>
      </c>
      <c r="D407" s="4" t="s">
        <v>828</v>
      </c>
      <c r="E407" s="4" t="s">
        <v>1564</v>
      </c>
      <c r="F407" s="73">
        <v>46255</v>
      </c>
      <c r="G407" s="5">
        <v>2400</v>
      </c>
      <c r="H407" s="6">
        <v>76800</v>
      </c>
    </row>
    <row r="408" spans="2:8" ht="20.149999999999999" customHeight="1">
      <c r="B408" s="4" t="s">
        <v>716</v>
      </c>
      <c r="C408" s="4" t="s">
        <v>569</v>
      </c>
      <c r="D408" s="4" t="s">
        <v>828</v>
      </c>
      <c r="E408" s="4" t="s">
        <v>696</v>
      </c>
      <c r="F408" s="73">
        <v>46255</v>
      </c>
      <c r="G408" s="5">
        <v>2</v>
      </c>
      <c r="H408" s="6">
        <v>8000</v>
      </c>
    </row>
    <row r="409" spans="2:8" ht="20.149999999999999" customHeight="1">
      <c r="B409" s="4" t="s">
        <v>716</v>
      </c>
      <c r="C409" s="4" t="s">
        <v>569</v>
      </c>
      <c r="D409" s="4" t="s">
        <v>828</v>
      </c>
      <c r="E409" s="4" t="s">
        <v>645</v>
      </c>
      <c r="F409" s="73">
        <v>46255</v>
      </c>
      <c r="G409" s="5">
        <v>7</v>
      </c>
      <c r="H409" s="6">
        <v>42000</v>
      </c>
    </row>
    <row r="410" spans="2:8" ht="20.149999999999999" customHeight="1">
      <c r="B410" s="4" t="s">
        <v>716</v>
      </c>
      <c r="C410" s="4" t="s">
        <v>569</v>
      </c>
      <c r="D410" s="4" t="s">
        <v>828</v>
      </c>
      <c r="E410" s="4" t="s">
        <v>697</v>
      </c>
      <c r="F410" s="73">
        <v>46255</v>
      </c>
      <c r="G410" s="5">
        <v>2</v>
      </c>
      <c r="H410" s="6">
        <v>24000</v>
      </c>
    </row>
    <row r="411" spans="2:8" ht="20.149999999999999" customHeight="1">
      <c r="B411" s="4" t="s">
        <v>800</v>
      </c>
      <c r="C411" s="4" t="s">
        <v>1487</v>
      </c>
      <c r="D411" s="4" t="s">
        <v>1288</v>
      </c>
      <c r="E411" s="4" t="s">
        <v>171</v>
      </c>
      <c r="F411" s="73">
        <v>46255</v>
      </c>
      <c r="G411" s="5">
        <v>2000</v>
      </c>
      <c r="H411" s="6">
        <v>648000</v>
      </c>
    </row>
    <row r="412" spans="2:8" ht="20.149999999999999" customHeight="1">
      <c r="B412" s="4" t="s">
        <v>636</v>
      </c>
      <c r="C412" s="4" t="s">
        <v>569</v>
      </c>
      <c r="D412" s="4" t="s">
        <v>824</v>
      </c>
      <c r="E412" s="4" t="s">
        <v>218</v>
      </c>
      <c r="F412" s="73">
        <v>46258</v>
      </c>
      <c r="G412" s="5">
        <v>117</v>
      </c>
      <c r="H412" s="6">
        <v>254220.78</v>
      </c>
    </row>
    <row r="413" spans="2:8" ht="20.149999999999999" customHeight="1">
      <c r="B413" s="4" t="s">
        <v>1400</v>
      </c>
      <c r="C413" s="4" t="s">
        <v>569</v>
      </c>
      <c r="D413" s="4" t="s">
        <v>1288</v>
      </c>
      <c r="E413" s="4" t="s">
        <v>589</v>
      </c>
      <c r="F413" s="73">
        <v>46258</v>
      </c>
      <c r="G413" s="5">
        <v>16500</v>
      </c>
      <c r="H413" s="6">
        <v>527472.53</v>
      </c>
    </row>
    <row r="414" spans="2:8" ht="20.149999999999999" customHeight="1">
      <c r="B414" s="4" t="s">
        <v>615</v>
      </c>
      <c r="C414" s="4" t="s">
        <v>569</v>
      </c>
      <c r="D414" s="4" t="s">
        <v>824</v>
      </c>
      <c r="E414" s="4" t="s">
        <v>226</v>
      </c>
      <c r="F414" s="73">
        <v>46259</v>
      </c>
      <c r="G414" s="5">
        <v>60</v>
      </c>
      <c r="H414" s="6">
        <v>11940.3</v>
      </c>
    </row>
    <row r="415" spans="2:8" ht="20.149999999999999" customHeight="1">
      <c r="B415" s="4" t="s">
        <v>609</v>
      </c>
      <c r="C415" s="4" t="s">
        <v>569</v>
      </c>
      <c r="D415" s="4" t="s">
        <v>1288</v>
      </c>
      <c r="E415" s="4" t="s">
        <v>712</v>
      </c>
      <c r="F415" s="73">
        <v>46259</v>
      </c>
      <c r="G415" s="5">
        <v>20</v>
      </c>
      <c r="H415" s="6">
        <v>17982.02</v>
      </c>
    </row>
    <row r="416" spans="2:8" ht="20.149999999999999" customHeight="1">
      <c r="B416" s="4" t="s">
        <v>657</v>
      </c>
      <c r="C416" s="4" t="s">
        <v>569</v>
      </c>
      <c r="D416" s="4" t="s">
        <v>828</v>
      </c>
      <c r="E416" s="4" t="s">
        <v>332</v>
      </c>
      <c r="F416" s="73">
        <v>46259</v>
      </c>
      <c r="G416" s="5">
        <v>1500</v>
      </c>
      <c r="H416" s="6">
        <v>74925.070000000007</v>
      </c>
    </row>
    <row r="417" spans="2:8" ht="20.149999999999999" customHeight="1">
      <c r="B417" s="4" t="s">
        <v>714</v>
      </c>
      <c r="C417" s="4" t="s">
        <v>569</v>
      </c>
      <c r="D417" s="4" t="s">
        <v>1288</v>
      </c>
      <c r="E417" s="4" t="s">
        <v>110</v>
      </c>
      <c r="F417" s="73">
        <v>46259</v>
      </c>
      <c r="G417" s="5">
        <v>100</v>
      </c>
      <c r="H417" s="6">
        <v>12000</v>
      </c>
    </row>
    <row r="418" spans="2:8" ht="20.149999999999999" customHeight="1">
      <c r="B418" s="4" t="s">
        <v>628</v>
      </c>
      <c r="C418" s="4" t="s">
        <v>569</v>
      </c>
      <c r="D418" s="4" t="s">
        <v>828</v>
      </c>
      <c r="E418" s="4" t="s">
        <v>424</v>
      </c>
      <c r="F418" s="73">
        <v>46259</v>
      </c>
      <c r="G418" s="5">
        <v>60</v>
      </c>
      <c r="H418" s="6">
        <v>304779.96999999997</v>
      </c>
    </row>
    <row r="419" spans="2:8" ht="20.149999999999999" customHeight="1">
      <c r="B419" s="4" t="s">
        <v>628</v>
      </c>
      <c r="C419" s="4" t="s">
        <v>569</v>
      </c>
      <c r="D419" s="4" t="s">
        <v>828</v>
      </c>
      <c r="E419" s="4" t="s">
        <v>424</v>
      </c>
      <c r="F419" s="73">
        <v>46259</v>
      </c>
      <c r="G419" s="5">
        <v>40</v>
      </c>
      <c r="H419" s="6">
        <v>203186.64</v>
      </c>
    </row>
    <row r="420" spans="2:8" ht="20.149999999999999" customHeight="1">
      <c r="B420" s="4" t="s">
        <v>628</v>
      </c>
      <c r="C420" s="4" t="s">
        <v>569</v>
      </c>
      <c r="D420" s="4" t="s">
        <v>828</v>
      </c>
      <c r="E420" s="4" t="s">
        <v>357</v>
      </c>
      <c r="F420" s="73">
        <v>46259</v>
      </c>
      <c r="G420" s="5">
        <v>400</v>
      </c>
      <c r="H420" s="6">
        <v>2031866.44</v>
      </c>
    </row>
    <row r="421" spans="2:8" ht="20.149999999999999" customHeight="1">
      <c r="B421" s="4" t="s">
        <v>628</v>
      </c>
      <c r="C421" s="4" t="s">
        <v>569</v>
      </c>
      <c r="D421" s="4" t="s">
        <v>828</v>
      </c>
      <c r="E421" s="4" t="s">
        <v>431</v>
      </c>
      <c r="F421" s="73">
        <v>46259</v>
      </c>
      <c r="G421" s="5">
        <v>183</v>
      </c>
      <c r="H421" s="6">
        <v>929578.9</v>
      </c>
    </row>
    <row r="422" spans="2:8" ht="20.149999999999999" customHeight="1">
      <c r="B422" s="4" t="s">
        <v>628</v>
      </c>
      <c r="C422" s="4" t="s">
        <v>569</v>
      </c>
      <c r="D422" s="4" t="s">
        <v>828</v>
      </c>
      <c r="E422" s="4" t="s">
        <v>431</v>
      </c>
      <c r="F422" s="73">
        <v>46259</v>
      </c>
      <c r="G422" s="5">
        <v>17</v>
      </c>
      <c r="H422" s="6">
        <v>86354.32</v>
      </c>
    </row>
    <row r="423" spans="2:8" ht="20.149999999999999" customHeight="1">
      <c r="B423" s="4" t="s">
        <v>628</v>
      </c>
      <c r="C423" s="4" t="s">
        <v>569</v>
      </c>
      <c r="D423" s="4" t="s">
        <v>828</v>
      </c>
      <c r="E423" s="4" t="s">
        <v>120</v>
      </c>
      <c r="F423" s="73">
        <v>46259</v>
      </c>
      <c r="G423" s="5">
        <v>300</v>
      </c>
      <c r="H423" s="6">
        <v>1523899.83</v>
      </c>
    </row>
    <row r="424" spans="2:8" ht="20.149999999999999" customHeight="1">
      <c r="B424" s="4" t="s">
        <v>628</v>
      </c>
      <c r="C424" s="4" t="s">
        <v>569</v>
      </c>
      <c r="D424" s="4" t="s">
        <v>828</v>
      </c>
      <c r="E424" s="4" t="s">
        <v>424</v>
      </c>
      <c r="F424" s="73">
        <v>46259</v>
      </c>
      <c r="G424" s="5">
        <v>236</v>
      </c>
      <c r="H424" s="6">
        <v>1198801.2</v>
      </c>
    </row>
    <row r="425" spans="2:8" ht="20.149999999999999" customHeight="1">
      <c r="B425" s="4" t="s">
        <v>628</v>
      </c>
      <c r="C425" s="4" t="s">
        <v>569</v>
      </c>
      <c r="D425" s="4" t="s">
        <v>828</v>
      </c>
      <c r="E425" s="4" t="s">
        <v>357</v>
      </c>
      <c r="F425" s="73">
        <v>46259</v>
      </c>
      <c r="G425" s="5">
        <v>390</v>
      </c>
      <c r="H425" s="6">
        <v>1981069.78</v>
      </c>
    </row>
    <row r="426" spans="2:8" ht="20.149999999999999" customHeight="1">
      <c r="B426" s="4" t="s">
        <v>628</v>
      </c>
      <c r="C426" s="4" t="s">
        <v>569</v>
      </c>
      <c r="D426" s="4" t="s">
        <v>828</v>
      </c>
      <c r="E426" s="4" t="s">
        <v>431</v>
      </c>
      <c r="F426" s="73">
        <v>46259</v>
      </c>
      <c r="G426" s="5">
        <v>240</v>
      </c>
      <c r="H426" s="6">
        <v>1219119.8600000001</v>
      </c>
    </row>
    <row r="427" spans="2:8" ht="20.149999999999999" customHeight="1">
      <c r="B427" s="4" t="s">
        <v>628</v>
      </c>
      <c r="C427" s="4" t="s">
        <v>569</v>
      </c>
      <c r="D427" s="4" t="s">
        <v>828</v>
      </c>
      <c r="E427" s="4" t="s">
        <v>431</v>
      </c>
      <c r="F427" s="73">
        <v>46259</v>
      </c>
      <c r="G427" s="5">
        <v>126</v>
      </c>
      <c r="H427" s="6">
        <v>640037.93000000005</v>
      </c>
    </row>
    <row r="428" spans="2:8" ht="20.149999999999999" customHeight="1">
      <c r="B428" s="4" t="s">
        <v>775</v>
      </c>
      <c r="C428" s="4" t="s">
        <v>569</v>
      </c>
      <c r="D428" s="4" t="s">
        <v>1288</v>
      </c>
      <c r="E428" s="4" t="s">
        <v>115</v>
      </c>
      <c r="F428" s="73">
        <v>46259</v>
      </c>
      <c r="G428" s="5">
        <v>500</v>
      </c>
      <c r="H428" s="6">
        <v>351500</v>
      </c>
    </row>
    <row r="429" spans="2:8" ht="20.149999999999999" customHeight="1">
      <c r="B429" s="4" t="s">
        <v>775</v>
      </c>
      <c r="C429" s="4" t="s">
        <v>569</v>
      </c>
      <c r="D429" s="4" t="s">
        <v>1288</v>
      </c>
      <c r="E429" s="4" t="s">
        <v>115</v>
      </c>
      <c r="F429" s="73">
        <v>46259</v>
      </c>
      <c r="G429" s="5">
        <v>500</v>
      </c>
      <c r="H429" s="6">
        <v>351500</v>
      </c>
    </row>
    <row r="430" spans="2:8" ht="20.149999999999999" customHeight="1">
      <c r="B430" s="4" t="s">
        <v>682</v>
      </c>
      <c r="C430" s="4" t="s">
        <v>569</v>
      </c>
      <c r="D430" s="4" t="s">
        <v>828</v>
      </c>
      <c r="E430" s="4" t="s">
        <v>123</v>
      </c>
      <c r="F430" s="73">
        <v>46261</v>
      </c>
      <c r="G430" s="5">
        <v>100</v>
      </c>
      <c r="H430" s="6">
        <v>104403.8</v>
      </c>
    </row>
    <row r="431" spans="2:8" ht="20.149999999999999" customHeight="1">
      <c r="B431" s="4" t="s">
        <v>682</v>
      </c>
      <c r="C431" s="4" t="s">
        <v>569</v>
      </c>
      <c r="D431" s="4" t="s">
        <v>828</v>
      </c>
      <c r="E431" s="4" t="s">
        <v>652</v>
      </c>
      <c r="F431" s="73">
        <v>46261</v>
      </c>
      <c r="G431" s="5">
        <v>200</v>
      </c>
      <c r="H431" s="6">
        <v>208807.59</v>
      </c>
    </row>
    <row r="432" spans="2:8" ht="20.149999999999999" customHeight="1">
      <c r="B432" s="4" t="s">
        <v>628</v>
      </c>
      <c r="C432" s="4" t="s">
        <v>569</v>
      </c>
      <c r="D432" s="4" t="s">
        <v>828</v>
      </c>
      <c r="E432" s="4" t="s">
        <v>424</v>
      </c>
      <c r="F432" s="73">
        <v>46261</v>
      </c>
      <c r="G432" s="5">
        <v>164</v>
      </c>
      <c r="H432" s="6">
        <v>833065.24</v>
      </c>
    </row>
    <row r="433" spans="2:8" ht="20.149999999999999" customHeight="1">
      <c r="B433" s="4" t="s">
        <v>628</v>
      </c>
      <c r="C433" s="4" t="s">
        <v>569</v>
      </c>
      <c r="D433" s="4" t="s">
        <v>828</v>
      </c>
      <c r="E433" s="4" t="s">
        <v>357</v>
      </c>
      <c r="F433" s="73">
        <v>46261</v>
      </c>
      <c r="G433" s="5">
        <v>310</v>
      </c>
      <c r="H433" s="6">
        <v>1574696.49</v>
      </c>
    </row>
    <row r="434" spans="2:8" ht="20.149999999999999" customHeight="1">
      <c r="B434" s="4" t="s">
        <v>628</v>
      </c>
      <c r="C434" s="4" t="s">
        <v>569</v>
      </c>
      <c r="D434" s="4" t="s">
        <v>828</v>
      </c>
      <c r="E434" s="4" t="s">
        <v>431</v>
      </c>
      <c r="F434" s="73">
        <v>46261</v>
      </c>
      <c r="G434" s="5">
        <v>134</v>
      </c>
      <c r="H434" s="6">
        <v>680675.25</v>
      </c>
    </row>
    <row r="435" spans="2:8" ht="20.149999999999999" customHeight="1">
      <c r="B435" s="4" t="s">
        <v>764</v>
      </c>
      <c r="C435" s="4" t="s">
        <v>569</v>
      </c>
      <c r="D435" s="4" t="s">
        <v>824</v>
      </c>
      <c r="E435" s="4" t="s">
        <v>218</v>
      </c>
      <c r="F435" s="73">
        <v>46261</v>
      </c>
      <c r="G435" s="5">
        <v>50</v>
      </c>
      <c r="H435" s="6">
        <v>99900.1</v>
      </c>
    </row>
    <row r="436" spans="2:8" ht="20.149999999999999" customHeight="1">
      <c r="B436" s="4" t="s">
        <v>587</v>
      </c>
      <c r="C436" s="4" t="s">
        <v>569</v>
      </c>
      <c r="D436" s="4" t="s">
        <v>1288</v>
      </c>
      <c r="E436" s="4" t="s">
        <v>171</v>
      </c>
      <c r="F436" s="73">
        <v>46262</v>
      </c>
      <c r="G436" s="5">
        <v>800</v>
      </c>
      <c r="H436" s="6">
        <v>207792.21</v>
      </c>
    </row>
    <row r="437" spans="2:8" ht="20.149999999999999" customHeight="1">
      <c r="B437" s="4" t="s">
        <v>613</v>
      </c>
      <c r="C437" s="4" t="s">
        <v>569</v>
      </c>
      <c r="D437" s="4" t="s">
        <v>828</v>
      </c>
      <c r="E437" s="4" t="s">
        <v>332</v>
      </c>
      <c r="F437" s="73">
        <v>46262</v>
      </c>
      <c r="G437" s="5">
        <v>3000</v>
      </c>
      <c r="H437" s="6">
        <v>141000</v>
      </c>
    </row>
    <row r="438" spans="2:8" ht="20.149999999999999" customHeight="1">
      <c r="B438" s="4" t="s">
        <v>611</v>
      </c>
      <c r="C438" s="4" t="s">
        <v>569</v>
      </c>
      <c r="D438" s="4" t="s">
        <v>1288</v>
      </c>
      <c r="E438" s="4" t="s">
        <v>110</v>
      </c>
      <c r="F438" s="73">
        <v>46262</v>
      </c>
      <c r="G438" s="5">
        <v>1000</v>
      </c>
      <c r="H438" s="6">
        <v>118881.12</v>
      </c>
    </row>
    <row r="439" spans="2:8" ht="20.149999999999999" customHeight="1">
      <c r="B439" s="4" t="s">
        <v>611</v>
      </c>
      <c r="C439" s="4" t="s">
        <v>569</v>
      </c>
      <c r="D439" s="4" t="s">
        <v>1288</v>
      </c>
      <c r="E439" s="4" t="s">
        <v>115</v>
      </c>
      <c r="F439" s="73">
        <v>46262</v>
      </c>
      <c r="G439" s="5">
        <v>1000</v>
      </c>
      <c r="H439" s="6">
        <v>639360.64</v>
      </c>
    </row>
    <row r="440" spans="2:8" ht="20.149999999999999" customHeight="1">
      <c r="B440" s="4" t="s">
        <v>788</v>
      </c>
      <c r="C440" s="4" t="s">
        <v>1487</v>
      </c>
      <c r="D440" s="4" t="s">
        <v>1288</v>
      </c>
      <c r="E440" s="4" t="s">
        <v>110</v>
      </c>
      <c r="F440" s="73">
        <v>46262</v>
      </c>
      <c r="G440" s="5">
        <v>4000</v>
      </c>
      <c r="H440" s="6">
        <v>700000</v>
      </c>
    </row>
    <row r="441" spans="2:8" ht="20.149999999999999" customHeight="1">
      <c r="B441" s="4" t="s">
        <v>788</v>
      </c>
      <c r="C441" s="4" t="s">
        <v>1487</v>
      </c>
      <c r="D441" s="4" t="s">
        <v>1288</v>
      </c>
      <c r="E441" s="4" t="s">
        <v>110</v>
      </c>
      <c r="F441" s="73">
        <v>46262</v>
      </c>
      <c r="G441" s="5">
        <v>4000</v>
      </c>
      <c r="H441" s="6">
        <v>700000</v>
      </c>
    </row>
    <row r="442" spans="2:8" ht="20.149999999999999" customHeight="1">
      <c r="B442" s="4" t="s">
        <v>788</v>
      </c>
      <c r="C442" s="4" t="s">
        <v>1487</v>
      </c>
      <c r="D442" s="4" t="s">
        <v>1288</v>
      </c>
      <c r="E442" s="4" t="s">
        <v>110</v>
      </c>
      <c r="F442" s="73">
        <v>46262</v>
      </c>
      <c r="G442" s="5">
        <v>4000</v>
      </c>
      <c r="H442" s="6">
        <v>700000</v>
      </c>
    </row>
    <row r="443" spans="2:8" ht="20.149999999999999" customHeight="1">
      <c r="B443" s="4" t="s">
        <v>737</v>
      </c>
      <c r="C443" s="4" t="s">
        <v>569</v>
      </c>
      <c r="D443" s="4" t="s">
        <v>824</v>
      </c>
      <c r="E443" s="4" t="s">
        <v>326</v>
      </c>
      <c r="F443" s="73">
        <v>46262</v>
      </c>
      <c r="G443" s="5">
        <v>300</v>
      </c>
      <c r="H443" s="6">
        <v>138000</v>
      </c>
    </row>
    <row r="444" spans="2:8" ht="20.149999999999999" customHeight="1">
      <c r="B444" s="4" t="s">
        <v>737</v>
      </c>
      <c r="C444" s="4" t="s">
        <v>569</v>
      </c>
      <c r="D444" s="4" t="s">
        <v>824</v>
      </c>
      <c r="E444" s="4" t="s">
        <v>139</v>
      </c>
      <c r="F444" s="73">
        <v>46262</v>
      </c>
      <c r="G444" s="5">
        <v>300</v>
      </c>
      <c r="H444" s="6">
        <v>366000</v>
      </c>
    </row>
    <row r="445" spans="2:8" ht="20.149999999999999" customHeight="1">
      <c r="B445" s="4" t="s">
        <v>737</v>
      </c>
      <c r="C445" s="4" t="s">
        <v>569</v>
      </c>
      <c r="D445" s="4" t="s">
        <v>824</v>
      </c>
      <c r="E445" s="4" t="s">
        <v>163</v>
      </c>
      <c r="F445" s="73">
        <v>46262</v>
      </c>
      <c r="G445" s="5">
        <v>200</v>
      </c>
      <c r="H445" s="6">
        <v>23000</v>
      </c>
    </row>
    <row r="446" spans="2:8" ht="20.149999999999999" customHeight="1">
      <c r="B446" s="4" t="s">
        <v>1400</v>
      </c>
      <c r="C446" s="4" t="s">
        <v>569</v>
      </c>
      <c r="D446" s="4" t="s">
        <v>1288</v>
      </c>
      <c r="E446" s="4" t="s">
        <v>110</v>
      </c>
      <c r="F446" s="73">
        <v>46219</v>
      </c>
      <c r="G446" s="5">
        <v>-10000</v>
      </c>
      <c r="H446" s="6">
        <v>-319680.32</v>
      </c>
    </row>
    <row r="447" spans="2:8" ht="20.149999999999999" customHeight="1">
      <c r="B447" s="4" t="s">
        <v>671</v>
      </c>
      <c r="C447" s="4" t="s">
        <v>569</v>
      </c>
      <c r="D447" s="4" t="s">
        <v>828</v>
      </c>
      <c r="E447" s="4" t="s">
        <v>133</v>
      </c>
      <c r="F447" s="73">
        <v>46224</v>
      </c>
      <c r="G447" s="5">
        <v>-1000</v>
      </c>
      <c r="H447" s="6">
        <v>-101694.92</v>
      </c>
    </row>
    <row r="448" spans="2:8" ht="20.149999999999999" customHeight="1">
      <c r="B448" s="4" t="s">
        <v>671</v>
      </c>
      <c r="C448" s="4" t="s">
        <v>569</v>
      </c>
      <c r="D448" s="4" t="s">
        <v>828</v>
      </c>
      <c r="E448" s="4" t="s">
        <v>133</v>
      </c>
      <c r="F448" s="73">
        <v>46224</v>
      </c>
      <c r="G448" s="5">
        <v>-1000</v>
      </c>
      <c r="H448" s="6">
        <v>-101694.92</v>
      </c>
    </row>
    <row r="449" spans="2:8" ht="20.149999999999999" customHeight="1">
      <c r="B449" s="4" t="s">
        <v>671</v>
      </c>
      <c r="C449" s="4" t="s">
        <v>569</v>
      </c>
      <c r="D449" s="4" t="s">
        <v>828</v>
      </c>
      <c r="E449" s="4" t="s">
        <v>133</v>
      </c>
      <c r="F449" s="73">
        <v>46224</v>
      </c>
      <c r="G449" s="5">
        <v>-770</v>
      </c>
      <c r="H449" s="6">
        <v>-78305.09</v>
      </c>
    </row>
    <row r="450" spans="2:8" ht="20.149999999999999" customHeight="1">
      <c r="B450" s="4" t="s">
        <v>746</v>
      </c>
      <c r="C450" s="4" t="s">
        <v>569</v>
      </c>
      <c r="D450" s="4" t="s">
        <v>824</v>
      </c>
      <c r="E450" s="4" t="s">
        <v>218</v>
      </c>
      <c r="F450" s="73">
        <v>46268</v>
      </c>
      <c r="G450" s="5">
        <v>117</v>
      </c>
      <c r="H450" s="6">
        <v>239610.39</v>
      </c>
    </row>
    <row r="451" spans="2:8" ht="20.149999999999999" customHeight="1">
      <c r="B451" s="4" t="s">
        <v>786</v>
      </c>
      <c r="C451" s="4" t="s">
        <v>569</v>
      </c>
      <c r="D451" s="4" t="s">
        <v>828</v>
      </c>
      <c r="E451" s="4" t="s">
        <v>424</v>
      </c>
      <c r="F451" s="73">
        <v>46268</v>
      </c>
      <c r="G451" s="5">
        <v>8</v>
      </c>
      <c r="H451" s="6">
        <v>48000</v>
      </c>
    </row>
    <row r="452" spans="2:8" ht="20.149999999999999" customHeight="1">
      <c r="B452" s="4" t="s">
        <v>786</v>
      </c>
      <c r="C452" s="4" t="s">
        <v>569</v>
      </c>
      <c r="D452" s="4" t="s">
        <v>828</v>
      </c>
      <c r="E452" s="4" t="s">
        <v>357</v>
      </c>
      <c r="F452" s="73">
        <v>46268</v>
      </c>
      <c r="G452" s="5">
        <v>16</v>
      </c>
      <c r="H452" s="6">
        <v>96000</v>
      </c>
    </row>
    <row r="453" spans="2:8" ht="20.149999999999999" customHeight="1">
      <c r="B453" s="4" t="s">
        <v>786</v>
      </c>
      <c r="C453" s="4" t="s">
        <v>569</v>
      </c>
      <c r="D453" s="4" t="s">
        <v>828</v>
      </c>
      <c r="E453" s="4" t="s">
        <v>123</v>
      </c>
      <c r="F453" s="73">
        <v>46268</v>
      </c>
      <c r="G453" s="5">
        <v>100</v>
      </c>
      <c r="H453" s="6">
        <v>99000</v>
      </c>
    </row>
    <row r="454" spans="2:8" ht="20.149999999999999" customHeight="1">
      <c r="B454" s="4" t="s">
        <v>786</v>
      </c>
      <c r="C454" s="4" t="s">
        <v>569</v>
      </c>
      <c r="D454" s="4" t="s">
        <v>828</v>
      </c>
      <c r="E454" s="4" t="s">
        <v>124</v>
      </c>
      <c r="F454" s="73">
        <v>46268</v>
      </c>
      <c r="G454" s="5">
        <v>100</v>
      </c>
      <c r="H454" s="6">
        <v>99000</v>
      </c>
    </row>
    <row r="455" spans="2:8" ht="20.149999999999999" customHeight="1">
      <c r="B455" s="4" t="s">
        <v>786</v>
      </c>
      <c r="C455" s="4" t="s">
        <v>569</v>
      </c>
      <c r="D455" s="4" t="s">
        <v>828</v>
      </c>
      <c r="E455" s="4" t="s">
        <v>1642</v>
      </c>
      <c r="F455" s="73">
        <v>46268</v>
      </c>
      <c r="G455" s="5">
        <v>7000</v>
      </c>
      <c r="H455" s="6">
        <v>336000</v>
      </c>
    </row>
    <row r="456" spans="2:8" ht="20.149999999999999" customHeight="1">
      <c r="B456" s="4" t="s">
        <v>650</v>
      </c>
      <c r="C456" s="4" t="s">
        <v>569</v>
      </c>
      <c r="D456" s="4" t="s">
        <v>1288</v>
      </c>
      <c r="E456" s="4" t="s">
        <v>592</v>
      </c>
      <c r="F456" s="73">
        <v>46269</v>
      </c>
      <c r="G456" s="5">
        <v>25000</v>
      </c>
      <c r="H456" s="6">
        <v>500000</v>
      </c>
    </row>
    <row r="457" spans="2:8" ht="20.149999999999999" customHeight="1">
      <c r="B457" s="4" t="s">
        <v>754</v>
      </c>
      <c r="C457" s="4" t="s">
        <v>569</v>
      </c>
      <c r="D457" s="4" t="s">
        <v>828</v>
      </c>
      <c r="E457" s="4" t="s">
        <v>332</v>
      </c>
      <c r="F457" s="73">
        <v>46275</v>
      </c>
      <c r="G457" s="5">
        <v>1000</v>
      </c>
      <c r="H457" s="6">
        <v>47952.05</v>
      </c>
    </row>
    <row r="458" spans="2:8" ht="20.149999999999999" customHeight="1">
      <c r="B458" s="4" t="s">
        <v>2302</v>
      </c>
      <c r="C458" s="4" t="s">
        <v>569</v>
      </c>
      <c r="D458" s="4" t="s">
        <v>1288</v>
      </c>
      <c r="E458" s="4" t="s">
        <v>238</v>
      </c>
      <c r="F458" s="73">
        <v>46275</v>
      </c>
      <c r="G458" s="5">
        <v>400</v>
      </c>
      <c r="H458" s="6">
        <v>24000</v>
      </c>
    </row>
    <row r="459" spans="2:8" ht="20.149999999999999" customHeight="1">
      <c r="B459" s="4" t="s">
        <v>808</v>
      </c>
      <c r="C459" s="4" t="s">
        <v>569</v>
      </c>
      <c r="D459" s="4" t="s">
        <v>828</v>
      </c>
      <c r="E459" s="4" t="s">
        <v>332</v>
      </c>
      <c r="F459" s="73">
        <v>46279</v>
      </c>
      <c r="G459" s="5">
        <v>30000</v>
      </c>
      <c r="H459" s="6">
        <v>1462500</v>
      </c>
    </row>
    <row r="460" spans="2:8" ht="20.149999999999999" customHeight="1">
      <c r="B460" s="4" t="s">
        <v>613</v>
      </c>
      <c r="C460" s="4" t="s">
        <v>569</v>
      </c>
      <c r="D460" s="4" t="s">
        <v>828</v>
      </c>
      <c r="E460" s="4" t="s">
        <v>332</v>
      </c>
      <c r="F460" s="73">
        <v>46279</v>
      </c>
      <c r="G460" s="5">
        <v>3000</v>
      </c>
      <c r="H460" s="6">
        <v>141000</v>
      </c>
    </row>
    <row r="461" spans="2:8" ht="20.149999999999999" customHeight="1">
      <c r="B461" s="4" t="s">
        <v>682</v>
      </c>
      <c r="C461" s="4" t="s">
        <v>569</v>
      </c>
      <c r="D461" s="4" t="s">
        <v>828</v>
      </c>
      <c r="E461" s="4" t="s">
        <v>123</v>
      </c>
      <c r="F461" s="73">
        <v>46279</v>
      </c>
      <c r="G461" s="5">
        <v>100</v>
      </c>
      <c r="H461" s="6">
        <v>108050.85</v>
      </c>
    </row>
    <row r="462" spans="2:8" ht="20.149999999999999" customHeight="1">
      <c r="B462" s="4" t="s">
        <v>682</v>
      </c>
      <c r="C462" s="4" t="s">
        <v>569</v>
      </c>
      <c r="D462" s="4" t="s">
        <v>828</v>
      </c>
      <c r="E462" s="4" t="s">
        <v>652</v>
      </c>
      <c r="F462" s="73">
        <v>46279</v>
      </c>
      <c r="G462" s="5">
        <v>200</v>
      </c>
      <c r="H462" s="6">
        <v>216101.7</v>
      </c>
    </row>
    <row r="463" spans="2:8" ht="20.149999999999999" customHeight="1">
      <c r="B463" s="4" t="s">
        <v>682</v>
      </c>
      <c r="C463" s="4" t="s">
        <v>569</v>
      </c>
      <c r="D463" s="4" t="s">
        <v>828</v>
      </c>
      <c r="E463" s="4" t="s">
        <v>123</v>
      </c>
      <c r="F463" s="73">
        <v>46279</v>
      </c>
      <c r="G463" s="5">
        <v>-100</v>
      </c>
      <c r="H463" s="6">
        <v>-104403.8</v>
      </c>
    </row>
    <row r="464" spans="2:8" ht="20.149999999999999" customHeight="1">
      <c r="B464" s="4" t="s">
        <v>682</v>
      </c>
      <c r="C464" s="4" t="s">
        <v>569</v>
      </c>
      <c r="D464" s="4" t="s">
        <v>828</v>
      </c>
      <c r="E464" s="4" t="s">
        <v>652</v>
      </c>
      <c r="F464" s="73">
        <v>46279</v>
      </c>
      <c r="G464" s="5">
        <v>-200</v>
      </c>
      <c r="H464" s="6">
        <v>-208807.59</v>
      </c>
    </row>
    <row r="465" spans="2:8" ht="20.149999999999999" customHeight="1">
      <c r="B465" s="4" t="s">
        <v>671</v>
      </c>
      <c r="C465" s="4" t="s">
        <v>569</v>
      </c>
      <c r="D465" s="4" t="s">
        <v>828</v>
      </c>
      <c r="E465" s="4" t="s">
        <v>1642</v>
      </c>
      <c r="F465" s="73">
        <v>46279</v>
      </c>
      <c r="G465" s="5">
        <v>2000</v>
      </c>
      <c r="H465" s="6">
        <v>100000</v>
      </c>
    </row>
    <row r="466" spans="2:8" ht="20.149999999999999" customHeight="1">
      <c r="B466" s="4" t="s">
        <v>660</v>
      </c>
      <c r="C466" s="4" t="s">
        <v>569</v>
      </c>
      <c r="D466" s="4" t="s">
        <v>828</v>
      </c>
      <c r="E466" s="4" t="s">
        <v>332</v>
      </c>
      <c r="F466" s="73">
        <v>46279</v>
      </c>
      <c r="G466" s="5">
        <v>5000</v>
      </c>
      <c r="H466" s="6">
        <v>239760.24</v>
      </c>
    </row>
    <row r="467" spans="2:8" ht="20.149999999999999" customHeight="1">
      <c r="B467" s="4" t="s">
        <v>1402</v>
      </c>
      <c r="C467" s="4" t="s">
        <v>569</v>
      </c>
      <c r="D467" s="4" t="s">
        <v>828</v>
      </c>
      <c r="E467" s="4" t="s">
        <v>357</v>
      </c>
      <c r="F467" s="73">
        <v>46279</v>
      </c>
      <c r="G467" s="5">
        <v>9</v>
      </c>
      <c r="H467" s="6">
        <v>54000</v>
      </c>
    </row>
    <row r="468" spans="2:8" ht="20.149999999999999" customHeight="1">
      <c r="B468" s="4" t="s">
        <v>1402</v>
      </c>
      <c r="C468" s="4" t="s">
        <v>569</v>
      </c>
      <c r="D468" s="4" t="s">
        <v>828</v>
      </c>
      <c r="E468" s="4" t="s">
        <v>424</v>
      </c>
      <c r="F468" s="73">
        <v>46279</v>
      </c>
      <c r="G468" s="5">
        <v>15</v>
      </c>
      <c r="H468" s="6">
        <v>90000</v>
      </c>
    </row>
    <row r="469" spans="2:8" ht="20.149999999999999" customHeight="1">
      <c r="B469" s="4" t="s">
        <v>684</v>
      </c>
      <c r="C469" s="4" t="s">
        <v>569</v>
      </c>
      <c r="D469" s="4" t="s">
        <v>828</v>
      </c>
      <c r="E469" s="4" t="s">
        <v>424</v>
      </c>
      <c r="F469" s="73">
        <v>46279</v>
      </c>
      <c r="G469" s="5">
        <v>6</v>
      </c>
      <c r="H469" s="6">
        <v>33000</v>
      </c>
    </row>
    <row r="470" spans="2:8" ht="20.149999999999999" customHeight="1">
      <c r="B470" s="4" t="s">
        <v>734</v>
      </c>
      <c r="C470" s="4" t="s">
        <v>569</v>
      </c>
      <c r="D470" s="4" t="s">
        <v>828</v>
      </c>
      <c r="E470" s="4" t="s">
        <v>410</v>
      </c>
      <c r="F470" s="73">
        <v>46268</v>
      </c>
      <c r="G470" s="5">
        <v>1500</v>
      </c>
      <c r="H470" s="6">
        <v>139690.81</v>
      </c>
    </row>
    <row r="471" spans="2:8" ht="20.149999999999999" customHeight="1">
      <c r="B471" s="4" t="s">
        <v>598</v>
      </c>
      <c r="C471" s="4" t="s">
        <v>569</v>
      </c>
      <c r="D471" s="4" t="s">
        <v>828</v>
      </c>
      <c r="E471" s="4" t="s">
        <v>424</v>
      </c>
      <c r="F471" s="73">
        <v>46268</v>
      </c>
      <c r="G471" s="5">
        <v>32</v>
      </c>
      <c r="H471" s="6">
        <v>162549.31</v>
      </c>
    </row>
    <row r="472" spans="2:8" ht="20.149999999999999" customHeight="1">
      <c r="B472" s="4" t="s">
        <v>598</v>
      </c>
      <c r="C472" s="4" t="s">
        <v>569</v>
      </c>
      <c r="D472" s="4" t="s">
        <v>828</v>
      </c>
      <c r="E472" s="4" t="s">
        <v>410</v>
      </c>
      <c r="F472" s="73">
        <v>46268</v>
      </c>
      <c r="G472" s="5">
        <v>2000</v>
      </c>
      <c r="H472" s="6">
        <v>203186.64</v>
      </c>
    </row>
    <row r="473" spans="2:8" ht="20.149999999999999" customHeight="1">
      <c r="B473" s="4" t="s">
        <v>647</v>
      </c>
      <c r="C473" s="4" t="s">
        <v>569</v>
      </c>
      <c r="D473" s="4" t="s">
        <v>824</v>
      </c>
      <c r="E473" s="4" t="s">
        <v>326</v>
      </c>
      <c r="F473" s="73">
        <v>46268</v>
      </c>
      <c r="G473" s="5">
        <v>250</v>
      </c>
      <c r="H473" s="6">
        <v>109890.11</v>
      </c>
    </row>
    <row r="474" spans="2:8" ht="20.149999999999999" customHeight="1">
      <c r="B474" s="4" t="s">
        <v>647</v>
      </c>
      <c r="C474" s="4" t="s">
        <v>569</v>
      </c>
      <c r="D474" s="4" t="s">
        <v>824</v>
      </c>
      <c r="E474" s="4" t="s">
        <v>144</v>
      </c>
      <c r="F474" s="73">
        <v>46268</v>
      </c>
      <c r="G474" s="5">
        <v>250</v>
      </c>
      <c r="H474" s="6">
        <v>287212.78999999998</v>
      </c>
    </row>
    <row r="475" spans="2:8" ht="20.149999999999999" customHeight="1">
      <c r="B475" s="4" t="s">
        <v>654</v>
      </c>
      <c r="C475" s="4" t="s">
        <v>569</v>
      </c>
      <c r="D475" s="4" t="s">
        <v>1288</v>
      </c>
      <c r="E475" s="4" t="s">
        <v>171</v>
      </c>
      <c r="F475" s="73">
        <v>46268</v>
      </c>
      <c r="G475" s="5">
        <v>600</v>
      </c>
      <c r="H475" s="6">
        <v>149850.15</v>
      </c>
    </row>
    <row r="476" spans="2:8" ht="20.149999999999999" customHeight="1">
      <c r="B476" s="4" t="s">
        <v>654</v>
      </c>
      <c r="C476" s="4" t="s">
        <v>569</v>
      </c>
      <c r="D476" s="4" t="s">
        <v>1288</v>
      </c>
      <c r="E476" s="4" t="s">
        <v>115</v>
      </c>
      <c r="F476" s="73">
        <v>46268</v>
      </c>
      <c r="G476" s="5">
        <v>600</v>
      </c>
      <c r="H476" s="6">
        <v>389610.39</v>
      </c>
    </row>
    <row r="477" spans="2:8" ht="20.149999999999999" customHeight="1">
      <c r="B477" s="4" t="s">
        <v>583</v>
      </c>
      <c r="C477" s="4" t="s">
        <v>569</v>
      </c>
      <c r="D477" s="4" t="s">
        <v>1288</v>
      </c>
      <c r="E477" s="4" t="s">
        <v>171</v>
      </c>
      <c r="F477" s="73">
        <v>46268</v>
      </c>
      <c r="G477" s="5">
        <v>3000</v>
      </c>
      <c r="H477" s="6">
        <v>695304.7</v>
      </c>
    </row>
    <row r="478" spans="2:8" ht="20.149999999999999" customHeight="1">
      <c r="B478" s="4" t="s">
        <v>583</v>
      </c>
      <c r="C478" s="4" t="s">
        <v>569</v>
      </c>
      <c r="D478" s="4" t="s">
        <v>1288</v>
      </c>
      <c r="E478" s="4" t="s">
        <v>238</v>
      </c>
      <c r="F478" s="73">
        <v>46268</v>
      </c>
      <c r="G478" s="5">
        <v>3000</v>
      </c>
      <c r="H478" s="6">
        <v>143856.14000000001</v>
      </c>
    </row>
    <row r="479" spans="2:8" ht="20.149999999999999" customHeight="1">
      <c r="B479" s="4" t="s">
        <v>583</v>
      </c>
      <c r="C479" s="4" t="s">
        <v>569</v>
      </c>
      <c r="D479" s="4" t="s">
        <v>1288</v>
      </c>
      <c r="E479" s="4" t="s">
        <v>592</v>
      </c>
      <c r="F479" s="73">
        <v>46268</v>
      </c>
      <c r="G479" s="5">
        <v>100000</v>
      </c>
      <c r="H479" s="6">
        <v>1998002</v>
      </c>
    </row>
    <row r="480" spans="2:8" ht="20.149999999999999" customHeight="1">
      <c r="B480" s="4" t="s">
        <v>583</v>
      </c>
      <c r="C480" s="4" t="s">
        <v>569</v>
      </c>
      <c r="D480" s="4" t="s">
        <v>1288</v>
      </c>
      <c r="E480" s="4" t="s">
        <v>115</v>
      </c>
      <c r="F480" s="73">
        <v>46268</v>
      </c>
      <c r="G480" s="5">
        <v>1000</v>
      </c>
      <c r="H480" s="6">
        <v>629370.63</v>
      </c>
    </row>
    <row r="481" spans="2:8" ht="20.149999999999999" customHeight="1">
      <c r="B481" s="4" t="s">
        <v>583</v>
      </c>
      <c r="C481" s="4" t="s">
        <v>569</v>
      </c>
      <c r="D481" s="4" t="s">
        <v>1288</v>
      </c>
      <c r="E481" s="4" t="s">
        <v>115</v>
      </c>
      <c r="F481" s="73">
        <v>46268</v>
      </c>
      <c r="G481" s="5">
        <v>1000</v>
      </c>
      <c r="H481" s="6">
        <v>629370.63</v>
      </c>
    </row>
    <row r="482" spans="2:8" ht="20.149999999999999" customHeight="1">
      <c r="B482" s="4" t="s">
        <v>668</v>
      </c>
      <c r="C482" s="4" t="s">
        <v>569</v>
      </c>
      <c r="D482" s="4" t="s">
        <v>828</v>
      </c>
      <c r="E482" s="4" t="s">
        <v>123</v>
      </c>
      <c r="F482" s="73">
        <v>46268</v>
      </c>
      <c r="G482" s="5">
        <v>100</v>
      </c>
      <c r="H482" s="6">
        <v>115000</v>
      </c>
    </row>
    <row r="483" spans="2:8" ht="20.149999999999999" customHeight="1">
      <c r="B483" s="4" t="s">
        <v>668</v>
      </c>
      <c r="C483" s="4" t="s">
        <v>569</v>
      </c>
      <c r="D483" s="4" t="s">
        <v>828</v>
      </c>
      <c r="E483" s="4" t="s">
        <v>652</v>
      </c>
      <c r="F483" s="73">
        <v>46268</v>
      </c>
      <c r="G483" s="5">
        <v>25</v>
      </c>
      <c r="H483" s="6">
        <v>28750</v>
      </c>
    </row>
    <row r="484" spans="2:8" ht="20.149999999999999" customHeight="1">
      <c r="B484" s="4" t="s">
        <v>668</v>
      </c>
      <c r="C484" s="4" t="s">
        <v>569</v>
      </c>
      <c r="D484" s="4" t="s">
        <v>828</v>
      </c>
      <c r="E484" s="4" t="s">
        <v>124</v>
      </c>
      <c r="F484" s="73">
        <v>46268</v>
      </c>
      <c r="G484" s="5">
        <v>25</v>
      </c>
      <c r="H484" s="6">
        <v>28750</v>
      </c>
    </row>
    <row r="485" spans="2:8" ht="20.149999999999999" customHeight="1">
      <c r="B485" s="4" t="s">
        <v>707</v>
      </c>
      <c r="C485" s="4" t="s">
        <v>569</v>
      </c>
      <c r="D485" s="4" t="s">
        <v>1288</v>
      </c>
      <c r="E485" s="4" t="s">
        <v>115</v>
      </c>
      <c r="F485" s="73">
        <v>46268</v>
      </c>
      <c r="G485" s="5">
        <v>1000</v>
      </c>
      <c r="H485" s="6">
        <v>684315.68</v>
      </c>
    </row>
    <row r="486" spans="2:8" ht="20.149999999999999" customHeight="1">
      <c r="B486" s="4" t="s">
        <v>602</v>
      </c>
      <c r="C486" s="4" t="s">
        <v>569</v>
      </c>
      <c r="D486" s="4" t="s">
        <v>828</v>
      </c>
      <c r="E486" s="4" t="s">
        <v>332</v>
      </c>
      <c r="F486" s="73">
        <v>46268</v>
      </c>
      <c r="G486" s="5">
        <v>5000</v>
      </c>
      <c r="H486" s="6">
        <v>290000</v>
      </c>
    </row>
    <row r="487" spans="2:8" ht="20.149999999999999" customHeight="1">
      <c r="B487" s="4" t="s">
        <v>636</v>
      </c>
      <c r="C487" s="4" t="s">
        <v>569</v>
      </c>
      <c r="D487" s="4" t="s">
        <v>824</v>
      </c>
      <c r="E487" s="4" t="s">
        <v>139</v>
      </c>
      <c r="F487" s="73">
        <v>46268</v>
      </c>
      <c r="G487" s="5">
        <v>3104</v>
      </c>
      <c r="H487" s="6">
        <v>3224935.06</v>
      </c>
    </row>
    <row r="488" spans="2:8" ht="20.149999999999999" customHeight="1">
      <c r="B488" s="4" t="s">
        <v>714</v>
      </c>
      <c r="C488" s="4" t="s">
        <v>569</v>
      </c>
      <c r="D488" s="4" t="s">
        <v>1288</v>
      </c>
      <c r="E488" s="4" t="s">
        <v>110</v>
      </c>
      <c r="F488" s="73">
        <v>46268</v>
      </c>
      <c r="G488" s="5">
        <v>1100</v>
      </c>
      <c r="H488" s="6">
        <v>132000</v>
      </c>
    </row>
    <row r="489" spans="2:8" ht="20.149999999999999" customHeight="1">
      <c r="B489" s="4" t="s">
        <v>715</v>
      </c>
      <c r="C489" s="4" t="s">
        <v>569</v>
      </c>
      <c r="D489" s="4" t="s">
        <v>824</v>
      </c>
      <c r="E489" s="4" t="s">
        <v>187</v>
      </c>
      <c r="F489" s="73">
        <v>46268</v>
      </c>
      <c r="G489" s="5">
        <v>150</v>
      </c>
      <c r="H489" s="6">
        <v>52238.81</v>
      </c>
    </row>
    <row r="490" spans="2:8" ht="20.149999999999999" customHeight="1">
      <c r="B490" s="4" t="s">
        <v>1720</v>
      </c>
      <c r="C490" s="4" t="s">
        <v>569</v>
      </c>
      <c r="D490" s="4" t="s">
        <v>828</v>
      </c>
      <c r="E490" s="4" t="s">
        <v>358</v>
      </c>
      <c r="F490" s="73">
        <v>46268</v>
      </c>
      <c r="G490" s="5">
        <v>8</v>
      </c>
      <c r="H490" s="6">
        <v>42580.37</v>
      </c>
    </row>
    <row r="491" spans="2:8" ht="20.149999999999999" customHeight="1">
      <c r="B491" s="4" t="s">
        <v>1720</v>
      </c>
      <c r="C491" s="4" t="s">
        <v>569</v>
      </c>
      <c r="D491" s="4" t="s">
        <v>828</v>
      </c>
      <c r="E491" s="4" t="s">
        <v>120</v>
      </c>
      <c r="F491" s="73">
        <v>46268</v>
      </c>
      <c r="G491" s="5">
        <v>8</v>
      </c>
      <c r="H491" s="6">
        <v>42580.37</v>
      </c>
    </row>
    <row r="492" spans="2:8" ht="20.149999999999999" customHeight="1">
      <c r="B492" s="4" t="s">
        <v>1720</v>
      </c>
      <c r="C492" s="4" t="s">
        <v>569</v>
      </c>
      <c r="D492" s="4" t="s">
        <v>828</v>
      </c>
      <c r="E492" s="4" t="s">
        <v>271</v>
      </c>
      <c r="F492" s="73">
        <v>46268</v>
      </c>
      <c r="G492" s="5">
        <v>8</v>
      </c>
      <c r="H492" s="6">
        <v>42580.37</v>
      </c>
    </row>
    <row r="493" spans="2:8" ht="20.149999999999999" customHeight="1">
      <c r="B493" s="4" t="s">
        <v>618</v>
      </c>
      <c r="C493" s="4" t="s">
        <v>1487</v>
      </c>
      <c r="D493" s="4" t="s">
        <v>1288</v>
      </c>
      <c r="E493" s="4" t="s">
        <v>103</v>
      </c>
      <c r="F493" s="73">
        <v>46268</v>
      </c>
      <c r="G493" s="5">
        <v>11000</v>
      </c>
      <c r="H493" s="6">
        <v>7150000</v>
      </c>
    </row>
    <row r="494" spans="2:8" ht="20.149999999999999" customHeight="1">
      <c r="B494" s="4" t="s">
        <v>618</v>
      </c>
      <c r="C494" s="4" t="s">
        <v>1487</v>
      </c>
      <c r="D494" s="4" t="s">
        <v>1288</v>
      </c>
      <c r="E494" s="4" t="s">
        <v>115</v>
      </c>
      <c r="F494" s="73">
        <v>46268</v>
      </c>
      <c r="G494" s="5">
        <v>6000</v>
      </c>
      <c r="H494" s="6">
        <v>4770000</v>
      </c>
    </row>
    <row r="495" spans="2:8" ht="20.149999999999999" customHeight="1">
      <c r="B495" s="4" t="s">
        <v>1298</v>
      </c>
      <c r="C495" s="4" t="s">
        <v>569</v>
      </c>
      <c r="D495" s="4" t="s">
        <v>828</v>
      </c>
      <c r="E495" s="4" t="s">
        <v>541</v>
      </c>
      <c r="F495" s="73">
        <v>46268</v>
      </c>
      <c r="G495" s="5">
        <v>1000</v>
      </c>
      <c r="H495" s="6">
        <v>45644.07</v>
      </c>
    </row>
    <row r="496" spans="2:8" ht="20.149999999999999" customHeight="1">
      <c r="B496" s="4" t="s">
        <v>1298</v>
      </c>
      <c r="C496" s="4" t="s">
        <v>569</v>
      </c>
      <c r="D496" s="4" t="s">
        <v>828</v>
      </c>
      <c r="E496" s="4" t="s">
        <v>545</v>
      </c>
      <c r="F496" s="73">
        <v>46268</v>
      </c>
      <c r="G496" s="5">
        <v>1000</v>
      </c>
      <c r="H496" s="6">
        <v>45644.07</v>
      </c>
    </row>
    <row r="497" spans="2:8" ht="20.149999999999999" customHeight="1">
      <c r="B497" s="4" t="s">
        <v>598</v>
      </c>
      <c r="C497" s="4" t="s">
        <v>569</v>
      </c>
      <c r="D497" s="4" t="s">
        <v>828</v>
      </c>
      <c r="E497" s="4" t="s">
        <v>133</v>
      </c>
      <c r="F497" s="73">
        <v>46269</v>
      </c>
      <c r="G497" s="5">
        <v>2000</v>
      </c>
      <c r="H497" s="6">
        <v>162549.31</v>
      </c>
    </row>
    <row r="498" spans="2:8" ht="20.149999999999999" customHeight="1">
      <c r="B498" s="4" t="s">
        <v>692</v>
      </c>
      <c r="C498" s="4" t="s">
        <v>569</v>
      </c>
      <c r="D498" s="4" t="s">
        <v>828</v>
      </c>
      <c r="E498" s="4" t="s">
        <v>271</v>
      </c>
      <c r="F498" s="73">
        <v>46269</v>
      </c>
      <c r="G498" s="5">
        <v>10</v>
      </c>
      <c r="H498" s="6">
        <v>53813.56</v>
      </c>
    </row>
    <row r="499" spans="2:8" ht="20.149999999999999" customHeight="1">
      <c r="B499" s="4" t="s">
        <v>611</v>
      </c>
      <c r="C499" s="4" t="s">
        <v>569</v>
      </c>
      <c r="D499" s="4" t="s">
        <v>1288</v>
      </c>
      <c r="E499" s="4" t="s">
        <v>110</v>
      </c>
      <c r="F499" s="73">
        <v>46269</v>
      </c>
      <c r="G499" s="5">
        <v>1000</v>
      </c>
      <c r="H499" s="6">
        <v>118881.12</v>
      </c>
    </row>
    <row r="500" spans="2:8" ht="20.149999999999999" customHeight="1">
      <c r="B500" s="4" t="s">
        <v>611</v>
      </c>
      <c r="C500" s="4" t="s">
        <v>569</v>
      </c>
      <c r="D500" s="4" t="s">
        <v>1288</v>
      </c>
      <c r="E500" s="4" t="s">
        <v>115</v>
      </c>
      <c r="F500" s="73">
        <v>46269</v>
      </c>
      <c r="G500" s="5">
        <v>1000</v>
      </c>
      <c r="H500" s="6">
        <v>639360.64</v>
      </c>
    </row>
    <row r="501" spans="2:8" ht="20.149999999999999" customHeight="1">
      <c r="B501" s="4" t="s">
        <v>607</v>
      </c>
      <c r="C501" s="4" t="s">
        <v>569</v>
      </c>
      <c r="D501" s="4" t="s">
        <v>828</v>
      </c>
      <c r="E501" s="4" t="s">
        <v>424</v>
      </c>
      <c r="F501" s="73">
        <v>46272</v>
      </c>
      <c r="G501" s="5">
        <v>1</v>
      </c>
      <c r="H501" s="6">
        <v>6000</v>
      </c>
    </row>
    <row r="502" spans="2:8" ht="20.149999999999999" customHeight="1">
      <c r="B502" s="4" t="s">
        <v>607</v>
      </c>
      <c r="C502" s="4" t="s">
        <v>569</v>
      </c>
      <c r="D502" s="4" t="s">
        <v>828</v>
      </c>
      <c r="E502" s="4" t="s">
        <v>357</v>
      </c>
      <c r="F502" s="73">
        <v>46272</v>
      </c>
      <c r="G502" s="5">
        <v>1</v>
      </c>
      <c r="H502" s="6">
        <v>6000</v>
      </c>
    </row>
    <row r="503" spans="2:8" ht="20.149999999999999" customHeight="1">
      <c r="B503" s="4" t="s">
        <v>743</v>
      </c>
      <c r="C503" s="4" t="s">
        <v>569</v>
      </c>
      <c r="D503" s="4" t="s">
        <v>824</v>
      </c>
      <c r="E503" s="4" t="s">
        <v>218</v>
      </c>
      <c r="F503" s="73">
        <v>46272</v>
      </c>
      <c r="G503" s="5">
        <v>100</v>
      </c>
      <c r="H503" s="6">
        <v>204795.2</v>
      </c>
    </row>
    <row r="504" spans="2:8" ht="20.149999999999999" customHeight="1">
      <c r="B504" s="4" t="s">
        <v>660</v>
      </c>
      <c r="C504" s="4" t="s">
        <v>569</v>
      </c>
      <c r="D504" s="4" t="s">
        <v>828</v>
      </c>
      <c r="E504" s="4" t="s">
        <v>332</v>
      </c>
      <c r="F504" s="73">
        <v>46272</v>
      </c>
      <c r="G504" s="5">
        <v>15000</v>
      </c>
      <c r="H504" s="6">
        <v>719280.72</v>
      </c>
    </row>
    <row r="505" spans="2:8" ht="20.149999999999999" customHeight="1">
      <c r="B505" s="4" t="s">
        <v>794</v>
      </c>
      <c r="C505" s="4" t="s">
        <v>569</v>
      </c>
      <c r="D505" s="4" t="s">
        <v>824</v>
      </c>
      <c r="E505" s="4" t="s">
        <v>139</v>
      </c>
      <c r="F505" s="73">
        <v>46272</v>
      </c>
      <c r="G505" s="5">
        <v>500</v>
      </c>
      <c r="H505" s="6">
        <v>499500.5</v>
      </c>
    </row>
    <row r="506" spans="2:8" ht="20.149999999999999" customHeight="1">
      <c r="B506" s="4" t="s">
        <v>750</v>
      </c>
      <c r="C506" s="4" t="s">
        <v>569</v>
      </c>
      <c r="D506" s="4" t="s">
        <v>824</v>
      </c>
      <c r="E506" s="4" t="s">
        <v>218</v>
      </c>
      <c r="F506" s="73">
        <v>46273</v>
      </c>
      <c r="G506" s="5">
        <v>200</v>
      </c>
      <c r="H506" s="6">
        <v>426200</v>
      </c>
    </row>
    <row r="507" spans="2:8" ht="20.149999999999999" customHeight="1">
      <c r="B507" s="4" t="s">
        <v>2376</v>
      </c>
      <c r="C507" s="4" t="s">
        <v>569</v>
      </c>
      <c r="D507" s="4" t="s">
        <v>824</v>
      </c>
      <c r="E507" s="4" t="s">
        <v>139</v>
      </c>
      <c r="F507" s="73">
        <v>46274</v>
      </c>
      <c r="G507" s="5">
        <v>98</v>
      </c>
      <c r="H507" s="6">
        <v>102797.21</v>
      </c>
    </row>
    <row r="508" spans="2:8" ht="20.149999999999999" customHeight="1">
      <c r="B508" s="4" t="s">
        <v>2376</v>
      </c>
      <c r="C508" s="4" t="s">
        <v>569</v>
      </c>
      <c r="D508" s="4" t="s">
        <v>824</v>
      </c>
      <c r="E508" s="4" t="s">
        <v>139</v>
      </c>
      <c r="F508" s="73">
        <v>46274</v>
      </c>
      <c r="G508" s="5">
        <v>1902</v>
      </c>
      <c r="H508" s="6">
        <v>1995104.89</v>
      </c>
    </row>
    <row r="509" spans="2:8" ht="20.149999999999999" customHeight="1">
      <c r="B509" s="4" t="s">
        <v>727</v>
      </c>
      <c r="C509" s="4" t="s">
        <v>569</v>
      </c>
      <c r="D509" s="4" t="s">
        <v>824</v>
      </c>
      <c r="E509" s="4" t="s">
        <v>218</v>
      </c>
      <c r="F509" s="73">
        <v>46274</v>
      </c>
      <c r="G509" s="5">
        <v>357</v>
      </c>
      <c r="H509" s="6">
        <v>747233.77</v>
      </c>
    </row>
    <row r="510" spans="2:8" ht="20.149999999999999" customHeight="1">
      <c r="B510" s="4" t="s">
        <v>781</v>
      </c>
      <c r="C510" s="4" t="s">
        <v>1487</v>
      </c>
      <c r="D510" s="4" t="s">
        <v>824</v>
      </c>
      <c r="E510" s="4" t="s">
        <v>139</v>
      </c>
      <c r="F510" s="73">
        <v>46275</v>
      </c>
      <c r="G510" s="5">
        <v>5400</v>
      </c>
      <c r="H510" s="6">
        <v>6237000</v>
      </c>
    </row>
    <row r="511" spans="2:8" ht="20.149999999999999" customHeight="1">
      <c r="B511" s="4" t="s">
        <v>781</v>
      </c>
      <c r="C511" s="4" t="s">
        <v>1487</v>
      </c>
      <c r="D511" s="4" t="s">
        <v>824</v>
      </c>
      <c r="E511" s="4" t="s">
        <v>78</v>
      </c>
      <c r="F511" s="73">
        <v>46275</v>
      </c>
      <c r="G511" s="5">
        <v>600</v>
      </c>
      <c r="H511" s="6">
        <v>693000</v>
      </c>
    </row>
    <row r="512" spans="2:8" ht="20.149999999999999" customHeight="1">
      <c r="B512" s="4" t="s">
        <v>781</v>
      </c>
      <c r="C512" s="4" t="s">
        <v>1487</v>
      </c>
      <c r="D512" s="4" t="s">
        <v>824</v>
      </c>
      <c r="E512" s="4" t="s">
        <v>151</v>
      </c>
      <c r="F512" s="73">
        <v>46275</v>
      </c>
      <c r="G512" s="5">
        <v>600</v>
      </c>
      <c r="H512" s="6">
        <v>693000</v>
      </c>
    </row>
    <row r="513" spans="2:8" ht="20.149999999999999" customHeight="1">
      <c r="B513" s="4" t="s">
        <v>609</v>
      </c>
      <c r="C513" s="4" t="s">
        <v>569</v>
      </c>
      <c r="D513" s="4" t="s">
        <v>1288</v>
      </c>
      <c r="E513" s="4" t="s">
        <v>712</v>
      </c>
      <c r="F513" s="73">
        <v>46275</v>
      </c>
      <c r="G513" s="5">
        <v>12</v>
      </c>
      <c r="H513" s="6">
        <v>10789.21</v>
      </c>
    </row>
    <row r="514" spans="2:8" ht="20.149999999999999" customHeight="1">
      <c r="B514" s="4" t="s">
        <v>762</v>
      </c>
      <c r="C514" s="4" t="s">
        <v>1487</v>
      </c>
      <c r="D514" s="4" t="s">
        <v>1288</v>
      </c>
      <c r="E514" s="4" t="s">
        <v>110</v>
      </c>
      <c r="F514" s="73">
        <v>46275</v>
      </c>
      <c r="G514" s="5">
        <v>2500</v>
      </c>
      <c r="H514" s="6">
        <v>300000</v>
      </c>
    </row>
    <row r="515" spans="2:8" ht="20.149999999999999" customHeight="1">
      <c r="B515" s="4" t="s">
        <v>762</v>
      </c>
      <c r="C515" s="4" t="s">
        <v>1487</v>
      </c>
      <c r="D515" s="4" t="s">
        <v>1288</v>
      </c>
      <c r="E515" s="4" t="s">
        <v>666</v>
      </c>
      <c r="F515" s="73">
        <v>46275</v>
      </c>
      <c r="G515" s="5">
        <v>2500</v>
      </c>
      <c r="H515" s="6">
        <v>1050000</v>
      </c>
    </row>
    <row r="516" spans="2:8" ht="20.149999999999999" customHeight="1">
      <c r="B516" s="4" t="s">
        <v>607</v>
      </c>
      <c r="C516" s="4" t="s">
        <v>569</v>
      </c>
      <c r="D516" s="4" t="s">
        <v>828</v>
      </c>
      <c r="E516" s="4" t="s">
        <v>645</v>
      </c>
      <c r="F516" s="73">
        <v>46275</v>
      </c>
      <c r="G516" s="5">
        <v>30</v>
      </c>
      <c r="H516" s="6">
        <v>141000</v>
      </c>
    </row>
    <row r="517" spans="2:8" ht="20.149999999999999" customHeight="1">
      <c r="B517" s="4" t="s">
        <v>607</v>
      </c>
      <c r="C517" s="4" t="s">
        <v>569</v>
      </c>
      <c r="D517" s="4" t="s">
        <v>828</v>
      </c>
      <c r="E517" s="4" t="s">
        <v>679</v>
      </c>
      <c r="F517" s="73">
        <v>46275</v>
      </c>
      <c r="G517" s="5">
        <v>8</v>
      </c>
      <c r="H517" s="6">
        <v>50400</v>
      </c>
    </row>
    <row r="518" spans="2:8" ht="20.149999999999999" customHeight="1">
      <c r="B518" s="4" t="s">
        <v>607</v>
      </c>
      <c r="C518" s="4" t="s">
        <v>569</v>
      </c>
      <c r="D518" s="4" t="s">
        <v>828</v>
      </c>
      <c r="E518" s="4" t="s">
        <v>358</v>
      </c>
      <c r="F518" s="73">
        <v>46276</v>
      </c>
      <c r="G518" s="5">
        <v>16</v>
      </c>
      <c r="H518" s="6">
        <v>96000</v>
      </c>
    </row>
    <row r="519" spans="2:8" ht="20.149999999999999" customHeight="1">
      <c r="B519" s="4" t="s">
        <v>583</v>
      </c>
      <c r="C519" s="4" t="s">
        <v>569</v>
      </c>
      <c r="D519" s="4" t="s">
        <v>1288</v>
      </c>
      <c r="E519" s="4" t="s">
        <v>171</v>
      </c>
      <c r="F519" s="73">
        <v>46276</v>
      </c>
      <c r="G519" s="5">
        <v>1500</v>
      </c>
      <c r="H519" s="6">
        <v>352147.85</v>
      </c>
    </row>
    <row r="520" spans="2:8" ht="20.149999999999999" customHeight="1">
      <c r="B520" s="4" t="s">
        <v>583</v>
      </c>
      <c r="C520" s="4" t="s">
        <v>569</v>
      </c>
      <c r="D520" s="4" t="s">
        <v>1288</v>
      </c>
      <c r="E520" s="4" t="s">
        <v>666</v>
      </c>
      <c r="F520" s="73">
        <v>46276</v>
      </c>
      <c r="G520" s="5">
        <v>1000</v>
      </c>
      <c r="H520" s="6">
        <v>279720.28000000003</v>
      </c>
    </row>
    <row r="521" spans="2:8" ht="20.149999999999999" customHeight="1">
      <c r="B521" s="4" t="s">
        <v>583</v>
      </c>
      <c r="C521" s="4" t="s">
        <v>569</v>
      </c>
      <c r="D521" s="4" t="s">
        <v>1288</v>
      </c>
      <c r="E521" s="4" t="s">
        <v>238</v>
      </c>
      <c r="F521" s="73">
        <v>46276</v>
      </c>
      <c r="G521" s="5">
        <v>1500</v>
      </c>
      <c r="H521" s="6">
        <v>67432.570000000007</v>
      </c>
    </row>
    <row r="522" spans="2:8" ht="20.149999999999999" customHeight="1">
      <c r="B522" s="4" t="s">
        <v>611</v>
      </c>
      <c r="C522" s="4" t="s">
        <v>569</v>
      </c>
      <c r="D522" s="4" t="s">
        <v>1288</v>
      </c>
      <c r="E522" s="4" t="s">
        <v>110</v>
      </c>
      <c r="F522" s="73">
        <v>46276</v>
      </c>
      <c r="G522" s="5">
        <v>1000</v>
      </c>
      <c r="H522" s="6">
        <v>118881.12</v>
      </c>
    </row>
    <row r="523" spans="2:8" ht="20.149999999999999" customHeight="1">
      <c r="B523" s="4" t="s">
        <v>611</v>
      </c>
      <c r="C523" s="4" t="s">
        <v>569</v>
      </c>
      <c r="D523" s="4" t="s">
        <v>1288</v>
      </c>
      <c r="E523" s="4" t="s">
        <v>115</v>
      </c>
      <c r="F523" s="73">
        <v>46276</v>
      </c>
      <c r="G523" s="5">
        <v>1000</v>
      </c>
      <c r="H523" s="6">
        <v>639360.64</v>
      </c>
    </row>
    <row r="524" spans="2:8" ht="20.149999999999999" customHeight="1">
      <c r="B524" s="4" t="s">
        <v>2397</v>
      </c>
      <c r="C524" s="4" t="s">
        <v>569</v>
      </c>
      <c r="D524" s="4" t="s">
        <v>824</v>
      </c>
      <c r="E524" s="4" t="s">
        <v>139</v>
      </c>
      <c r="F524" s="73">
        <v>46276</v>
      </c>
      <c r="G524" s="5">
        <v>192</v>
      </c>
      <c r="H524" s="6">
        <v>201600</v>
      </c>
    </row>
    <row r="525" spans="2:8" ht="20.149999999999999" customHeight="1">
      <c r="B525" s="4" t="s">
        <v>762</v>
      </c>
      <c r="C525" s="4" t="s">
        <v>1487</v>
      </c>
      <c r="D525" s="4" t="s">
        <v>1288</v>
      </c>
      <c r="E525" s="4" t="s">
        <v>666</v>
      </c>
      <c r="F525" s="73">
        <v>46275</v>
      </c>
      <c r="G525" s="5">
        <v>-2500</v>
      </c>
      <c r="H525" s="6">
        <v>-1350000</v>
      </c>
    </row>
    <row r="526" spans="2:8" ht="20.149999999999999" customHeight="1"/>
    <row r="527" spans="2:8" ht="20.149999999999999" customHeight="1"/>
    <row r="528" spans="2:8" ht="20.149999999999999" customHeight="1"/>
    <row r="529" ht="20.149999999999999" customHeight="1"/>
    <row r="530" ht="20.149999999999999" customHeight="1"/>
    <row r="531" ht="20.149999999999999" customHeight="1"/>
    <row r="532" ht="20.149999999999999" customHeight="1"/>
    <row r="533" ht="20.149999999999999" customHeight="1"/>
    <row r="534" ht="20.149999999999999" customHeight="1"/>
    <row r="535" ht="20.149999999999999" customHeight="1"/>
    <row r="536" ht="20.149999999999999" customHeight="1"/>
    <row r="537" ht="20.149999999999999" customHeight="1"/>
    <row r="538" ht="20.149999999999999" customHeight="1"/>
    <row r="539" ht="20.149999999999999" customHeight="1"/>
    <row r="540" ht="20.149999999999999" customHeight="1"/>
    <row r="541" ht="20.149999999999999" customHeight="1"/>
    <row r="542" ht="20.149999999999999" customHeight="1"/>
    <row r="543" ht="20.149999999999999" customHeight="1"/>
    <row r="544" ht="20.149999999999999" customHeight="1"/>
    <row r="545" ht="20.149999999999999" customHeight="1"/>
    <row r="546" ht="20.149999999999999" customHeight="1"/>
    <row r="547" ht="20.149999999999999" customHeight="1"/>
    <row r="548" ht="20.149999999999999" customHeight="1"/>
    <row r="549" ht="20.149999999999999" customHeight="1"/>
    <row r="550" ht="20.149999999999999" customHeight="1"/>
    <row r="551" ht="20.149999999999999" customHeight="1"/>
    <row r="552" ht="20.149999999999999" customHeight="1"/>
    <row r="553" ht="20.149999999999999" customHeight="1"/>
    <row r="554" ht="20.149999999999999" customHeight="1"/>
    <row r="555" ht="20.149999999999999" customHeight="1"/>
    <row r="556" ht="20.149999999999999" customHeight="1"/>
    <row r="557" ht="20.149999999999999" customHeight="1"/>
    <row r="558" ht="20.149999999999999" customHeight="1"/>
    <row r="559" ht="20.149999999999999" customHeight="1"/>
    <row r="560" ht="20.149999999999999" customHeight="1"/>
    <row r="561" ht="20.149999999999999" customHeight="1"/>
    <row r="562" ht="20.149999999999999" customHeight="1"/>
    <row r="563" ht="20.149999999999999" customHeight="1"/>
    <row r="564" ht="20.149999999999999" customHeight="1"/>
    <row r="565" ht="20.149999999999999" customHeight="1"/>
    <row r="566" ht="20.149999999999999" customHeight="1"/>
    <row r="567" ht="20.149999999999999" customHeight="1"/>
    <row r="568" ht="20.149999999999999" customHeight="1"/>
    <row r="569" ht="20.149999999999999" customHeight="1"/>
    <row r="570" ht="20.149999999999999" customHeight="1"/>
    <row r="571" ht="20.149999999999999" customHeight="1"/>
    <row r="572" ht="20.149999999999999" customHeight="1"/>
    <row r="573" ht="20.149999999999999" customHeight="1"/>
    <row r="574" ht="20.149999999999999" customHeight="1"/>
    <row r="575" ht="20.149999999999999" customHeight="1"/>
    <row r="576" ht="20.149999999999999" customHeight="1"/>
    <row r="577" ht="20.149999999999999" customHeight="1"/>
    <row r="578" ht="20.149999999999999" customHeight="1"/>
    <row r="579" ht="20.149999999999999" customHeight="1"/>
    <row r="580" ht="20.149999999999999" customHeight="1"/>
    <row r="581" ht="20.149999999999999" customHeight="1"/>
    <row r="582" ht="20.149999999999999" customHeight="1"/>
    <row r="583" ht="20.149999999999999" customHeight="1"/>
    <row r="584" ht="20.149999999999999" customHeight="1"/>
    <row r="585" ht="20.149999999999999" customHeight="1"/>
    <row r="586" ht="20.149999999999999" customHeight="1"/>
    <row r="587" ht="20.149999999999999" customHeight="1"/>
    <row r="588" ht="20.149999999999999" customHeight="1"/>
    <row r="589" ht="20.149999999999999" customHeight="1"/>
    <row r="590" ht="20.149999999999999" customHeight="1"/>
    <row r="591" ht="20.149999999999999" customHeight="1"/>
    <row r="592" ht="20.149999999999999" customHeight="1"/>
    <row r="593" ht="20.149999999999999" customHeight="1"/>
    <row r="594" ht="20.149999999999999" customHeight="1"/>
    <row r="595" ht="20.149999999999999" customHeight="1"/>
    <row r="596" ht="20.149999999999999" customHeight="1"/>
    <row r="597" ht="20.149999999999999" customHeight="1"/>
    <row r="598" ht="20.149999999999999" customHeight="1"/>
    <row r="599" ht="20.149999999999999" customHeight="1"/>
    <row r="600" ht="20.149999999999999" customHeight="1"/>
    <row r="601" ht="20.149999999999999" customHeight="1"/>
    <row r="602" ht="20.149999999999999" customHeight="1"/>
    <row r="603" ht="20.149999999999999" customHeight="1"/>
    <row r="604" ht="20.149999999999999" customHeight="1"/>
    <row r="605" ht="20.149999999999999" customHeight="1"/>
    <row r="606" ht="20.149999999999999" customHeight="1"/>
    <row r="607" ht="20.149999999999999" customHeight="1"/>
    <row r="608" ht="20.149999999999999" customHeight="1"/>
    <row r="609" ht="20.149999999999999" customHeight="1"/>
    <row r="610" ht="20.149999999999999" customHeight="1"/>
    <row r="611" ht="20.149999999999999" customHeight="1"/>
    <row r="612" ht="20.149999999999999" customHeight="1"/>
    <row r="613" ht="20.149999999999999" customHeight="1"/>
    <row r="614" ht="20.149999999999999" customHeight="1"/>
    <row r="615" ht="20.149999999999999" customHeight="1"/>
    <row r="616" ht="20.149999999999999" customHeight="1"/>
    <row r="617" ht="20.149999999999999" customHeight="1"/>
    <row r="618" ht="20.149999999999999" customHeight="1"/>
    <row r="619" ht="20.149999999999999" customHeight="1"/>
    <row r="620" ht="20.149999999999999" customHeight="1"/>
    <row r="621" ht="20.149999999999999" customHeight="1"/>
    <row r="622" ht="20.149999999999999" customHeight="1"/>
    <row r="623" ht="20.149999999999999" customHeight="1"/>
    <row r="624" ht="20.149999999999999" customHeight="1"/>
    <row r="625" ht="20.149999999999999" customHeight="1"/>
    <row r="626" ht="20.149999999999999" customHeight="1"/>
    <row r="627" ht="20.149999999999999" customHeight="1"/>
    <row r="628" ht="20.149999999999999" customHeight="1"/>
    <row r="629" ht="20.149999999999999" customHeight="1"/>
    <row r="630" ht="20.149999999999999" customHeight="1"/>
    <row r="631" ht="20.149999999999999" customHeight="1"/>
    <row r="632" ht="20.149999999999999" customHeight="1"/>
    <row r="633" ht="20.149999999999999" customHeight="1"/>
    <row r="634" ht="20.149999999999999" customHeight="1"/>
    <row r="635" ht="20.149999999999999" customHeight="1"/>
    <row r="636" ht="20.149999999999999" customHeight="1"/>
    <row r="637" ht="20.149999999999999" customHeight="1"/>
    <row r="638" ht="20.149999999999999" customHeight="1"/>
    <row r="639" ht="20.149999999999999" customHeight="1"/>
    <row r="640" ht="20.149999999999999" customHeight="1"/>
    <row r="641" ht="20.149999999999999" customHeight="1"/>
    <row r="642" ht="20.149999999999999" customHeight="1"/>
    <row r="643" ht="20.149999999999999" customHeight="1"/>
    <row r="644" ht="20.149999999999999" customHeight="1"/>
    <row r="645" ht="20.149999999999999" customHeight="1"/>
    <row r="646" ht="20.149999999999999" customHeight="1"/>
    <row r="647" ht="20.149999999999999" customHeight="1"/>
    <row r="648" ht="20.149999999999999" customHeight="1"/>
    <row r="649" ht="20.149999999999999" customHeight="1"/>
    <row r="650" ht="20.149999999999999" customHeight="1"/>
    <row r="651" ht="20.149999999999999" customHeight="1"/>
    <row r="652" ht="20.149999999999999" customHeight="1"/>
    <row r="653" ht="20.149999999999999" customHeight="1"/>
    <row r="654" ht="20.149999999999999" customHeight="1"/>
    <row r="655" ht="20.149999999999999" customHeight="1"/>
    <row r="656" ht="20.149999999999999" customHeight="1"/>
    <row r="657" ht="20.149999999999999" customHeight="1"/>
    <row r="658" ht="20.149999999999999" customHeight="1"/>
    <row r="659" ht="20.149999999999999" customHeight="1"/>
    <row r="660" ht="20.149999999999999" customHeight="1"/>
    <row r="661" ht="20.149999999999999" customHeight="1"/>
    <row r="662" ht="20.149999999999999" customHeight="1"/>
    <row r="663" ht="20.149999999999999" customHeight="1"/>
    <row r="664" ht="20.149999999999999" customHeight="1"/>
    <row r="665" ht="20.149999999999999" customHeight="1"/>
    <row r="666" ht="20.149999999999999" customHeight="1"/>
    <row r="667" ht="20.149999999999999" customHeight="1"/>
    <row r="668" ht="20.149999999999999" customHeight="1"/>
    <row r="669" ht="20.149999999999999" customHeight="1"/>
    <row r="670" ht="20.149999999999999" customHeight="1"/>
    <row r="671" ht="20.149999999999999" customHeight="1"/>
    <row r="672" ht="20.149999999999999" customHeight="1"/>
    <row r="673" ht="20.149999999999999" customHeight="1"/>
    <row r="674" ht="20.149999999999999" customHeight="1"/>
    <row r="675" ht="20.149999999999999" customHeight="1"/>
    <row r="676" ht="20.149999999999999" customHeight="1"/>
    <row r="677" ht="20.149999999999999" customHeight="1"/>
    <row r="678" ht="20.149999999999999" customHeight="1"/>
    <row r="679" ht="20.149999999999999" customHeight="1"/>
    <row r="680" ht="20.149999999999999" customHeight="1"/>
    <row r="681" ht="20.149999999999999" customHeight="1"/>
    <row r="682" ht="20.149999999999999" customHeight="1"/>
    <row r="683" ht="20.149999999999999" customHeight="1"/>
    <row r="684" ht="20.149999999999999" customHeight="1"/>
    <row r="685" ht="20.149999999999999" customHeight="1"/>
    <row r="686" ht="20.149999999999999" customHeight="1"/>
    <row r="687" ht="20.149999999999999" customHeight="1"/>
    <row r="688" ht="20.149999999999999" customHeight="1"/>
    <row r="689" ht="20.149999999999999" customHeight="1"/>
    <row r="690" ht="20.149999999999999" customHeight="1"/>
    <row r="691" ht="20.149999999999999" customHeight="1"/>
    <row r="692" ht="20.149999999999999" customHeight="1"/>
    <row r="693" ht="20.149999999999999" customHeight="1"/>
    <row r="694" ht="20.149999999999999" customHeight="1"/>
    <row r="695" ht="20.149999999999999" customHeight="1"/>
    <row r="696" ht="20.149999999999999" customHeight="1"/>
    <row r="697" ht="20.149999999999999" customHeight="1"/>
    <row r="698" ht="20.149999999999999" customHeight="1"/>
    <row r="699" ht="20.149999999999999" customHeight="1"/>
    <row r="700" ht="20.149999999999999" customHeight="1"/>
    <row r="701" ht="20.149999999999999" customHeight="1"/>
    <row r="702" ht="20.149999999999999" customHeight="1"/>
    <row r="703" ht="20.149999999999999" customHeight="1"/>
    <row r="704" ht="20.149999999999999" customHeight="1"/>
    <row r="705" ht="20.149999999999999" customHeight="1"/>
    <row r="706" ht="20.149999999999999" customHeight="1"/>
    <row r="707" ht="20.149999999999999" customHeight="1"/>
    <row r="708" ht="20.149999999999999" customHeight="1"/>
    <row r="709" ht="20.149999999999999" customHeight="1"/>
    <row r="710" ht="20.149999999999999" customHeight="1"/>
    <row r="711" ht="20.149999999999999" customHeight="1"/>
    <row r="712" ht="20.149999999999999" customHeight="1"/>
    <row r="713" ht="20.149999999999999" customHeight="1"/>
    <row r="714" ht="20.149999999999999" customHeight="1"/>
    <row r="715" ht="20.149999999999999" customHeight="1"/>
    <row r="716" ht="20.149999999999999" customHeight="1"/>
    <row r="717" ht="20.149999999999999" customHeight="1"/>
    <row r="718" ht="20.149999999999999" customHeight="1"/>
    <row r="719" ht="20.149999999999999" customHeight="1"/>
    <row r="720" ht="20.149999999999999" customHeight="1"/>
    <row r="721" ht="20.149999999999999" customHeight="1"/>
    <row r="722" ht="20.149999999999999" customHeight="1"/>
    <row r="723" ht="20.149999999999999" customHeight="1"/>
    <row r="724" ht="20.149999999999999" customHeight="1"/>
    <row r="725" ht="20.149999999999999" customHeight="1"/>
    <row r="726" ht="20.149999999999999" customHeight="1"/>
    <row r="727" ht="20.149999999999999" customHeight="1"/>
    <row r="728" ht="20.149999999999999" customHeight="1"/>
    <row r="729" ht="20.149999999999999" customHeight="1"/>
    <row r="730" ht="20.149999999999999" customHeight="1"/>
    <row r="731" ht="20.149999999999999" customHeight="1"/>
    <row r="732" ht="20.149999999999999" customHeight="1"/>
    <row r="733" ht="20.149999999999999" customHeight="1"/>
    <row r="734" ht="20.149999999999999" customHeight="1"/>
    <row r="735" ht="20.149999999999999" customHeight="1"/>
    <row r="736" ht="20.149999999999999" customHeight="1"/>
    <row r="737" ht="20.149999999999999" customHeight="1"/>
    <row r="738" ht="20.149999999999999" customHeight="1"/>
    <row r="739" ht="20.149999999999999" customHeight="1"/>
    <row r="740" ht="20.149999999999999" customHeight="1"/>
    <row r="741" ht="20.149999999999999" customHeight="1"/>
    <row r="742" ht="20.149999999999999" customHeight="1"/>
    <row r="743" ht="20.149999999999999" customHeight="1"/>
    <row r="744" ht="20.149999999999999" customHeight="1"/>
    <row r="745" ht="20.149999999999999" customHeight="1"/>
    <row r="746" ht="20.149999999999999" customHeight="1"/>
    <row r="747" ht="20.149999999999999" customHeight="1"/>
    <row r="748" ht="20.149999999999999" customHeight="1"/>
    <row r="749" ht="20.149999999999999" customHeight="1"/>
    <row r="750" ht="20.149999999999999" customHeight="1"/>
    <row r="751" ht="20.149999999999999" customHeight="1"/>
    <row r="752" ht="20.149999999999999" customHeight="1"/>
    <row r="753" ht="20.149999999999999" customHeight="1"/>
    <row r="754" ht="20.149999999999999" customHeight="1"/>
    <row r="755" ht="20.149999999999999" customHeight="1"/>
    <row r="756" ht="20.149999999999999" customHeight="1"/>
    <row r="757" ht="20.149999999999999" customHeight="1"/>
    <row r="758" ht="20.149999999999999" customHeight="1"/>
    <row r="759" ht="20.149999999999999" customHeight="1"/>
    <row r="760" ht="20.149999999999999" customHeight="1"/>
    <row r="761" ht="20.149999999999999" customHeight="1"/>
    <row r="762" ht="20.149999999999999" customHeight="1"/>
    <row r="763" ht="20.149999999999999" customHeight="1"/>
    <row r="764" ht="20.149999999999999" customHeight="1"/>
    <row r="765" ht="20.149999999999999" customHeight="1"/>
    <row r="766" ht="20.149999999999999" customHeight="1"/>
    <row r="767" ht="20.149999999999999" customHeight="1"/>
    <row r="768" ht="20.149999999999999" customHeight="1"/>
    <row r="769" ht="20.149999999999999" customHeight="1"/>
    <row r="770" ht="20.149999999999999" customHeight="1"/>
    <row r="771" ht="20.149999999999999" customHeight="1"/>
    <row r="772" ht="20.149999999999999" customHeight="1"/>
    <row r="773" ht="20.149999999999999" customHeight="1"/>
    <row r="774" ht="20.149999999999999" customHeight="1"/>
    <row r="775" ht="20.149999999999999" customHeight="1"/>
    <row r="776" ht="20.149999999999999" customHeight="1"/>
    <row r="777" ht="20.149999999999999" customHeight="1"/>
    <row r="778" ht="20.149999999999999" customHeight="1"/>
    <row r="779" ht="20.149999999999999" customHeight="1"/>
    <row r="780" ht="20.149999999999999" customHeight="1"/>
    <row r="781" ht="20.149999999999999" customHeight="1"/>
    <row r="782" ht="20.149999999999999" customHeight="1"/>
    <row r="783" ht="20.149999999999999" customHeight="1"/>
    <row r="784" ht="20.149999999999999" customHeight="1"/>
    <row r="785" ht="20.149999999999999" customHeight="1"/>
    <row r="786" ht="20.149999999999999" customHeight="1"/>
    <row r="787" ht="20.149999999999999" customHeight="1"/>
    <row r="788" ht="20.149999999999999" customHeight="1"/>
    <row r="789" ht="20.149999999999999" customHeight="1"/>
    <row r="790" ht="20.149999999999999" customHeight="1"/>
    <row r="791" ht="20.149999999999999" customHeight="1"/>
    <row r="792" ht="20.149999999999999" customHeight="1"/>
    <row r="793" ht="20.149999999999999" customHeight="1"/>
    <row r="794" ht="20.149999999999999" customHeight="1"/>
    <row r="795" ht="20.149999999999999" customHeight="1"/>
    <row r="796" ht="20.149999999999999" customHeight="1"/>
    <row r="797" ht="20.149999999999999" customHeight="1"/>
    <row r="798" ht="20.149999999999999" customHeight="1"/>
    <row r="799" ht="20.149999999999999" customHeight="1"/>
    <row r="800" ht="20.149999999999999" customHeight="1"/>
    <row r="801" ht="20.149999999999999" customHeight="1"/>
    <row r="802" ht="20.149999999999999" customHeight="1"/>
    <row r="803" ht="20.149999999999999" customHeight="1"/>
    <row r="804" ht="20.149999999999999" customHeight="1"/>
    <row r="805" ht="20.149999999999999" customHeight="1"/>
    <row r="806" ht="20.149999999999999" customHeight="1"/>
    <row r="807" ht="20.149999999999999" customHeight="1"/>
    <row r="808" ht="20.149999999999999" customHeight="1"/>
    <row r="809" ht="20.149999999999999" customHeight="1"/>
    <row r="810" ht="20.149999999999999" customHeight="1"/>
    <row r="811" ht="20.149999999999999" customHeight="1"/>
    <row r="812" ht="20.149999999999999" customHeight="1"/>
    <row r="813" ht="20.149999999999999" customHeight="1"/>
    <row r="814" ht="20.149999999999999" customHeight="1"/>
    <row r="815" ht="20.149999999999999" customHeight="1"/>
    <row r="816" ht="20.149999999999999" customHeight="1"/>
    <row r="817" ht="20.149999999999999" customHeight="1"/>
    <row r="818" ht="20.149999999999999" customHeight="1"/>
    <row r="819" ht="20.149999999999999" customHeight="1"/>
    <row r="820" ht="20.149999999999999" customHeight="1"/>
    <row r="821" ht="20.149999999999999" customHeight="1"/>
    <row r="822" ht="20.149999999999999" customHeight="1"/>
    <row r="823" ht="20.149999999999999" customHeight="1"/>
    <row r="824" ht="20.149999999999999" customHeight="1"/>
    <row r="825" ht="20.149999999999999" customHeight="1"/>
    <row r="826" ht="20.149999999999999" customHeight="1"/>
    <row r="827" ht="20.149999999999999" customHeight="1"/>
    <row r="828" ht="20.149999999999999" customHeight="1"/>
    <row r="829" ht="20.149999999999999" customHeight="1"/>
    <row r="830" ht="20.149999999999999" customHeight="1"/>
    <row r="831" ht="20.149999999999999" customHeight="1"/>
    <row r="832" ht="20.149999999999999" customHeight="1"/>
    <row r="833" ht="20.149999999999999" customHeight="1"/>
    <row r="834" ht="20.149999999999999" customHeight="1"/>
    <row r="835" ht="20.149999999999999" customHeight="1"/>
    <row r="836" ht="20.149999999999999" customHeight="1"/>
    <row r="837" ht="20.149999999999999" customHeight="1"/>
    <row r="838" ht="20.149999999999999" customHeight="1"/>
    <row r="839" ht="20.149999999999999" customHeight="1"/>
    <row r="840" ht="20.149999999999999" customHeight="1"/>
    <row r="841" ht="20.149999999999999" customHeight="1"/>
    <row r="842" ht="20.149999999999999" customHeight="1"/>
    <row r="843" ht="20.149999999999999" customHeight="1"/>
    <row r="844" ht="20.149999999999999" customHeight="1"/>
    <row r="845" ht="20.149999999999999" customHeight="1"/>
    <row r="846" ht="20.149999999999999" customHeight="1"/>
    <row r="847" ht="20.149999999999999" customHeight="1"/>
    <row r="848" ht="20.149999999999999" customHeight="1"/>
    <row r="849" ht="20.149999999999999" customHeight="1"/>
    <row r="850" ht="20.149999999999999" customHeight="1"/>
    <row r="851" ht="20.149999999999999" customHeight="1"/>
    <row r="852" ht="20.149999999999999" customHeight="1"/>
    <row r="853" ht="20.149999999999999" customHeight="1"/>
    <row r="854" ht="20.149999999999999" customHeight="1"/>
    <row r="855" ht="20.149999999999999" customHeight="1"/>
    <row r="856" ht="20.149999999999999" customHeight="1"/>
    <row r="857" ht="20.149999999999999" customHeight="1"/>
    <row r="858" ht="20.149999999999999" customHeight="1"/>
    <row r="859" ht="20.149999999999999" customHeight="1"/>
    <row r="860" ht="20.149999999999999" customHeight="1"/>
    <row r="861" ht="20.149999999999999" customHeight="1"/>
    <row r="862" ht="20.149999999999999" customHeight="1"/>
    <row r="863" ht="20.149999999999999" customHeight="1"/>
    <row r="864" ht="20.149999999999999" customHeight="1"/>
    <row r="865" ht="20.149999999999999" customHeight="1"/>
    <row r="866" ht="20.149999999999999" customHeight="1"/>
    <row r="867" ht="20.149999999999999" customHeight="1"/>
    <row r="868" ht="20.149999999999999" customHeight="1"/>
    <row r="869" ht="20.149999999999999" customHeight="1"/>
    <row r="870" ht="20.149999999999999" customHeight="1"/>
    <row r="871" ht="20.149999999999999" customHeight="1"/>
    <row r="872" ht="20.149999999999999" customHeight="1"/>
    <row r="873" ht="20.149999999999999" customHeight="1"/>
    <row r="874" ht="20.149999999999999" customHeight="1"/>
    <row r="875" ht="20.149999999999999" customHeight="1"/>
    <row r="876" ht="20.149999999999999" customHeight="1"/>
    <row r="877" ht="20.149999999999999" customHeight="1"/>
    <row r="878" ht="20.149999999999999" customHeight="1"/>
    <row r="879" ht="20.149999999999999" customHeight="1"/>
    <row r="880" ht="20.149999999999999" customHeight="1"/>
    <row r="881" ht="20.149999999999999" customHeight="1"/>
    <row r="882" ht="20.149999999999999" customHeight="1"/>
    <row r="883" ht="20.149999999999999" customHeight="1"/>
    <row r="884" ht="20.149999999999999" customHeight="1"/>
    <row r="885" ht="20.149999999999999" customHeight="1"/>
    <row r="886" ht="20.149999999999999" customHeight="1"/>
    <row r="887" ht="20.149999999999999" customHeight="1"/>
    <row r="888" ht="20.149999999999999" customHeight="1"/>
    <row r="889" ht="20.149999999999999" customHeight="1"/>
    <row r="890" ht="20.149999999999999" customHeight="1"/>
    <row r="891" ht="20.149999999999999" customHeight="1"/>
    <row r="892" ht="20.149999999999999" customHeight="1"/>
    <row r="893" ht="20.149999999999999" customHeight="1"/>
    <row r="894" ht="20.149999999999999" customHeight="1"/>
    <row r="895" ht="20.149999999999999" customHeight="1"/>
    <row r="896" ht="20.149999999999999" customHeight="1"/>
    <row r="897" ht="20.149999999999999" customHeight="1"/>
    <row r="898" ht="20.149999999999999" customHeight="1"/>
    <row r="899" ht="20.149999999999999" customHeight="1"/>
    <row r="900" ht="20.149999999999999" customHeight="1"/>
    <row r="901" ht="20.149999999999999" customHeight="1"/>
    <row r="902" ht="20.149999999999999" customHeight="1"/>
    <row r="903" ht="20.149999999999999" customHeight="1"/>
    <row r="904" ht="20.149999999999999" customHeight="1"/>
    <row r="905" ht="20.149999999999999" customHeight="1"/>
    <row r="906" ht="20.149999999999999" customHeight="1"/>
    <row r="907" ht="20.149999999999999" customHeight="1"/>
    <row r="908" ht="20.149999999999999" customHeight="1"/>
    <row r="909" ht="20.149999999999999" customHeight="1"/>
    <row r="910" ht="20.149999999999999" customHeight="1"/>
    <row r="911" ht="20.149999999999999" customHeight="1"/>
    <row r="912" ht="20.149999999999999" customHeight="1"/>
    <row r="913" ht="20.149999999999999" customHeight="1"/>
    <row r="914" ht="20.149999999999999" customHeight="1"/>
    <row r="915" ht="20.149999999999999" customHeight="1"/>
    <row r="916" ht="20.149999999999999" customHeight="1"/>
    <row r="917" ht="20.149999999999999" customHeight="1"/>
    <row r="918" ht="20.149999999999999" customHeight="1"/>
    <row r="919" ht="20.149999999999999" customHeight="1"/>
    <row r="920" ht="20.149999999999999" customHeight="1"/>
    <row r="921" ht="20.149999999999999" customHeight="1"/>
    <row r="922" ht="20.149999999999999" customHeight="1"/>
    <row r="923" ht="20.149999999999999" customHeight="1"/>
    <row r="924" ht="20.149999999999999" customHeight="1"/>
    <row r="925" ht="20.149999999999999" customHeight="1"/>
    <row r="926" ht="20.149999999999999" customHeight="1"/>
    <row r="927" ht="20.149999999999999" customHeight="1"/>
    <row r="928" ht="20.149999999999999" customHeight="1"/>
    <row r="929" ht="20.149999999999999" customHeight="1"/>
    <row r="930" ht="20.149999999999999" customHeight="1"/>
    <row r="931" ht="20.149999999999999" customHeight="1"/>
    <row r="932" ht="20.149999999999999" customHeight="1"/>
    <row r="933" ht="20.149999999999999" customHeight="1"/>
    <row r="934" ht="20.149999999999999" customHeight="1"/>
    <row r="935" ht="20.149999999999999" customHeight="1"/>
    <row r="936" ht="20.149999999999999" customHeight="1"/>
    <row r="937" ht="20.149999999999999" customHeight="1"/>
    <row r="938" ht="20.149999999999999" customHeight="1"/>
    <row r="939" ht="20.149999999999999" customHeight="1"/>
    <row r="940" ht="20.149999999999999" customHeight="1"/>
    <row r="941" ht="20.149999999999999" customHeight="1"/>
    <row r="942" ht="20.149999999999999" customHeight="1"/>
    <row r="943" ht="20.149999999999999" customHeight="1"/>
    <row r="944" ht="20.149999999999999" customHeight="1"/>
    <row r="945" ht="20.149999999999999" customHeight="1"/>
    <row r="946" ht="20.149999999999999" customHeight="1"/>
    <row r="947" ht="20.149999999999999" customHeight="1"/>
    <row r="948" ht="20.149999999999999" customHeight="1"/>
    <row r="949" ht="20.149999999999999" customHeight="1"/>
    <row r="950" ht="20.149999999999999" customHeight="1"/>
    <row r="951" ht="20.149999999999999" customHeight="1"/>
    <row r="952" ht="20.149999999999999" customHeight="1"/>
    <row r="953" ht="20.149999999999999" customHeight="1"/>
    <row r="954" ht="20.149999999999999" customHeight="1"/>
    <row r="955" ht="20.149999999999999" customHeight="1"/>
    <row r="956" ht="20.149999999999999" customHeight="1"/>
    <row r="957" ht="20.149999999999999" customHeight="1"/>
    <row r="958" ht="20.149999999999999" customHeight="1"/>
    <row r="959" ht="20.149999999999999" customHeight="1"/>
    <row r="960" ht="20.149999999999999" customHeight="1"/>
    <row r="961" ht="20.149999999999999" customHeight="1"/>
    <row r="962" ht="20.149999999999999" customHeight="1"/>
    <row r="963" ht="20.149999999999999" customHeight="1"/>
    <row r="964" ht="20.149999999999999" customHeight="1"/>
    <row r="965" ht="20.149999999999999" customHeight="1"/>
    <row r="966" ht="20.149999999999999" customHeight="1"/>
    <row r="967" ht="20.149999999999999" customHeight="1"/>
    <row r="968" ht="20.149999999999999" customHeight="1"/>
    <row r="969" ht="20.149999999999999" customHeight="1"/>
    <row r="970" ht="20.149999999999999" customHeight="1"/>
    <row r="971" ht="20.149999999999999" customHeight="1"/>
    <row r="972" ht="20.149999999999999" customHeight="1"/>
    <row r="973" ht="20.149999999999999" customHeight="1"/>
    <row r="974" ht="20.149999999999999" customHeight="1"/>
    <row r="975" ht="20.149999999999999" customHeight="1"/>
    <row r="976" ht="20.149999999999999" customHeight="1"/>
    <row r="977" ht="20.149999999999999" customHeight="1"/>
    <row r="978" ht="20.149999999999999" customHeight="1"/>
    <row r="979" ht="20.149999999999999" customHeight="1"/>
    <row r="980" ht="20.149999999999999" customHeight="1"/>
    <row r="981" ht="20.149999999999999" customHeight="1"/>
    <row r="982" ht="20.149999999999999" customHeight="1"/>
    <row r="983" ht="20.149999999999999" customHeight="1"/>
    <row r="984" ht="20.149999999999999" customHeight="1"/>
    <row r="985" ht="20.149999999999999" customHeight="1"/>
    <row r="986" ht="20.149999999999999" customHeight="1"/>
    <row r="987" ht="20.149999999999999" customHeight="1"/>
    <row r="988" ht="20.149999999999999" customHeight="1"/>
    <row r="989" ht="20.149999999999999" customHeight="1"/>
    <row r="990" ht="20.149999999999999" customHeight="1"/>
    <row r="991" ht="20.149999999999999" customHeight="1"/>
    <row r="992" ht="20.149999999999999" customHeight="1"/>
    <row r="993" ht="20.149999999999999" customHeight="1"/>
    <row r="994" ht="20.149999999999999" customHeight="1"/>
    <row r="995" ht="20.149999999999999" customHeight="1"/>
    <row r="996" ht="20.149999999999999" customHeight="1"/>
    <row r="997" ht="20.149999999999999" customHeight="1"/>
    <row r="998" ht="20.149999999999999" customHeight="1"/>
    <row r="999" ht="20.149999999999999" customHeight="1"/>
    <row r="1000" ht="20.149999999999999" customHeight="1"/>
    <row r="1001" ht="20.149999999999999" customHeight="1"/>
    <row r="1002" ht="20.149999999999999" customHeight="1"/>
    <row r="1003" ht="20.149999999999999" customHeight="1"/>
    <row r="1004" ht="20.149999999999999" customHeight="1"/>
    <row r="1005" ht="20.149999999999999" customHeight="1"/>
    <row r="1006" ht="20.149999999999999" customHeight="1"/>
    <row r="1007" ht="20.149999999999999" customHeight="1"/>
    <row r="1008" ht="20.149999999999999" customHeight="1"/>
    <row r="1009" ht="20.149999999999999" customHeight="1"/>
    <row r="1010" ht="20.149999999999999" customHeight="1"/>
    <row r="1011" ht="20.149999999999999" customHeight="1"/>
    <row r="1012" ht="20.149999999999999" customHeight="1"/>
    <row r="1013" ht="20.149999999999999" customHeight="1"/>
    <row r="1014" ht="20.149999999999999" customHeight="1"/>
    <row r="1015" ht="20.149999999999999" customHeight="1"/>
    <row r="1016" ht="20.149999999999999" customHeight="1"/>
    <row r="1017" ht="20.149999999999999" customHeight="1"/>
    <row r="1018" ht="20.149999999999999" customHeight="1"/>
    <row r="1019" ht="20.149999999999999" customHeight="1"/>
    <row r="1020" ht="20.149999999999999" customHeight="1"/>
    <row r="1021" ht="20.149999999999999" customHeight="1"/>
    <row r="1022" ht="20.149999999999999" customHeight="1"/>
    <row r="1023" ht="20.149999999999999" customHeight="1"/>
    <row r="1024" ht="20.149999999999999" customHeight="1"/>
    <row r="1025" ht="20.149999999999999" customHeight="1"/>
    <row r="1026" ht="20.149999999999999" customHeight="1"/>
    <row r="1027" ht="20.149999999999999" customHeight="1"/>
    <row r="1028" ht="20.149999999999999" customHeight="1"/>
    <row r="1029" ht="20.149999999999999" customHeight="1"/>
    <row r="1030" ht="20.149999999999999" customHeight="1"/>
    <row r="1031" ht="20.149999999999999" customHeight="1"/>
    <row r="1032" ht="20.149999999999999" customHeight="1"/>
    <row r="1033" ht="20.149999999999999" customHeight="1"/>
    <row r="1034" ht="20.149999999999999" customHeight="1"/>
    <row r="1035" ht="20.149999999999999" customHeight="1"/>
    <row r="1036" ht="20.149999999999999" customHeight="1"/>
    <row r="1037" ht="20.149999999999999" customHeight="1"/>
    <row r="1038" ht="20.149999999999999" customHeight="1"/>
    <row r="1039" ht="20.149999999999999" customHeight="1"/>
    <row r="1040" ht="20.149999999999999" customHeight="1"/>
    <row r="1041" ht="20.149999999999999" customHeight="1"/>
    <row r="1042" ht="20.149999999999999" customHeight="1"/>
    <row r="1043" ht="20.149999999999999" customHeight="1"/>
    <row r="1044" ht="20.149999999999999" customHeight="1"/>
    <row r="1045" ht="20.149999999999999" customHeight="1"/>
    <row r="1046" ht="20.149999999999999" customHeight="1"/>
    <row r="1047" ht="20.149999999999999" customHeight="1"/>
    <row r="1048" ht="20.149999999999999" customHeight="1"/>
    <row r="1049" ht="20.149999999999999" customHeight="1"/>
    <row r="1050" ht="20.149999999999999" customHeight="1"/>
    <row r="1051" ht="20.149999999999999" customHeight="1"/>
    <row r="1052" ht="20.149999999999999" customHeight="1"/>
    <row r="1053" ht="20.149999999999999" customHeight="1"/>
    <row r="1054" ht="20.149999999999999" customHeight="1"/>
    <row r="1055" ht="20.149999999999999" customHeight="1"/>
    <row r="1056" ht="20.149999999999999" customHeight="1"/>
    <row r="1057" ht="20.149999999999999" customHeight="1"/>
    <row r="1058" ht="20.149999999999999" customHeight="1"/>
    <row r="1059" ht="20.149999999999999" customHeight="1"/>
    <row r="1060" ht="20.149999999999999" customHeight="1"/>
    <row r="1061" ht="20.149999999999999" customHeight="1"/>
    <row r="1062" ht="20.149999999999999" customHeight="1"/>
    <row r="1063" ht="20.149999999999999" customHeight="1"/>
    <row r="1064" ht="20.149999999999999" customHeight="1"/>
    <row r="1065" ht="20.149999999999999" customHeight="1"/>
    <row r="1066" ht="20.149999999999999" customHeight="1"/>
    <row r="1067" ht="20.149999999999999" customHeight="1"/>
    <row r="1068" ht="20.149999999999999" customHeight="1"/>
    <row r="1069" ht="20.149999999999999" customHeight="1"/>
    <row r="1070" ht="20.149999999999999" customHeight="1"/>
    <row r="1071" ht="20.149999999999999" customHeight="1"/>
    <row r="1072" ht="20.149999999999999" customHeight="1"/>
    <row r="1073" ht="20.149999999999999" customHeight="1"/>
    <row r="1074" ht="20.149999999999999" customHeight="1"/>
    <row r="1075" ht="20.149999999999999" customHeight="1"/>
    <row r="1076" ht="20.149999999999999" customHeight="1"/>
    <row r="1077" ht="20.149999999999999" customHeight="1"/>
    <row r="1078" ht="20.149999999999999" customHeight="1"/>
    <row r="1079" ht="20.149999999999999" customHeight="1"/>
    <row r="1080" ht="20.149999999999999" customHeight="1"/>
    <row r="1081" ht="20.149999999999999" customHeight="1"/>
    <row r="1082" ht="20.149999999999999" customHeight="1"/>
    <row r="1083" ht="20.149999999999999" customHeight="1"/>
    <row r="1084" ht="20.149999999999999" customHeight="1"/>
    <row r="1085" ht="20.149999999999999" customHeight="1"/>
    <row r="1086" ht="20.149999999999999" customHeight="1"/>
    <row r="1087" ht="20.149999999999999" customHeight="1"/>
    <row r="1088" ht="20.149999999999999" customHeight="1"/>
    <row r="1089" ht="20.149999999999999" customHeight="1"/>
    <row r="1090" ht="20.149999999999999" customHeight="1"/>
    <row r="1091" ht="20.149999999999999" customHeight="1"/>
    <row r="1092" ht="20.149999999999999" customHeight="1"/>
    <row r="1093" ht="20.149999999999999" customHeight="1"/>
    <row r="1094" ht="20.149999999999999" customHeight="1"/>
    <row r="1095" ht="20.149999999999999" customHeight="1"/>
    <row r="1096" ht="20.149999999999999" customHeight="1"/>
    <row r="1097" ht="20.149999999999999" customHeight="1"/>
    <row r="1098" ht="20.149999999999999" customHeight="1"/>
    <row r="1099" ht="20.149999999999999" customHeight="1"/>
    <row r="1100" ht="20.149999999999999" customHeight="1"/>
    <row r="1101" ht="20.149999999999999" customHeight="1"/>
    <row r="1102" ht="20.149999999999999" customHeight="1"/>
    <row r="1103" ht="20.149999999999999" customHeight="1"/>
    <row r="1104" ht="20.149999999999999" customHeight="1"/>
    <row r="1105" ht="20.149999999999999" customHeight="1"/>
    <row r="1106" ht="20.149999999999999" customHeight="1"/>
    <row r="1107" ht="20.149999999999999" customHeight="1"/>
    <row r="1108" ht="20.149999999999999" customHeight="1"/>
    <row r="1109" ht="20.149999999999999" customHeight="1"/>
    <row r="1110" ht="20.149999999999999" customHeight="1"/>
    <row r="1111" ht="20.149999999999999" customHeight="1"/>
    <row r="1112" ht="20.149999999999999" customHeight="1"/>
    <row r="1113" ht="20.149999999999999" customHeight="1"/>
    <row r="1114" ht="20.149999999999999" customHeight="1"/>
    <row r="1115" ht="20.149999999999999" customHeight="1"/>
    <row r="1116" ht="20.149999999999999" customHeight="1"/>
    <row r="1117" ht="20.149999999999999" customHeight="1"/>
    <row r="1118" ht="20.149999999999999" customHeight="1"/>
    <row r="1119" ht="20.149999999999999" customHeight="1"/>
    <row r="1120" ht="20.149999999999999" customHeight="1"/>
    <row r="1121" ht="20.149999999999999" customHeight="1"/>
    <row r="1122" ht="20.149999999999999" customHeight="1"/>
    <row r="1123" ht="20.149999999999999" customHeight="1"/>
    <row r="1124" ht="20.149999999999999" customHeight="1"/>
    <row r="1125" ht="20.149999999999999" customHeight="1"/>
    <row r="1126" ht="20.149999999999999" customHeight="1"/>
    <row r="1127" ht="20.149999999999999" customHeight="1"/>
    <row r="1128" ht="20.149999999999999" customHeight="1"/>
    <row r="1129" ht="20.149999999999999" customHeight="1"/>
    <row r="1130" ht="20.149999999999999" customHeight="1"/>
    <row r="1131" ht="20.149999999999999" customHeight="1"/>
    <row r="1132" ht="20.149999999999999" customHeight="1"/>
    <row r="1133" ht="20.149999999999999" customHeight="1"/>
    <row r="1134" ht="20.149999999999999" customHeight="1"/>
    <row r="1135" ht="20.149999999999999" customHeight="1"/>
    <row r="1136" ht="20.149999999999999" customHeight="1"/>
    <row r="1137" ht="20.149999999999999" customHeight="1"/>
    <row r="1138" ht="20.149999999999999" customHeight="1"/>
    <row r="1139" ht="20.149999999999999" customHeight="1"/>
    <row r="1140" ht="20.149999999999999" customHeight="1"/>
    <row r="1141" ht="20.149999999999999" customHeight="1"/>
    <row r="1142" ht="20.149999999999999" customHeight="1"/>
    <row r="1143" ht="20.149999999999999" customHeight="1"/>
    <row r="1144" ht="20.149999999999999" customHeight="1"/>
    <row r="1145" ht="20.149999999999999" customHeight="1"/>
    <row r="1146" ht="20.149999999999999" customHeight="1"/>
    <row r="1147" ht="20.149999999999999" customHeight="1"/>
    <row r="1148" ht="20.149999999999999" customHeight="1"/>
    <row r="1149" ht="20.149999999999999" customHeight="1"/>
    <row r="1150" ht="20.149999999999999" customHeight="1"/>
    <row r="1151" ht="20.149999999999999" customHeight="1"/>
    <row r="1152" ht="20.149999999999999" customHeight="1"/>
    <row r="1153" ht="20.149999999999999" customHeight="1"/>
    <row r="1154" ht="20.149999999999999" customHeight="1"/>
    <row r="1155" ht="20.149999999999999" customHeight="1"/>
    <row r="1156" ht="20.149999999999999" customHeight="1"/>
    <row r="1157" ht="20.149999999999999" customHeight="1"/>
    <row r="1158" ht="20.149999999999999" customHeight="1"/>
    <row r="1159" ht="20.149999999999999" customHeight="1"/>
    <row r="1160" ht="20.149999999999999" customHeight="1"/>
    <row r="1161" ht="20.149999999999999" customHeight="1"/>
    <row r="1162" ht="20.149999999999999" customHeight="1"/>
    <row r="1163" ht="20.149999999999999" customHeight="1"/>
    <row r="1164" ht="20.149999999999999" customHeight="1"/>
    <row r="1165" ht="20.149999999999999" customHeight="1"/>
    <row r="1166" ht="20.149999999999999" customHeight="1"/>
    <row r="1167" ht="20.149999999999999" customHeight="1"/>
    <row r="1168" ht="20.149999999999999" customHeight="1"/>
    <row r="1169" ht="20.149999999999999" customHeight="1"/>
    <row r="1170" ht="20.149999999999999" customHeight="1"/>
    <row r="1171" ht="20.149999999999999" customHeight="1"/>
    <row r="1172" ht="20.149999999999999" customHeight="1"/>
    <row r="1173" ht="20.149999999999999" customHeight="1"/>
    <row r="1174" ht="20.149999999999999" customHeight="1"/>
    <row r="1175" ht="20.149999999999999" customHeight="1"/>
    <row r="1176" ht="20.149999999999999" customHeight="1"/>
    <row r="1177" ht="20.149999999999999" customHeight="1"/>
    <row r="1178" ht="20.149999999999999" customHeight="1"/>
    <row r="1179" ht="20.149999999999999" customHeight="1"/>
    <row r="1180" ht="20.149999999999999" customHeight="1"/>
    <row r="1181" ht="20.149999999999999" customHeight="1"/>
    <row r="1182" ht="20.149999999999999" customHeight="1"/>
    <row r="1183" ht="20.149999999999999" customHeight="1"/>
    <row r="1184" ht="20.149999999999999" customHeight="1"/>
    <row r="1185" ht="20.149999999999999" customHeight="1"/>
    <row r="1186" ht="20.149999999999999" customHeight="1"/>
    <row r="1187" ht="20.149999999999999" customHeight="1"/>
    <row r="1188" ht="20.149999999999999" customHeight="1"/>
    <row r="1189" ht="20.149999999999999" customHeight="1"/>
    <row r="1190" ht="20.149999999999999" customHeight="1"/>
    <row r="1191" ht="20.149999999999999" customHeight="1"/>
    <row r="1192" ht="20.149999999999999" customHeight="1"/>
    <row r="1193" ht="20.149999999999999" customHeight="1"/>
    <row r="1194" ht="20.149999999999999" customHeight="1"/>
    <row r="1195" ht="20.149999999999999" customHeight="1"/>
    <row r="1196" ht="20.149999999999999" customHeight="1"/>
    <row r="1197" ht="20.149999999999999" customHeight="1"/>
    <row r="1198" ht="20.149999999999999" customHeight="1"/>
    <row r="1199" ht="20.149999999999999" customHeight="1"/>
    <row r="1200" ht="20.149999999999999" customHeight="1"/>
    <row r="1201" ht="20.149999999999999" customHeight="1"/>
    <row r="1202" ht="20.149999999999999" customHeight="1"/>
    <row r="1203" ht="20.149999999999999" customHeight="1"/>
    <row r="1204" ht="20.149999999999999" customHeight="1"/>
    <row r="1205" ht="20.149999999999999" customHeight="1"/>
    <row r="1206" ht="20.149999999999999" customHeight="1"/>
    <row r="1207" ht="20.149999999999999" customHeight="1"/>
    <row r="1208" ht="20.149999999999999" customHeight="1"/>
    <row r="1209" ht="20.149999999999999" customHeight="1"/>
    <row r="1210" ht="20.149999999999999" customHeight="1"/>
    <row r="1211" ht="20.149999999999999" customHeight="1"/>
    <row r="1212" ht="20.149999999999999" customHeight="1"/>
    <row r="1213" ht="20.149999999999999" customHeight="1"/>
    <row r="1214" ht="20.149999999999999" customHeight="1"/>
    <row r="1215" ht="20.149999999999999" customHeight="1"/>
    <row r="1216" ht="20.149999999999999" customHeight="1"/>
    <row r="1217" ht="20.149999999999999" customHeight="1"/>
    <row r="1218" ht="20.149999999999999" customHeight="1"/>
    <row r="1219" ht="20.149999999999999" customHeight="1"/>
    <row r="1220" ht="20.149999999999999" customHeight="1"/>
    <row r="1221" ht="20.149999999999999" customHeight="1"/>
    <row r="1222" ht="20.149999999999999" customHeight="1"/>
    <row r="1223" ht="20.149999999999999" customHeight="1"/>
    <row r="1224" ht="20.149999999999999" customHeight="1"/>
    <row r="1225" ht="20.149999999999999" customHeight="1"/>
    <row r="1226" ht="20.149999999999999" customHeight="1"/>
    <row r="1227" ht="20.149999999999999" customHeight="1"/>
    <row r="1228" ht="20.149999999999999" customHeight="1"/>
    <row r="1229" ht="20.149999999999999" customHeight="1"/>
    <row r="1230" ht="20.149999999999999" customHeight="1"/>
    <row r="1231" ht="20.149999999999999" customHeight="1"/>
    <row r="1232" ht="20.149999999999999" customHeight="1"/>
    <row r="1233" ht="20.149999999999999" customHeight="1"/>
    <row r="1234" ht="20.149999999999999" customHeight="1"/>
    <row r="1235" ht="20.149999999999999" customHeight="1"/>
    <row r="1236" ht="20.149999999999999" customHeight="1"/>
    <row r="1237" ht="20.149999999999999" customHeight="1"/>
    <row r="1238" ht="20.149999999999999" customHeight="1"/>
    <row r="1239" ht="20.149999999999999" customHeight="1"/>
    <row r="1240" ht="20.149999999999999" customHeight="1"/>
    <row r="1241" ht="20.149999999999999" customHeight="1"/>
    <row r="1242" ht="20.149999999999999" customHeight="1"/>
    <row r="1243" ht="20.149999999999999" customHeight="1"/>
    <row r="1244" ht="20.149999999999999" customHeight="1"/>
    <row r="1245" ht="20.149999999999999" customHeight="1"/>
    <row r="1246" ht="20.149999999999999" customHeight="1"/>
    <row r="1247" ht="20.149999999999999" customHeight="1"/>
    <row r="1248" ht="20.149999999999999" customHeight="1"/>
    <row r="1249" ht="20.149999999999999" customHeight="1"/>
    <row r="1250" ht="20.149999999999999" customHeight="1"/>
    <row r="1251" ht="20.149999999999999" customHeight="1"/>
    <row r="1252" ht="20.149999999999999" customHeight="1"/>
    <row r="1253" ht="20.149999999999999" customHeight="1"/>
    <row r="1254" ht="20.149999999999999" customHeight="1"/>
    <row r="1255" ht="20.149999999999999" customHeight="1"/>
    <row r="1256" ht="20.149999999999999" customHeight="1"/>
    <row r="1257" ht="20.149999999999999" customHeight="1"/>
    <row r="1258" ht="20.149999999999999" customHeight="1"/>
    <row r="1259" ht="20.149999999999999" customHeight="1"/>
    <row r="1260" ht="20.149999999999999" customHeight="1"/>
    <row r="1261" ht="20.149999999999999" customHeight="1"/>
    <row r="1262" ht="20.149999999999999" customHeight="1"/>
    <row r="1263" ht="20.149999999999999" customHeight="1"/>
    <row r="1264" ht="20.149999999999999" customHeight="1"/>
    <row r="1265" ht="20.149999999999999" customHeight="1"/>
    <row r="1266" ht="20.149999999999999" customHeight="1"/>
    <row r="1267" ht="20.149999999999999" customHeight="1"/>
    <row r="1268" ht="20.149999999999999" customHeight="1"/>
    <row r="1269" ht="20.149999999999999" customHeight="1"/>
    <row r="1270" ht="20.149999999999999" customHeight="1"/>
    <row r="1271" ht="20.149999999999999" customHeight="1"/>
    <row r="1272" ht="20.149999999999999" customHeight="1"/>
    <row r="1273" ht="20.149999999999999" customHeight="1"/>
    <row r="1274" ht="20.149999999999999" customHeight="1"/>
    <row r="1275" ht="20.149999999999999" customHeight="1"/>
    <row r="1276" ht="20.149999999999999" customHeight="1"/>
    <row r="1277" ht="20.149999999999999" customHeight="1"/>
    <row r="1278" ht="20.149999999999999" customHeight="1"/>
    <row r="1279" ht="20.149999999999999" customHeight="1"/>
    <row r="1280" ht="20.149999999999999" customHeight="1"/>
    <row r="1281" ht="20.149999999999999" customHeight="1"/>
    <row r="1282" ht="20.149999999999999" customHeight="1"/>
    <row r="1283" ht="20.149999999999999" customHeight="1"/>
    <row r="1284" ht="20.149999999999999" customHeight="1"/>
    <row r="1285" ht="20.149999999999999" customHeight="1"/>
    <row r="1286" ht="20.149999999999999" customHeight="1"/>
    <row r="1287" ht="20.149999999999999" customHeight="1"/>
    <row r="1288" ht="20.149999999999999" customHeight="1"/>
    <row r="1289" ht="20.149999999999999" customHeight="1"/>
    <row r="1290" ht="20.149999999999999" customHeight="1"/>
    <row r="1291" ht="20.149999999999999" customHeight="1"/>
    <row r="1292" ht="20.149999999999999" customHeight="1"/>
    <row r="1293" ht="20.149999999999999" customHeight="1"/>
    <row r="1294" ht="20.149999999999999" customHeight="1"/>
    <row r="1295" ht="20.149999999999999" customHeight="1"/>
    <row r="1296" ht="20.149999999999999" customHeight="1"/>
    <row r="1297" ht="20.149999999999999" customHeight="1"/>
    <row r="1298" ht="20.149999999999999" customHeight="1"/>
    <row r="1299" ht="20.149999999999999" customHeight="1"/>
    <row r="1300" ht="20.149999999999999" customHeight="1"/>
    <row r="1301" ht="20.149999999999999" customHeight="1"/>
    <row r="1302" ht="20.149999999999999" customHeight="1"/>
    <row r="1303" ht="20.149999999999999" customHeight="1"/>
    <row r="1304" ht="20.149999999999999" customHeight="1"/>
    <row r="1305" ht="20.149999999999999" customHeight="1"/>
    <row r="1306" ht="20.149999999999999" customHeight="1"/>
    <row r="1307" ht="20.149999999999999" customHeight="1"/>
    <row r="1308" ht="20.149999999999999" customHeight="1"/>
    <row r="1309" ht="20.149999999999999" customHeight="1"/>
    <row r="1310" ht="20.149999999999999" customHeight="1"/>
    <row r="1311" ht="20.149999999999999" customHeight="1"/>
    <row r="1312" ht="20.149999999999999" customHeight="1"/>
    <row r="1313" ht="20.149999999999999" customHeight="1"/>
    <row r="1314" ht="20.149999999999999" customHeight="1"/>
    <row r="1315" ht="20.149999999999999" customHeight="1"/>
    <row r="1316" ht="20.149999999999999" customHeight="1"/>
    <row r="1317" ht="20.149999999999999" customHeight="1"/>
    <row r="1318" ht="20.149999999999999" customHeight="1"/>
    <row r="1319" ht="20.149999999999999" customHeight="1"/>
    <row r="1320" ht="20.149999999999999" customHeight="1"/>
    <row r="1321" ht="20.149999999999999" customHeight="1"/>
    <row r="1322" ht="20.149999999999999" customHeight="1"/>
    <row r="1323" ht="20.149999999999999" customHeight="1"/>
    <row r="1324" ht="20.149999999999999" customHeight="1"/>
    <row r="1325" ht="20.149999999999999" customHeight="1"/>
    <row r="1326" ht="20.149999999999999" customHeight="1"/>
    <row r="1327" ht="20.149999999999999" customHeight="1"/>
    <row r="1328" ht="20.149999999999999" customHeight="1"/>
    <row r="1329" ht="20.149999999999999" customHeight="1"/>
    <row r="1330" ht="20.149999999999999" customHeight="1"/>
    <row r="1331" ht="20.149999999999999" customHeight="1"/>
    <row r="1332" ht="20.149999999999999" customHeight="1"/>
    <row r="1333" ht="20.149999999999999" customHeight="1"/>
    <row r="1334" ht="20.149999999999999" customHeight="1"/>
    <row r="1335" ht="20.149999999999999" customHeight="1"/>
    <row r="1336" ht="20.149999999999999" customHeight="1"/>
    <row r="1337" ht="20.149999999999999" customHeight="1"/>
    <row r="1338" ht="20.149999999999999" customHeight="1"/>
    <row r="1339" ht="20.149999999999999" customHeight="1"/>
    <row r="1340" ht="20.149999999999999" customHeight="1"/>
    <row r="1341" ht="20.149999999999999" customHeight="1"/>
    <row r="1342" ht="20.149999999999999" customHeight="1"/>
    <row r="1343" ht="20.149999999999999" customHeight="1"/>
    <row r="1344" ht="20.149999999999999" customHeight="1"/>
    <row r="1345" ht="20.149999999999999" customHeight="1"/>
    <row r="1346" ht="20.149999999999999" customHeight="1"/>
    <row r="1347" ht="20.149999999999999" customHeight="1"/>
    <row r="1348" ht="20.149999999999999" customHeight="1"/>
    <row r="1349" ht="20.149999999999999" customHeight="1"/>
    <row r="1350" ht="20.149999999999999" customHeight="1"/>
    <row r="1351" ht="20.149999999999999" customHeight="1"/>
    <row r="1352" ht="20.149999999999999" customHeight="1"/>
    <row r="1353" ht="20.149999999999999" customHeight="1"/>
    <row r="1354" ht="20.149999999999999" customHeight="1"/>
    <row r="1355" ht="20.149999999999999" customHeight="1"/>
    <row r="1356" ht="20.149999999999999" customHeight="1"/>
    <row r="1357" ht="20.149999999999999" customHeight="1"/>
    <row r="1358" ht="20.149999999999999" customHeight="1"/>
    <row r="1359" ht="20.149999999999999" customHeight="1"/>
    <row r="1360" ht="20.149999999999999" customHeight="1"/>
    <row r="1361" ht="20.149999999999999" customHeight="1"/>
    <row r="1362" ht="20.149999999999999" customHeight="1"/>
    <row r="1363" ht="20.149999999999999" customHeight="1"/>
    <row r="1364" ht="20.149999999999999" customHeight="1"/>
    <row r="1365" ht="20.149999999999999" customHeight="1"/>
    <row r="1366" ht="20.149999999999999" customHeight="1"/>
    <row r="1367" ht="20.149999999999999" customHeight="1"/>
    <row r="1368" ht="20.149999999999999" customHeight="1"/>
    <row r="1369" ht="20.149999999999999" customHeight="1"/>
    <row r="1370" ht="20.149999999999999" customHeight="1"/>
    <row r="1371" ht="20.149999999999999" customHeight="1"/>
    <row r="1372" ht="20.149999999999999" customHeight="1"/>
    <row r="1373" ht="20.149999999999999" customHeight="1"/>
    <row r="1374" ht="20.149999999999999" customHeight="1"/>
    <row r="1375" ht="20.149999999999999" customHeight="1"/>
    <row r="1376" ht="20.149999999999999" customHeight="1"/>
    <row r="1377" ht="20.149999999999999" customHeight="1"/>
    <row r="1378" ht="20.149999999999999" customHeight="1"/>
    <row r="1379" ht="20.149999999999999" customHeight="1"/>
    <row r="1380" ht="20.149999999999999" customHeight="1"/>
    <row r="1381" ht="20.149999999999999" customHeight="1"/>
    <row r="1382" ht="20.149999999999999" customHeight="1"/>
    <row r="1383" ht="20.149999999999999" customHeight="1"/>
    <row r="1384" ht="20.149999999999999" customHeight="1"/>
    <row r="1385" ht="20.149999999999999" customHeight="1"/>
    <row r="1386" ht="20.149999999999999" customHeight="1"/>
    <row r="1387" ht="20.149999999999999" customHeight="1"/>
    <row r="1388" ht="20.149999999999999" customHeight="1"/>
    <row r="1389" ht="20.149999999999999" customHeight="1"/>
    <row r="1390" ht="20.149999999999999" customHeight="1"/>
    <row r="1391" ht="20.149999999999999" customHeight="1"/>
    <row r="1392" ht="20.149999999999999" customHeight="1"/>
    <row r="1393" ht="20.149999999999999" customHeight="1"/>
    <row r="1394" ht="20.149999999999999" customHeight="1"/>
    <row r="1395" ht="20.149999999999999" customHeight="1"/>
    <row r="1396" ht="20.149999999999999" customHeight="1"/>
    <row r="1397" ht="20.149999999999999" customHeight="1"/>
    <row r="1398" ht="20.149999999999999" customHeight="1"/>
    <row r="1399" ht="20.149999999999999" customHeight="1"/>
    <row r="1400" ht="20.149999999999999" customHeight="1"/>
    <row r="1401" ht="20.149999999999999" customHeight="1"/>
    <row r="1402" ht="20.149999999999999" customHeight="1"/>
    <row r="1403" ht="20.149999999999999" customHeight="1"/>
    <row r="1404" ht="20.149999999999999" customHeight="1"/>
    <row r="1405" ht="20.149999999999999" customHeight="1"/>
    <row r="1406" ht="20.149999999999999" customHeight="1"/>
    <row r="1407" ht="20.149999999999999" customHeight="1"/>
    <row r="1408" ht="20.149999999999999" customHeight="1"/>
    <row r="1409" ht="20.149999999999999" customHeight="1"/>
    <row r="1410" ht="20.149999999999999" customHeight="1"/>
    <row r="1411" ht="20.149999999999999" customHeight="1"/>
    <row r="1412" ht="20.149999999999999" customHeight="1"/>
    <row r="1413" ht="20.149999999999999" customHeight="1"/>
    <row r="1414" ht="20.149999999999999" customHeight="1"/>
    <row r="1415" ht="20.149999999999999" customHeight="1"/>
    <row r="1416" ht="20.149999999999999" customHeight="1"/>
    <row r="1417" ht="20.149999999999999" customHeight="1"/>
    <row r="1418" ht="20.149999999999999" customHeight="1"/>
    <row r="1419" ht="20.149999999999999" customHeight="1"/>
    <row r="1420" ht="20.149999999999999" customHeight="1"/>
    <row r="1421" ht="20.149999999999999" customHeight="1"/>
    <row r="1422" ht="20.149999999999999" customHeight="1"/>
    <row r="1423" ht="20.149999999999999" customHeight="1"/>
    <row r="1424" ht="20.149999999999999" customHeight="1"/>
    <row r="1425" ht="20.149999999999999" customHeight="1"/>
    <row r="1426" ht="20.149999999999999" customHeight="1"/>
    <row r="1427" ht="20.149999999999999" customHeight="1"/>
    <row r="1428" ht="20.149999999999999" customHeight="1"/>
    <row r="1429" ht="20.149999999999999" customHeight="1"/>
    <row r="1430" ht="20.149999999999999" customHeight="1"/>
    <row r="1431" ht="20.149999999999999" customHeight="1"/>
    <row r="1432" ht="20.149999999999999" customHeight="1"/>
    <row r="1433" ht="20.149999999999999" customHeight="1"/>
    <row r="1434" ht="20.149999999999999" customHeight="1"/>
    <row r="1435" ht="20.149999999999999" customHeight="1"/>
    <row r="1436" ht="20.149999999999999" customHeight="1"/>
    <row r="1437" ht="20.149999999999999" customHeight="1"/>
    <row r="1438" ht="20.149999999999999" customHeight="1"/>
    <row r="1439" ht="20.149999999999999" customHeight="1"/>
    <row r="1440" ht="20.149999999999999" customHeight="1"/>
    <row r="1441" ht="20.149999999999999" customHeight="1"/>
    <row r="1442" ht="20.149999999999999" customHeight="1"/>
    <row r="1443" ht="20.149999999999999" customHeight="1"/>
    <row r="1444" ht="20.149999999999999" customHeight="1"/>
    <row r="1445" ht="20.149999999999999" customHeight="1"/>
    <row r="1446" ht="20.149999999999999" customHeight="1"/>
    <row r="1447" ht="20.149999999999999" customHeight="1"/>
    <row r="1448" ht="20.149999999999999" customHeight="1"/>
    <row r="1449" ht="20.149999999999999" customHeight="1"/>
    <row r="1450" ht="20.149999999999999" customHeight="1"/>
    <row r="1451" ht="20.149999999999999" customHeight="1"/>
    <row r="1452" ht="20.149999999999999" customHeight="1"/>
    <row r="1453" ht="20.149999999999999" customHeight="1"/>
    <row r="1454" ht="20.149999999999999" customHeight="1"/>
    <row r="1455" ht="20.149999999999999" customHeight="1"/>
    <row r="1456" ht="20.149999999999999" customHeight="1"/>
    <row r="1457" ht="20.149999999999999" customHeight="1"/>
    <row r="1458" ht="20.149999999999999" customHeight="1"/>
    <row r="1459" ht="20.149999999999999" customHeight="1"/>
    <row r="1460" ht="20.149999999999999" customHeight="1"/>
    <row r="1461" ht="20.149999999999999" customHeight="1"/>
    <row r="1462" ht="20.149999999999999" customHeight="1"/>
    <row r="1463" ht="20.149999999999999" customHeight="1"/>
    <row r="1464" ht="20.149999999999999" customHeight="1"/>
    <row r="1465" ht="20.149999999999999" customHeight="1"/>
    <row r="1466" ht="20.149999999999999" customHeight="1"/>
    <row r="1467" ht="20.149999999999999" customHeight="1"/>
    <row r="1468" ht="20.149999999999999" customHeight="1"/>
    <row r="1469" ht="20.149999999999999" customHeight="1"/>
    <row r="1470" ht="20.149999999999999" customHeight="1"/>
    <row r="1471" ht="20.149999999999999" customHeight="1"/>
    <row r="1472" ht="20.149999999999999" customHeight="1"/>
    <row r="1473" ht="20.149999999999999" customHeight="1"/>
    <row r="1474" ht="20.149999999999999" customHeight="1"/>
    <row r="1475" ht="20.149999999999999" customHeight="1"/>
    <row r="1476" ht="20.149999999999999" customHeight="1"/>
    <row r="1477" ht="20.149999999999999" customHeight="1"/>
    <row r="1478" ht="20.149999999999999" customHeight="1"/>
    <row r="1479" ht="20.149999999999999" customHeight="1"/>
    <row r="1480" ht="20.149999999999999" customHeight="1"/>
    <row r="1481" ht="20.149999999999999" customHeight="1"/>
    <row r="1482" ht="20.149999999999999" customHeight="1"/>
    <row r="1483" ht="20.149999999999999" customHeight="1"/>
    <row r="1484" ht="20.149999999999999" customHeight="1"/>
    <row r="1485" ht="20.149999999999999" customHeight="1"/>
    <row r="1486" ht="20.149999999999999" customHeight="1"/>
    <row r="1487" ht="20.149999999999999" customHeight="1"/>
    <row r="1488" ht="20.149999999999999" customHeight="1"/>
    <row r="1489" ht="20.149999999999999" customHeight="1"/>
    <row r="1490" ht="20.149999999999999" customHeight="1"/>
    <row r="1491" ht="20.149999999999999" customHeight="1"/>
    <row r="1492" ht="20.149999999999999" customHeight="1"/>
    <row r="1493" ht="20.149999999999999" customHeight="1"/>
    <row r="1494" ht="20.149999999999999" customHeight="1"/>
    <row r="1495" ht="20.149999999999999" customHeight="1"/>
    <row r="1496" ht="20.149999999999999" customHeight="1"/>
    <row r="1497" ht="20.149999999999999" customHeight="1"/>
    <row r="1498" ht="20.149999999999999" customHeight="1"/>
    <row r="1499" ht="20.149999999999999" customHeight="1"/>
    <row r="1500" ht="20.149999999999999" customHeight="1"/>
    <row r="1501" ht="20.149999999999999" customHeight="1"/>
    <row r="1502" ht="20.149999999999999" customHeight="1"/>
    <row r="1503" ht="20.149999999999999" customHeight="1"/>
    <row r="1504" ht="20.149999999999999" customHeight="1"/>
    <row r="1505" ht="20.149999999999999" customHeight="1"/>
    <row r="1506" ht="20.149999999999999" customHeight="1"/>
    <row r="1507" ht="20.149999999999999" customHeight="1"/>
    <row r="1508" ht="20.149999999999999" customHeight="1"/>
    <row r="1509" ht="20.149999999999999" customHeight="1"/>
    <row r="1510" ht="20.149999999999999" customHeight="1"/>
    <row r="1511" ht="20.149999999999999" customHeight="1"/>
    <row r="1512" ht="20.149999999999999" customHeight="1"/>
    <row r="1513" ht="20.149999999999999" customHeight="1"/>
    <row r="1514" ht="20.149999999999999" customHeight="1"/>
    <row r="1515" ht="20.149999999999999" customHeight="1"/>
    <row r="1516" ht="20.149999999999999" customHeight="1"/>
    <row r="1517" ht="20.149999999999999" customHeight="1"/>
    <row r="1518" ht="20.149999999999999" customHeight="1"/>
    <row r="1519" ht="20.149999999999999" customHeight="1"/>
    <row r="1520" ht="20.149999999999999" customHeight="1"/>
    <row r="1521" ht="20.149999999999999" customHeight="1"/>
    <row r="1522" ht="20.149999999999999" customHeight="1"/>
    <row r="1523" ht="20.149999999999999" customHeight="1"/>
    <row r="1524" ht="20.149999999999999" customHeight="1"/>
    <row r="1525" ht="20.149999999999999" customHeight="1"/>
    <row r="1526" ht="20.149999999999999" customHeight="1"/>
    <row r="1527" ht="20.149999999999999" customHeight="1"/>
    <row r="1528" ht="20.149999999999999" customHeight="1"/>
    <row r="1529" ht="20.149999999999999" customHeight="1"/>
    <row r="1530" ht="20.149999999999999" customHeight="1"/>
    <row r="1531" ht="20.149999999999999" customHeight="1"/>
    <row r="1532" ht="20.149999999999999" customHeight="1"/>
    <row r="1533" ht="20.149999999999999" customHeight="1"/>
    <row r="1534" ht="20.149999999999999" customHeight="1"/>
    <row r="1535" ht="20.149999999999999" customHeight="1"/>
    <row r="1536" ht="20.149999999999999" customHeight="1"/>
    <row r="1537" ht="20.149999999999999" customHeight="1"/>
    <row r="1538" ht="20.149999999999999" customHeight="1"/>
    <row r="1539" ht="20.149999999999999" customHeight="1"/>
    <row r="1540" ht="20.149999999999999" customHeight="1"/>
    <row r="1541" ht="20.149999999999999" customHeight="1"/>
    <row r="1542" ht="20.149999999999999" customHeight="1"/>
    <row r="1543" ht="20.149999999999999" customHeight="1"/>
    <row r="1544" ht="20.149999999999999" customHeight="1"/>
    <row r="1545" ht="20.149999999999999" customHeight="1"/>
    <row r="1546" ht="20.149999999999999" customHeight="1"/>
    <row r="1547" ht="20.149999999999999" customHeight="1"/>
    <row r="1548" ht="20.149999999999999" customHeight="1"/>
    <row r="1549" ht="20.149999999999999" customHeight="1"/>
    <row r="1550" ht="20.149999999999999" customHeight="1"/>
    <row r="1551" ht="20.149999999999999" customHeight="1"/>
    <row r="1552" ht="20.149999999999999" customHeight="1"/>
    <row r="1553" ht="20.149999999999999" customHeight="1"/>
    <row r="1554" ht="20.149999999999999" customHeight="1"/>
    <row r="1555" ht="20.149999999999999" customHeight="1"/>
    <row r="1556" ht="20.149999999999999" customHeight="1"/>
    <row r="1557" ht="20.149999999999999" customHeight="1"/>
    <row r="1558" ht="20.149999999999999" customHeight="1"/>
    <row r="1559" ht="20.149999999999999" customHeight="1"/>
    <row r="1560" ht="20.149999999999999" customHeight="1"/>
    <row r="1561" ht="20.149999999999999" customHeight="1"/>
    <row r="1562" ht="20.149999999999999" customHeight="1"/>
    <row r="1563" ht="20.149999999999999" customHeight="1"/>
    <row r="1564" ht="20.149999999999999" customHeight="1"/>
    <row r="1565" ht="20.149999999999999" customHeight="1"/>
    <row r="1566" ht="20.149999999999999" customHeight="1"/>
    <row r="1567" ht="20.149999999999999" customHeight="1"/>
    <row r="1568" ht="20.149999999999999" customHeight="1"/>
    <row r="1569" ht="20.149999999999999" customHeight="1"/>
    <row r="1570" ht="20.149999999999999" customHeight="1"/>
    <row r="1571" ht="20.149999999999999" customHeight="1"/>
    <row r="1572" ht="20.149999999999999" customHeight="1"/>
    <row r="1573" ht="20.149999999999999" customHeight="1"/>
    <row r="1574" ht="20.149999999999999" customHeight="1"/>
    <row r="1575" ht="20.149999999999999" customHeight="1"/>
    <row r="1576" ht="20.149999999999999" customHeight="1"/>
    <row r="1577" ht="20.149999999999999" customHeight="1"/>
    <row r="1578" ht="20.149999999999999" customHeight="1"/>
    <row r="1579" ht="20.149999999999999" customHeight="1"/>
    <row r="1580" ht="20.149999999999999" customHeight="1"/>
    <row r="1581" ht="20.149999999999999" customHeight="1"/>
    <row r="1582" ht="20.149999999999999" customHeight="1"/>
    <row r="1583" ht="20.149999999999999" customHeight="1"/>
    <row r="1584" ht="20.149999999999999" customHeight="1"/>
    <row r="1585" ht="20.149999999999999" customHeight="1"/>
    <row r="1586" ht="20.149999999999999" customHeight="1"/>
    <row r="1587" ht="20.149999999999999" customHeight="1"/>
    <row r="1588" ht="20.149999999999999" customHeight="1"/>
    <row r="1589" ht="20.149999999999999" customHeight="1"/>
    <row r="1590" ht="20.149999999999999" customHeight="1"/>
    <row r="1591" ht="20.149999999999999" customHeight="1"/>
    <row r="1592" ht="20.149999999999999" customHeight="1"/>
    <row r="1593" ht="20.149999999999999" customHeight="1"/>
    <row r="1594" ht="20.149999999999999" customHeight="1"/>
    <row r="1595" ht="20.149999999999999" customHeight="1"/>
    <row r="1596" ht="20.149999999999999" customHeight="1"/>
    <row r="1597" ht="20.149999999999999" customHeight="1"/>
    <row r="1598" ht="20.149999999999999" customHeight="1"/>
    <row r="1599" ht="20.149999999999999" customHeight="1"/>
    <row r="1600" ht="20.149999999999999" customHeight="1"/>
    <row r="1601" ht="20.149999999999999" customHeight="1"/>
    <row r="1602" ht="20.149999999999999" customHeight="1"/>
    <row r="1603" ht="20.149999999999999" customHeight="1"/>
    <row r="1604" ht="20.149999999999999" customHeight="1"/>
    <row r="1605" ht="20.149999999999999" customHeight="1"/>
    <row r="1606" ht="20.149999999999999" customHeight="1"/>
    <row r="1607" ht="20.149999999999999" customHeight="1"/>
    <row r="1608" ht="20.149999999999999" customHeight="1"/>
    <row r="1609" ht="20.149999999999999" customHeight="1"/>
    <row r="1610" ht="20.149999999999999" customHeight="1"/>
    <row r="1611" ht="20.149999999999999" customHeight="1"/>
    <row r="1612" ht="20.149999999999999" customHeight="1"/>
    <row r="1613" ht="20.149999999999999" customHeight="1"/>
    <row r="1614" ht="20.149999999999999" customHeight="1"/>
    <row r="1615" ht="20.149999999999999" customHeight="1"/>
    <row r="1616" ht="20.149999999999999" customHeight="1"/>
    <row r="1617" ht="20.149999999999999" customHeight="1"/>
    <row r="1618" ht="20.149999999999999" customHeight="1"/>
    <row r="1619" ht="20.149999999999999" customHeight="1"/>
    <row r="1620" ht="20.149999999999999" customHeight="1"/>
    <row r="1621" ht="20.149999999999999" customHeight="1"/>
    <row r="1622" ht="20.149999999999999" customHeight="1"/>
    <row r="1623" ht="20.149999999999999" customHeight="1"/>
    <row r="1624" ht="20.149999999999999" customHeight="1"/>
    <row r="1625" ht="20.149999999999999" customHeight="1"/>
    <row r="1626" ht="20.149999999999999" customHeight="1"/>
    <row r="1627" ht="20.149999999999999" customHeight="1"/>
    <row r="1628" ht="20.149999999999999" customHeight="1"/>
    <row r="1629" ht="20.149999999999999" customHeight="1"/>
    <row r="1630" ht="20.149999999999999" customHeight="1"/>
    <row r="1631" ht="20.149999999999999" customHeight="1"/>
    <row r="1632" ht="20.149999999999999" customHeight="1"/>
    <row r="1633" ht="20.149999999999999" customHeight="1"/>
    <row r="1634" ht="20.149999999999999" customHeight="1"/>
    <row r="1635" ht="20.149999999999999" customHeight="1"/>
    <row r="1636" ht="20.149999999999999" customHeight="1"/>
    <row r="1637" ht="20.149999999999999" customHeight="1"/>
    <row r="1638" ht="20.149999999999999" customHeight="1"/>
    <row r="1639" ht="20.149999999999999" customHeight="1"/>
    <row r="1640" ht="20.149999999999999" customHeight="1"/>
    <row r="1641" ht="20.149999999999999" customHeight="1"/>
    <row r="1642" ht="20.149999999999999" customHeight="1"/>
    <row r="1643" ht="20.149999999999999" customHeight="1"/>
    <row r="1644" ht="20.149999999999999" customHeight="1"/>
    <row r="1645" ht="20.149999999999999" customHeight="1"/>
    <row r="1646" ht="20.149999999999999" customHeight="1"/>
    <row r="1647" ht="20.149999999999999" customHeight="1"/>
    <row r="1648" ht="20.149999999999999" customHeight="1"/>
    <row r="1649" ht="20.149999999999999" customHeight="1"/>
    <row r="1650" ht="20.149999999999999" customHeight="1"/>
    <row r="1651" ht="20.149999999999999" customHeight="1"/>
    <row r="1652" ht="20.149999999999999" customHeight="1"/>
    <row r="1653" ht="20.149999999999999" customHeight="1"/>
    <row r="1654" ht="20.149999999999999" customHeight="1"/>
    <row r="1655" ht="20.149999999999999" customHeight="1"/>
    <row r="1656" ht="20.149999999999999" customHeight="1"/>
    <row r="1657" ht="20.149999999999999" customHeight="1"/>
    <row r="1658" ht="20.149999999999999" customHeight="1"/>
    <row r="1659" ht="20.149999999999999" customHeight="1"/>
    <row r="1660" ht="20.149999999999999" customHeight="1"/>
    <row r="1661" ht="20.149999999999999" customHeight="1"/>
    <row r="1662" ht="20.149999999999999" customHeight="1"/>
    <row r="1663" ht="20.149999999999999" customHeight="1"/>
    <row r="1664" ht="20.149999999999999" customHeight="1"/>
    <row r="1665" ht="20.149999999999999" customHeight="1"/>
    <row r="1666" ht="20.149999999999999" customHeight="1"/>
    <row r="1667" ht="20.149999999999999" customHeight="1"/>
    <row r="1668" ht="20.149999999999999" customHeight="1"/>
    <row r="1669" ht="20.149999999999999" customHeight="1"/>
    <row r="1670" ht="20.149999999999999" customHeight="1"/>
    <row r="1671" ht="20.149999999999999" customHeight="1"/>
    <row r="1672" ht="20.149999999999999" customHeight="1"/>
    <row r="1673" ht="20.149999999999999" customHeight="1"/>
    <row r="1674" ht="20.149999999999999" customHeight="1"/>
    <row r="1675" ht="20.149999999999999" customHeight="1"/>
    <row r="1676" ht="20.149999999999999" customHeight="1"/>
    <row r="1677" ht="20.149999999999999" customHeight="1"/>
    <row r="1678" ht="20.149999999999999" customHeight="1"/>
    <row r="1679" ht="20.149999999999999" customHeight="1"/>
    <row r="1680" ht="20.149999999999999" customHeight="1"/>
    <row r="1681" ht="20.149999999999999" customHeight="1"/>
    <row r="1682" ht="20.149999999999999" customHeight="1"/>
    <row r="1683" ht="20.149999999999999" customHeight="1"/>
    <row r="1684" ht="20.149999999999999" customHeight="1"/>
    <row r="1685" ht="20.149999999999999" customHeight="1"/>
    <row r="1686" ht="20.149999999999999" customHeight="1"/>
    <row r="1687" ht="20.149999999999999" customHeight="1"/>
    <row r="1688" ht="20.149999999999999" customHeight="1"/>
    <row r="1689" ht="20.149999999999999" customHeight="1"/>
    <row r="1690" ht="20.149999999999999" customHeight="1"/>
    <row r="1691" ht="20.149999999999999" customHeight="1"/>
    <row r="1692" ht="20.149999999999999" customHeight="1"/>
    <row r="1693" ht="20.149999999999999" customHeight="1"/>
    <row r="1694" ht="20.149999999999999" customHeight="1"/>
    <row r="1695" ht="20.149999999999999" customHeight="1"/>
    <row r="1696" ht="20.149999999999999" customHeight="1"/>
    <row r="1697" ht="20.149999999999999" customHeight="1"/>
    <row r="1698" ht="20.149999999999999" customHeight="1"/>
    <row r="1699" ht="20.149999999999999" customHeight="1"/>
    <row r="1700" ht="20.149999999999999" customHeight="1"/>
    <row r="1701" ht="20.149999999999999" customHeight="1"/>
    <row r="1702" ht="20.149999999999999" customHeight="1"/>
    <row r="1703" ht="20.149999999999999" customHeight="1"/>
    <row r="1704" ht="20.149999999999999" customHeight="1"/>
    <row r="1705" ht="20.149999999999999" customHeight="1"/>
    <row r="1706" ht="20.149999999999999" customHeight="1"/>
    <row r="1707" ht="20.149999999999999" customHeight="1"/>
    <row r="1708" ht="20.149999999999999" customHeight="1"/>
    <row r="1709" ht="20.149999999999999" customHeight="1"/>
    <row r="1710" ht="20.149999999999999" customHeight="1"/>
    <row r="1711" ht="20.149999999999999" customHeight="1"/>
    <row r="1712" ht="20.149999999999999" customHeight="1"/>
    <row r="1713" ht="20.149999999999999" customHeight="1"/>
    <row r="1714" ht="20.149999999999999" customHeight="1"/>
    <row r="1715" ht="20.149999999999999" customHeight="1"/>
    <row r="1716" ht="20.149999999999999" customHeight="1"/>
    <row r="1717" ht="20.149999999999999" customHeight="1"/>
    <row r="1718" ht="20.149999999999999" customHeight="1"/>
    <row r="1719" ht="20.149999999999999" customHeight="1"/>
    <row r="1720" ht="20.149999999999999" customHeight="1"/>
    <row r="1721" ht="20.149999999999999" customHeight="1"/>
    <row r="1722" ht="20.149999999999999" customHeight="1"/>
    <row r="1723" ht="20.149999999999999" customHeight="1"/>
    <row r="1724" ht="20.149999999999999" customHeight="1"/>
    <row r="1725" ht="20.149999999999999" customHeight="1"/>
    <row r="1726" ht="20.149999999999999" customHeight="1"/>
    <row r="1727" ht="20.149999999999999" customHeight="1"/>
    <row r="1728" ht="20.149999999999999" customHeight="1"/>
    <row r="1729" ht="20.149999999999999" customHeight="1"/>
    <row r="1730" ht="20.149999999999999" customHeight="1"/>
    <row r="1731" ht="20.149999999999999" customHeight="1"/>
    <row r="1732" ht="20.149999999999999" customHeight="1"/>
    <row r="1733" ht="20.149999999999999" customHeight="1"/>
    <row r="1734" ht="20.149999999999999" customHeight="1"/>
    <row r="1735" ht="20.149999999999999" customHeight="1"/>
    <row r="1736" ht="20.149999999999999" customHeight="1"/>
    <row r="1737" ht="20.149999999999999" customHeight="1"/>
    <row r="1738" ht="20.149999999999999" customHeight="1"/>
    <row r="1739" ht="20.149999999999999" customHeight="1"/>
    <row r="1740" ht="20.149999999999999" customHeight="1"/>
    <row r="1741" ht="20.149999999999999" customHeight="1"/>
    <row r="1742" ht="20.149999999999999" customHeight="1"/>
    <row r="1743" ht="20.149999999999999" customHeight="1"/>
    <row r="1744" ht="20.149999999999999" customHeight="1"/>
    <row r="1745" ht="20.149999999999999" customHeight="1"/>
    <row r="1746" ht="20.149999999999999" customHeight="1"/>
    <row r="1747" ht="20.149999999999999" customHeight="1"/>
    <row r="1748" ht="20.149999999999999" customHeight="1"/>
    <row r="1749" ht="20.149999999999999" customHeight="1"/>
    <row r="1750" ht="20.149999999999999" customHeight="1"/>
    <row r="1751" ht="20.149999999999999" customHeight="1"/>
    <row r="1752" ht="20.149999999999999" customHeight="1"/>
    <row r="1753" ht="20.149999999999999" customHeight="1"/>
    <row r="1754" ht="20.149999999999999" customHeight="1"/>
    <row r="1755" ht="20.149999999999999" customHeight="1"/>
    <row r="1756" ht="20.149999999999999" customHeight="1"/>
    <row r="1757" ht="20.149999999999999" customHeight="1"/>
    <row r="1758" ht="20.149999999999999" customHeight="1"/>
    <row r="1759" ht="20.149999999999999" customHeight="1"/>
    <row r="1760" ht="20.149999999999999" customHeight="1"/>
    <row r="1761" ht="20.149999999999999" customHeight="1"/>
    <row r="1762" ht="20.149999999999999" customHeight="1"/>
    <row r="1763" ht="20.149999999999999" customHeight="1"/>
    <row r="1764" ht="20.149999999999999" customHeight="1"/>
    <row r="1765" ht="20.149999999999999" customHeight="1"/>
    <row r="1766" ht="20.149999999999999" customHeight="1"/>
    <row r="1767" ht="20.149999999999999" customHeight="1"/>
    <row r="1768" ht="20.149999999999999" customHeight="1"/>
    <row r="1769" ht="20.149999999999999" customHeight="1"/>
    <row r="1770" ht="20.149999999999999" customHeight="1"/>
    <row r="1771" ht="20.149999999999999" customHeight="1"/>
    <row r="1772" ht="20.149999999999999" customHeight="1"/>
    <row r="1773" ht="20.149999999999999" customHeight="1"/>
    <row r="1774" ht="20.149999999999999" customHeight="1"/>
    <row r="1775" ht="20.149999999999999" customHeight="1"/>
    <row r="1776" ht="20.149999999999999" customHeight="1"/>
    <row r="1777" ht="20.149999999999999" customHeight="1"/>
    <row r="1778" ht="20.149999999999999" customHeight="1"/>
    <row r="1779" ht="20.149999999999999" customHeight="1"/>
    <row r="1780" ht="20.149999999999999" customHeight="1"/>
    <row r="1781" ht="20.149999999999999" customHeight="1"/>
    <row r="1782" ht="20.149999999999999" customHeight="1"/>
    <row r="1783" ht="20.149999999999999" customHeight="1"/>
    <row r="1784" ht="20.149999999999999" customHeight="1"/>
    <row r="1785" ht="20.149999999999999" customHeight="1"/>
    <row r="1786" ht="20.149999999999999" customHeight="1"/>
    <row r="1787" ht="20.149999999999999" customHeight="1"/>
    <row r="1788" ht="20.149999999999999" customHeight="1"/>
    <row r="1789" ht="20.149999999999999" customHeight="1"/>
    <row r="1790" ht="20.149999999999999" customHeight="1"/>
    <row r="1791" ht="20.149999999999999" customHeight="1"/>
    <row r="1792" ht="20.149999999999999" customHeight="1"/>
    <row r="1793" ht="20.149999999999999" customHeight="1"/>
    <row r="1794" ht="20.149999999999999" customHeight="1"/>
    <row r="1795" ht="20.149999999999999" customHeight="1"/>
    <row r="1796" ht="20.149999999999999" customHeight="1"/>
    <row r="1797" ht="20.149999999999999" customHeight="1"/>
    <row r="1798" ht="20.149999999999999" customHeight="1"/>
    <row r="1799" ht="20.149999999999999" customHeight="1"/>
    <row r="1800" ht="20.149999999999999" customHeight="1"/>
    <row r="1801" ht="20.149999999999999" customHeight="1"/>
    <row r="1802" ht="20.149999999999999" customHeight="1"/>
    <row r="1803" ht="20.149999999999999" customHeight="1"/>
    <row r="1804" ht="20.149999999999999" customHeight="1"/>
    <row r="1805" ht="20.149999999999999" customHeight="1"/>
    <row r="1806" ht="20.149999999999999" customHeight="1"/>
    <row r="1807" ht="20.149999999999999" customHeight="1"/>
    <row r="1808" ht="20.149999999999999" customHeight="1"/>
    <row r="1809" ht="20.149999999999999" customHeight="1"/>
    <row r="1810" ht="20.149999999999999" customHeight="1"/>
    <row r="1811" ht="20.149999999999999" customHeight="1"/>
    <row r="1812" ht="20.149999999999999" customHeight="1"/>
    <row r="1813" ht="20.149999999999999" customHeight="1"/>
    <row r="1814" ht="20.149999999999999" customHeight="1"/>
    <row r="1815" ht="20.149999999999999" customHeight="1"/>
    <row r="1816" ht="20.149999999999999" customHeight="1"/>
    <row r="1817" ht="20.149999999999999" customHeight="1"/>
    <row r="1818" ht="20.149999999999999" customHeight="1"/>
    <row r="1819" ht="20.149999999999999" customHeight="1"/>
    <row r="1820" ht="20.149999999999999" customHeight="1"/>
    <row r="1821" ht="20.149999999999999" customHeight="1"/>
    <row r="1822" ht="20.149999999999999" customHeight="1"/>
    <row r="1823" ht="20.149999999999999" customHeight="1"/>
    <row r="1824" ht="20.149999999999999" customHeight="1"/>
    <row r="1825" ht="20.149999999999999" customHeight="1"/>
    <row r="1826" ht="20.149999999999999" customHeight="1"/>
    <row r="1827" ht="20.149999999999999" customHeight="1"/>
    <row r="1828" ht="20.149999999999999" customHeight="1"/>
    <row r="1829" ht="20.149999999999999" customHeight="1"/>
    <row r="1830" ht="20.149999999999999" customHeight="1"/>
    <row r="1831" ht="20.149999999999999" customHeight="1"/>
    <row r="1832" ht="20.149999999999999" customHeight="1"/>
    <row r="1833" ht="20.149999999999999" customHeight="1"/>
    <row r="1834" ht="20.149999999999999" customHeight="1"/>
    <row r="1835" ht="20.149999999999999" customHeight="1"/>
    <row r="1836" ht="20.149999999999999" customHeight="1"/>
    <row r="1837" ht="20.149999999999999" customHeight="1"/>
    <row r="1838" ht="20.149999999999999" customHeight="1"/>
    <row r="1839" ht="20.149999999999999" customHeight="1"/>
    <row r="1840" ht="20.149999999999999" customHeight="1"/>
    <row r="1841" ht="20.149999999999999" customHeight="1"/>
    <row r="1842" ht="20.149999999999999" customHeight="1"/>
    <row r="1843" ht="20.149999999999999" customHeight="1"/>
    <row r="1844" ht="20.149999999999999" customHeight="1"/>
    <row r="1845" ht="20.149999999999999" customHeight="1"/>
    <row r="1846" ht="20.149999999999999" customHeight="1"/>
    <row r="1847" ht="20.149999999999999" customHeight="1"/>
    <row r="1848" ht="20.149999999999999" customHeight="1"/>
    <row r="1849" ht="20.149999999999999" customHeight="1"/>
    <row r="1850" ht="20.149999999999999" customHeight="1"/>
    <row r="1851" ht="20.149999999999999" customHeight="1"/>
    <row r="1852" ht="20.149999999999999" customHeight="1"/>
    <row r="1853" ht="20.149999999999999" customHeight="1"/>
    <row r="1854" ht="20.149999999999999" customHeight="1"/>
    <row r="1855" ht="20.149999999999999" customHeight="1"/>
    <row r="1856" ht="20.149999999999999" customHeight="1"/>
    <row r="1857" ht="20.149999999999999" customHeight="1"/>
    <row r="1858" ht="20.149999999999999" customHeight="1"/>
    <row r="1859" ht="20.149999999999999" customHeight="1"/>
    <row r="1860" ht="20.149999999999999" customHeight="1"/>
    <row r="1861" ht="20.149999999999999" customHeight="1"/>
    <row r="1862" ht="20.149999999999999" customHeight="1"/>
    <row r="1863" ht="20.149999999999999" customHeight="1"/>
    <row r="1864" ht="20.149999999999999" customHeight="1"/>
    <row r="1865" ht="20.149999999999999" customHeight="1"/>
    <row r="1866" ht="20.149999999999999" customHeight="1"/>
    <row r="1867" ht="20.149999999999999" customHeight="1"/>
    <row r="1868" ht="20.149999999999999" customHeight="1"/>
    <row r="1869" ht="20.149999999999999" customHeight="1"/>
    <row r="1870" ht="20.149999999999999" customHeight="1"/>
    <row r="1871" ht="20.149999999999999" customHeight="1"/>
    <row r="1872" ht="20.149999999999999" customHeight="1"/>
    <row r="1873" ht="20.149999999999999" customHeight="1"/>
    <row r="1874" ht="20.149999999999999" customHeight="1"/>
    <row r="1875" ht="20.149999999999999" customHeight="1"/>
    <row r="1876" ht="20.149999999999999" customHeight="1"/>
    <row r="1877" ht="20.149999999999999" customHeight="1"/>
    <row r="1878" ht="20.149999999999999" customHeight="1"/>
    <row r="1879" ht="20.149999999999999" customHeight="1"/>
    <row r="1880" ht="20.149999999999999" customHeight="1"/>
    <row r="1881" ht="20.149999999999999" customHeight="1"/>
    <row r="1882" ht="20.149999999999999" customHeight="1"/>
    <row r="1883" ht="20.149999999999999" customHeight="1"/>
    <row r="1884" ht="20.149999999999999" customHeight="1"/>
    <row r="1885" ht="20.149999999999999" customHeight="1"/>
    <row r="1886" ht="20.149999999999999" customHeight="1"/>
    <row r="1887" ht="20.149999999999999" customHeight="1"/>
    <row r="1888" ht="20.149999999999999" customHeight="1"/>
    <row r="1889" ht="20.149999999999999" customHeight="1"/>
    <row r="1890" ht="20.149999999999999" customHeight="1"/>
    <row r="1891" ht="20.149999999999999" customHeight="1"/>
    <row r="1892" ht="20.149999999999999" customHeight="1"/>
    <row r="1893" ht="20.149999999999999" customHeight="1"/>
    <row r="1894" ht="20.149999999999999" customHeight="1"/>
    <row r="1895" ht="20.149999999999999" customHeight="1"/>
    <row r="1896" ht="20.149999999999999" customHeight="1"/>
    <row r="1897" ht="20.149999999999999" customHeight="1"/>
    <row r="1898" ht="20.149999999999999" customHeight="1"/>
    <row r="1899" ht="20.149999999999999" customHeight="1"/>
    <row r="1900" ht="20.149999999999999" customHeight="1"/>
    <row r="1901" ht="20.149999999999999" customHeight="1"/>
    <row r="1902" ht="20.149999999999999" customHeight="1"/>
    <row r="1903" ht="20.149999999999999" customHeight="1"/>
    <row r="1904" ht="20.149999999999999" customHeight="1"/>
    <row r="1905" ht="20.149999999999999" customHeight="1"/>
    <row r="1906" ht="20.149999999999999" customHeight="1"/>
    <row r="1907" ht="20.149999999999999" customHeight="1"/>
    <row r="1908" ht="20.149999999999999" customHeight="1"/>
    <row r="1909" ht="20.149999999999999" customHeight="1"/>
    <row r="1910" ht="20.149999999999999" customHeight="1"/>
    <row r="1911" ht="20.149999999999999" customHeight="1"/>
    <row r="1912" ht="20.149999999999999" customHeight="1"/>
    <row r="1913" ht="20.149999999999999" customHeight="1"/>
    <row r="1914" ht="20.149999999999999" customHeight="1"/>
    <row r="1915" ht="20.149999999999999" customHeight="1"/>
    <row r="1916" ht="20.149999999999999" customHeight="1"/>
    <row r="1917" ht="20.149999999999999" customHeight="1"/>
    <row r="1918" ht="20.149999999999999" customHeight="1"/>
    <row r="1919" ht="20.149999999999999" customHeight="1"/>
    <row r="1920" ht="20.149999999999999" customHeight="1"/>
    <row r="1921" ht="20.149999999999999" customHeight="1"/>
    <row r="1922" ht="20.149999999999999" customHeight="1"/>
    <row r="1923" ht="20.149999999999999" customHeight="1"/>
    <row r="1924" ht="20.149999999999999" customHeight="1"/>
    <row r="1925" ht="20.149999999999999" customHeight="1"/>
    <row r="1926" ht="20.149999999999999" customHeight="1"/>
    <row r="1927" ht="20.149999999999999" customHeight="1"/>
    <row r="1928" ht="20.149999999999999" customHeight="1"/>
    <row r="1929" ht="20.149999999999999" customHeight="1"/>
    <row r="1930" ht="20.149999999999999" customHeight="1"/>
    <row r="1931" ht="20.149999999999999" customHeight="1"/>
    <row r="1932" ht="20.149999999999999" customHeight="1"/>
    <row r="1933" ht="20.149999999999999" customHeight="1"/>
    <row r="1934" ht="20.149999999999999" customHeight="1"/>
    <row r="1935" ht="20.149999999999999" customHeight="1"/>
    <row r="1936" ht="20.149999999999999" customHeight="1"/>
    <row r="1937" ht="20.149999999999999" customHeight="1"/>
    <row r="1938" ht="20.149999999999999" customHeight="1"/>
    <row r="1939" ht="20.149999999999999" customHeight="1"/>
    <row r="1940" ht="20.149999999999999" customHeight="1"/>
    <row r="1941" ht="20.149999999999999" customHeight="1"/>
    <row r="1942" ht="20.149999999999999" customHeight="1"/>
    <row r="1943" ht="20.149999999999999" customHeight="1"/>
    <row r="1944" ht="20.149999999999999" customHeight="1"/>
    <row r="1945" ht="20.149999999999999" customHeight="1"/>
    <row r="1946" ht="20.149999999999999" customHeight="1"/>
    <row r="1947" ht="20.149999999999999" customHeight="1"/>
    <row r="1948" ht="20.149999999999999" customHeight="1"/>
    <row r="1949" ht="20.149999999999999" customHeight="1"/>
    <row r="1950" ht="20.149999999999999" customHeight="1"/>
    <row r="1951" ht="20.149999999999999" customHeight="1"/>
    <row r="1952" ht="20.149999999999999" customHeight="1"/>
    <row r="1953" ht="20.149999999999999" customHeight="1"/>
    <row r="1954" ht="20.149999999999999" customHeight="1"/>
    <row r="1955" ht="20.149999999999999" customHeight="1"/>
    <row r="1956" ht="20.149999999999999" customHeight="1"/>
    <row r="1957" ht="20.149999999999999" customHeight="1"/>
    <row r="1958" ht="20.149999999999999" customHeight="1"/>
    <row r="1959" ht="20.149999999999999" customHeight="1"/>
    <row r="1960" ht="20.149999999999999" customHeight="1"/>
    <row r="1961" ht="20.149999999999999" customHeight="1"/>
    <row r="1962" ht="20.149999999999999" customHeight="1"/>
    <row r="1963" ht="20.149999999999999" customHeight="1"/>
    <row r="1964" ht="20.149999999999999" customHeight="1"/>
    <row r="1965" ht="20.149999999999999" customHeight="1"/>
    <row r="1966" ht="20.149999999999999" customHeight="1"/>
    <row r="1967" ht="20.149999999999999" customHeight="1"/>
    <row r="1968" ht="20.149999999999999" customHeight="1"/>
    <row r="1969" ht="20.149999999999999" customHeight="1"/>
    <row r="1970" ht="20.149999999999999" customHeight="1"/>
    <row r="1971" ht="20.149999999999999" customHeight="1"/>
    <row r="1972" ht="20.149999999999999" customHeight="1"/>
    <row r="1973" ht="20.149999999999999" customHeight="1"/>
    <row r="1974" ht="20.149999999999999" customHeight="1"/>
    <row r="1975" ht="20.149999999999999" customHeight="1"/>
    <row r="1976" ht="20.149999999999999" customHeight="1"/>
    <row r="1977" ht="20.149999999999999" customHeight="1"/>
    <row r="1978" ht="20.149999999999999" customHeight="1"/>
    <row r="1979" ht="20.149999999999999" customHeight="1"/>
    <row r="1980" ht="20.149999999999999" customHeight="1"/>
    <row r="1981" ht="20.149999999999999" customHeight="1"/>
    <row r="1982" ht="20.149999999999999" customHeight="1"/>
    <row r="1983" ht="20.149999999999999" customHeight="1"/>
    <row r="1984" ht="20.149999999999999" customHeight="1"/>
    <row r="1985" ht="20.149999999999999" customHeight="1"/>
    <row r="1986" ht="20.149999999999999" customHeight="1"/>
    <row r="1987" ht="20.149999999999999" customHeight="1"/>
    <row r="1988" ht="20.149999999999999" customHeight="1"/>
    <row r="1989" ht="20.149999999999999" customHeight="1"/>
    <row r="1990" ht="20.149999999999999" customHeight="1"/>
    <row r="1991" ht="20.149999999999999" customHeight="1"/>
    <row r="1992" ht="20.149999999999999" customHeight="1"/>
    <row r="1993" ht="20.149999999999999" customHeight="1"/>
    <row r="1994" ht="20.149999999999999" customHeight="1"/>
    <row r="1995" ht="20.149999999999999" customHeight="1"/>
    <row r="1996" ht="20.149999999999999" customHeight="1"/>
    <row r="1997" ht="20.149999999999999" customHeight="1"/>
    <row r="1998" ht="20.149999999999999" customHeight="1"/>
    <row r="1999" ht="20.149999999999999" customHeight="1"/>
    <row r="2000" ht="20.149999999999999" customHeight="1"/>
    <row r="2001" ht="20.149999999999999" customHeight="1"/>
    <row r="2002" ht="20.149999999999999" customHeight="1"/>
    <row r="2003" ht="20.149999999999999" customHeight="1"/>
    <row r="2004" ht="20.149999999999999" customHeight="1"/>
    <row r="2005" ht="20.149999999999999" customHeight="1"/>
    <row r="2006" ht="20.149999999999999" customHeight="1"/>
    <row r="2007" ht="20.149999999999999" customHeight="1"/>
    <row r="2008" ht="20.149999999999999" customHeight="1"/>
    <row r="2009" ht="20.149999999999999" customHeight="1"/>
    <row r="2010" ht="20.149999999999999" customHeight="1"/>
    <row r="2011" ht="20.149999999999999" customHeight="1"/>
    <row r="2012" ht="20.149999999999999" customHeight="1"/>
    <row r="2013" ht="20.149999999999999" customHeight="1"/>
    <row r="2014" ht="20.149999999999999" customHeight="1"/>
    <row r="2015" ht="20.149999999999999" customHeight="1"/>
    <row r="2016" ht="20.149999999999999" customHeight="1"/>
    <row r="2017" ht="20.149999999999999" customHeight="1"/>
    <row r="2018" ht="20.149999999999999" customHeight="1"/>
    <row r="2019" ht="20.149999999999999" customHeight="1"/>
    <row r="2020" ht="20.149999999999999" customHeight="1"/>
    <row r="2021" ht="20.149999999999999" customHeight="1"/>
    <row r="2022" ht="20.149999999999999" customHeight="1"/>
    <row r="2023" ht="20.149999999999999" customHeight="1"/>
    <row r="2024" ht="20.149999999999999" customHeight="1"/>
    <row r="2025" ht="20.149999999999999" customHeight="1"/>
    <row r="2026" ht="20.149999999999999" customHeight="1"/>
    <row r="2027" ht="20.149999999999999" customHeight="1"/>
    <row r="2028" ht="20.149999999999999" customHeight="1"/>
    <row r="2029" ht="20.149999999999999" customHeight="1"/>
    <row r="2030" ht="20.149999999999999" customHeight="1"/>
    <row r="2031" ht="20.149999999999999" customHeight="1"/>
    <row r="2032" ht="20.149999999999999" customHeight="1"/>
    <row r="2033" ht="20.149999999999999" customHeight="1"/>
    <row r="2034" ht="20.149999999999999" customHeight="1"/>
    <row r="2035" ht="20.149999999999999" customHeight="1"/>
    <row r="2036" ht="20.149999999999999" customHeight="1"/>
    <row r="2037" ht="20.149999999999999" customHeight="1"/>
    <row r="2038" ht="20.149999999999999" customHeight="1"/>
    <row r="2039" ht="20.149999999999999" customHeight="1"/>
    <row r="2040" ht="20.149999999999999" customHeight="1"/>
    <row r="2041" ht="20.149999999999999" customHeight="1"/>
    <row r="2042" ht="20.149999999999999" customHeight="1"/>
    <row r="2043" ht="20.149999999999999" customHeight="1"/>
    <row r="2044" ht="20.149999999999999" customHeight="1"/>
    <row r="2045" ht="20.149999999999999" customHeight="1"/>
    <row r="2046" ht="20.149999999999999" customHeight="1"/>
    <row r="2047" ht="20.149999999999999" customHeight="1"/>
    <row r="2048" ht="20.149999999999999" customHeight="1"/>
    <row r="2049" ht="20.149999999999999" customHeight="1"/>
    <row r="2050" ht="20.149999999999999" customHeight="1"/>
    <row r="2051" ht="20.149999999999999" customHeight="1"/>
    <row r="2052" ht="20.149999999999999" customHeight="1"/>
    <row r="2053" ht="20.149999999999999" customHeight="1"/>
    <row r="2054" ht="20.149999999999999" customHeight="1"/>
    <row r="2055" ht="20.149999999999999" customHeight="1"/>
    <row r="2056" ht="20.149999999999999" customHeight="1"/>
    <row r="2057" ht="20.149999999999999" customHeight="1"/>
    <row r="2058" ht="20.149999999999999" customHeight="1"/>
    <row r="2059" ht="20.149999999999999" customHeight="1"/>
    <row r="2060" ht="20.149999999999999" customHeight="1"/>
    <row r="2061" ht="20.149999999999999" customHeight="1"/>
    <row r="2062" ht="20.149999999999999" customHeight="1"/>
    <row r="2063" ht="20.149999999999999" customHeight="1"/>
    <row r="2064" ht="20.149999999999999" customHeight="1"/>
    <row r="2065" ht="20.149999999999999" customHeight="1"/>
    <row r="2066" ht="20.149999999999999" customHeight="1"/>
    <row r="2067" ht="20.149999999999999" customHeight="1"/>
    <row r="2068" ht="20.149999999999999" customHeight="1"/>
    <row r="2069" ht="20.149999999999999" customHeight="1"/>
    <row r="2070" ht="20.149999999999999" customHeight="1"/>
    <row r="2071" ht="20.149999999999999" customHeight="1"/>
    <row r="2072" ht="20.149999999999999" customHeight="1"/>
    <row r="2073" ht="20.149999999999999" customHeight="1"/>
    <row r="2074" ht="20.149999999999999" customHeight="1"/>
    <row r="2075" ht="20.149999999999999" customHeight="1"/>
    <row r="2076" ht="20.149999999999999" customHeight="1"/>
    <row r="2077" ht="20.149999999999999" customHeight="1"/>
    <row r="2078" ht="20.149999999999999" customHeight="1"/>
    <row r="2079" ht="20.149999999999999" customHeight="1"/>
    <row r="2080" ht="20.149999999999999" customHeight="1"/>
    <row r="2081" ht="20.149999999999999" customHeight="1"/>
    <row r="2082" ht="20.149999999999999" customHeight="1"/>
    <row r="2083" ht="20.149999999999999" customHeight="1"/>
    <row r="2084" ht="20.149999999999999" customHeight="1"/>
    <row r="2085" ht="20.149999999999999" customHeight="1"/>
    <row r="2086" ht="20.149999999999999" customHeight="1"/>
    <row r="2087" ht="20.149999999999999" customHeight="1"/>
    <row r="2088" ht="20.149999999999999" customHeight="1"/>
    <row r="2089" ht="20.149999999999999" customHeight="1"/>
    <row r="2090" ht="20.149999999999999" customHeight="1"/>
    <row r="2091" ht="20.149999999999999" customHeight="1"/>
    <row r="2092" ht="20.149999999999999" customHeight="1"/>
    <row r="2093" ht="20.149999999999999" customHeight="1"/>
    <row r="2094" ht="20.149999999999999" customHeight="1"/>
    <row r="2095" ht="20.149999999999999" customHeight="1"/>
    <row r="2096" ht="20.149999999999999" customHeight="1"/>
    <row r="2097" ht="20.149999999999999" customHeight="1"/>
    <row r="2098" ht="20.149999999999999" customHeight="1"/>
    <row r="2099" ht="20.149999999999999" customHeight="1"/>
    <row r="2100" ht="20.149999999999999" customHeight="1"/>
    <row r="2101" ht="20.149999999999999" customHeight="1"/>
    <row r="2102" ht="20.149999999999999" customHeight="1"/>
    <row r="2103" ht="20.149999999999999" customHeight="1"/>
    <row r="2104" ht="20.149999999999999" customHeight="1"/>
    <row r="2105" ht="20.149999999999999" customHeight="1"/>
    <row r="2106" ht="20.149999999999999" customHeight="1"/>
    <row r="2107" ht="20.149999999999999" customHeight="1"/>
    <row r="2108" ht="20.149999999999999" customHeight="1"/>
    <row r="2109" ht="20.149999999999999" customHeight="1"/>
    <row r="2110" ht="20.149999999999999" customHeight="1"/>
    <row r="2111" ht="20.149999999999999" customHeight="1"/>
    <row r="2112" ht="20.149999999999999" customHeight="1"/>
    <row r="2113" ht="20.149999999999999" customHeight="1"/>
    <row r="2114" ht="20.149999999999999" customHeight="1"/>
    <row r="2115" ht="20.149999999999999" customHeight="1"/>
    <row r="2116" ht="20.149999999999999" customHeight="1"/>
    <row r="2117" ht="20.149999999999999" customHeight="1"/>
    <row r="2118" ht="20.149999999999999" customHeight="1"/>
    <row r="2119" ht="20.149999999999999" customHeight="1"/>
    <row r="2120" ht="20.149999999999999" customHeight="1"/>
    <row r="2121" ht="20.149999999999999" customHeight="1"/>
    <row r="2122" ht="20.149999999999999" customHeight="1"/>
    <row r="2123" ht="20.149999999999999" customHeight="1"/>
    <row r="2124" ht="20.149999999999999" customHeight="1"/>
    <row r="2125" ht="20.149999999999999" customHeight="1"/>
    <row r="2126" ht="20.149999999999999" customHeight="1"/>
    <row r="2127" ht="20.149999999999999" customHeight="1"/>
    <row r="2128" ht="20.149999999999999" customHeight="1"/>
    <row r="2129" ht="20.149999999999999" customHeight="1"/>
    <row r="2130" ht="20.149999999999999" customHeight="1"/>
    <row r="2131" ht="20.149999999999999" customHeight="1"/>
    <row r="2132" ht="20.149999999999999" customHeight="1"/>
    <row r="2133" ht="20.149999999999999" customHeight="1"/>
    <row r="2134" ht="20.149999999999999" customHeight="1"/>
    <row r="2135" ht="20.149999999999999" customHeight="1"/>
    <row r="2136" ht="20.149999999999999" customHeight="1"/>
    <row r="2137" ht="20.149999999999999" customHeight="1"/>
    <row r="2138" ht="20.149999999999999" customHeight="1"/>
    <row r="2139" ht="20.149999999999999" customHeight="1"/>
    <row r="2140" ht="20.149999999999999" customHeight="1"/>
    <row r="2141" ht="20.149999999999999" customHeight="1"/>
    <row r="2142" ht="20.149999999999999" customHeight="1"/>
    <row r="2143" ht="20.149999999999999" customHeight="1"/>
    <row r="2144" ht="20.149999999999999" customHeight="1"/>
    <row r="2145" ht="20.149999999999999" customHeight="1"/>
    <row r="2146" ht="20.149999999999999" customHeight="1"/>
    <row r="2147" ht="20.149999999999999" customHeight="1"/>
    <row r="2148" ht="20.149999999999999" customHeight="1"/>
    <row r="2149" ht="20.149999999999999" customHeight="1"/>
    <row r="2150" ht="20.149999999999999" customHeight="1"/>
    <row r="2151" ht="20.149999999999999" customHeight="1"/>
    <row r="2152" ht="20.149999999999999" customHeight="1"/>
    <row r="2153" ht="20.149999999999999" customHeight="1"/>
    <row r="2154" ht="20.149999999999999" customHeight="1"/>
    <row r="2155" ht="20.149999999999999" customHeight="1"/>
    <row r="2156" ht="20.149999999999999" customHeight="1"/>
    <row r="2157" ht="20.149999999999999" customHeight="1"/>
    <row r="2158" ht="20.149999999999999" customHeight="1"/>
    <row r="2159" ht="20.149999999999999" customHeight="1"/>
    <row r="2160" ht="20.149999999999999" customHeight="1"/>
    <row r="2161" ht="20.149999999999999" customHeight="1"/>
    <row r="2162" ht="20.149999999999999" customHeight="1"/>
    <row r="2163" ht="20.149999999999999" customHeight="1"/>
    <row r="2164" ht="20.149999999999999" customHeight="1"/>
    <row r="2165" ht="20.149999999999999" customHeight="1"/>
    <row r="2166" ht="20.149999999999999" customHeight="1"/>
    <row r="2167" ht="20.149999999999999" customHeight="1"/>
    <row r="2168" ht="20.149999999999999" customHeight="1"/>
    <row r="2169" ht="20.149999999999999" customHeight="1"/>
    <row r="2170" ht="20.149999999999999" customHeight="1"/>
    <row r="2171" ht="20.149999999999999" customHeight="1"/>
    <row r="2172" ht="20.149999999999999" customHeight="1"/>
    <row r="2173" ht="20.149999999999999" customHeight="1"/>
    <row r="2174" ht="20.149999999999999" customHeight="1"/>
    <row r="2175" ht="20.149999999999999" customHeight="1"/>
    <row r="2176" ht="20.149999999999999" customHeight="1"/>
    <row r="2177" ht="20.149999999999999" customHeight="1"/>
    <row r="2178" ht="20.149999999999999" customHeight="1"/>
    <row r="2179" ht="20.149999999999999" customHeight="1"/>
    <row r="2180" ht="20.149999999999999" customHeight="1"/>
    <row r="2181" ht="20.149999999999999" customHeight="1"/>
    <row r="2182" ht="20.149999999999999" customHeight="1"/>
    <row r="2183" ht="20.149999999999999" customHeight="1"/>
    <row r="2184" ht="20.149999999999999" customHeight="1"/>
    <row r="2185" ht="20.149999999999999" customHeight="1"/>
    <row r="2186" ht="20.149999999999999" customHeight="1"/>
    <row r="2187" ht="20.149999999999999" customHeight="1"/>
    <row r="2188" ht="20.149999999999999" customHeight="1"/>
    <row r="2189" ht="20.149999999999999" customHeight="1"/>
    <row r="2190" ht="20.149999999999999" customHeight="1"/>
    <row r="2191" ht="20.149999999999999" customHeight="1"/>
    <row r="2192" ht="20.149999999999999" customHeight="1"/>
    <row r="2193" ht="20.149999999999999" customHeight="1"/>
    <row r="2194" ht="20.149999999999999" customHeight="1"/>
    <row r="2195" ht="20.149999999999999" customHeight="1"/>
    <row r="2196" ht="20.149999999999999" customHeight="1"/>
    <row r="2197" ht="20.149999999999999" customHeight="1"/>
    <row r="2198" ht="20.149999999999999" customHeight="1"/>
    <row r="2199" ht="20.149999999999999" customHeight="1"/>
    <row r="2200" ht="20.149999999999999" customHeight="1"/>
    <row r="2201" ht="20.149999999999999" customHeight="1"/>
    <row r="2202" ht="20.149999999999999" customHeight="1"/>
    <row r="2203" ht="20.149999999999999" customHeight="1"/>
    <row r="2204" ht="20.149999999999999" customHeight="1"/>
    <row r="2205" ht="20.149999999999999" customHeight="1"/>
    <row r="2206" ht="20.149999999999999" customHeight="1"/>
    <row r="2207" ht="20.149999999999999" customHeight="1"/>
    <row r="2208" ht="20.149999999999999" customHeight="1"/>
    <row r="2209" ht="20.149999999999999" customHeight="1"/>
    <row r="2210" ht="20.149999999999999" customHeight="1"/>
    <row r="2211" ht="20.149999999999999" customHeight="1"/>
    <row r="2212" ht="20.149999999999999" customHeight="1"/>
    <row r="2213" ht="20.149999999999999" customHeight="1"/>
    <row r="2214" ht="20.149999999999999" customHeight="1"/>
    <row r="2215" ht="20.149999999999999" customHeight="1"/>
    <row r="2216" ht="20.149999999999999" customHeight="1"/>
    <row r="2217" ht="20.149999999999999" customHeight="1"/>
    <row r="2218" ht="20.149999999999999" customHeight="1"/>
    <row r="2219" ht="20.149999999999999" customHeight="1"/>
    <row r="2220" ht="20.149999999999999" customHeight="1"/>
    <row r="2221" ht="20.149999999999999" customHeight="1"/>
    <row r="2222" ht="20.149999999999999" customHeight="1"/>
    <row r="2223" ht="20.149999999999999" customHeight="1"/>
    <row r="2224" ht="20.149999999999999" customHeight="1"/>
    <row r="2225" ht="20.149999999999999" customHeight="1"/>
    <row r="2226" ht="20.149999999999999" customHeight="1"/>
    <row r="2227" ht="20.149999999999999" customHeight="1"/>
    <row r="2228" ht="20.149999999999999" customHeight="1"/>
    <row r="2229" ht="20.149999999999999" customHeight="1"/>
    <row r="2230" ht="20.149999999999999" customHeight="1"/>
    <row r="2231" ht="20.149999999999999" customHeight="1"/>
    <row r="2232" ht="20.149999999999999" customHeight="1"/>
    <row r="2233" ht="20.149999999999999" customHeight="1"/>
    <row r="2234" ht="20.149999999999999" customHeight="1"/>
    <row r="2235" ht="20.149999999999999" customHeight="1"/>
    <row r="2236" ht="20.149999999999999" customHeight="1"/>
    <row r="2237" ht="20.149999999999999" customHeight="1"/>
    <row r="2238" ht="20.149999999999999" customHeight="1"/>
    <row r="2239" ht="20.149999999999999" customHeight="1"/>
    <row r="2240" ht="20.149999999999999" customHeight="1"/>
    <row r="2241" ht="20.149999999999999" customHeight="1"/>
    <row r="2242" ht="20.149999999999999" customHeight="1"/>
    <row r="2243" ht="20.149999999999999" customHeight="1"/>
    <row r="2244" ht="20.149999999999999" customHeight="1"/>
    <row r="2245" ht="20.149999999999999" customHeight="1"/>
    <row r="2246" ht="20.149999999999999" customHeight="1"/>
    <row r="2247" ht="20.149999999999999" customHeight="1"/>
    <row r="2248" ht="20.149999999999999" customHeight="1"/>
    <row r="2249" ht="20.149999999999999" customHeight="1"/>
    <row r="2250" ht="20.149999999999999" customHeight="1"/>
    <row r="2251" ht="20.149999999999999" customHeight="1"/>
    <row r="2252" ht="20.149999999999999" customHeight="1"/>
    <row r="2253" ht="20.149999999999999" customHeight="1"/>
    <row r="2254" ht="20.149999999999999" customHeight="1"/>
    <row r="2255" ht="20.149999999999999" customHeight="1"/>
    <row r="2256" ht="20.149999999999999" customHeight="1"/>
    <row r="2257" ht="20.149999999999999" customHeight="1"/>
    <row r="2258" ht="20.149999999999999" customHeight="1"/>
    <row r="2259" ht="20.149999999999999" customHeight="1"/>
    <row r="2260" ht="20.149999999999999" customHeight="1"/>
    <row r="2261" ht="20.149999999999999" customHeight="1"/>
    <row r="2262" ht="20.149999999999999" customHeight="1"/>
    <row r="2263" ht="20.149999999999999" customHeight="1"/>
    <row r="2264" ht="20.149999999999999" customHeight="1"/>
    <row r="2265" ht="20.149999999999999" customHeight="1"/>
    <row r="2266" ht="20.149999999999999" customHeight="1"/>
    <row r="2267" ht="20.149999999999999" customHeight="1"/>
    <row r="2268" ht="20.149999999999999" customHeight="1"/>
    <row r="2269" ht="20.149999999999999" customHeight="1"/>
    <row r="2270" ht="20.149999999999999" customHeight="1"/>
    <row r="2271" ht="20.149999999999999" customHeight="1"/>
    <row r="2272" ht="20.149999999999999" customHeight="1"/>
    <row r="2273" ht="20.149999999999999" customHeight="1"/>
    <row r="2274" ht="20.149999999999999" customHeight="1"/>
    <row r="2275" ht="20.149999999999999" customHeight="1"/>
    <row r="2276" ht="20.149999999999999" customHeight="1"/>
    <row r="2277" ht="20.149999999999999" customHeight="1"/>
    <row r="2278" ht="20.149999999999999" customHeight="1"/>
    <row r="2279" ht="20.149999999999999" customHeight="1"/>
    <row r="2280" ht="20.149999999999999" customHeight="1"/>
    <row r="2281" ht="20.149999999999999" customHeight="1"/>
    <row r="2282" ht="20.149999999999999" customHeight="1"/>
    <row r="2283" ht="20.149999999999999" customHeight="1"/>
    <row r="2284" ht="20.149999999999999" customHeight="1"/>
    <row r="2285" ht="20.149999999999999" customHeight="1"/>
    <row r="2286" ht="20.149999999999999" customHeight="1"/>
    <row r="2287" ht="20.149999999999999" customHeight="1"/>
    <row r="2288" ht="20.149999999999999" customHeight="1"/>
    <row r="2289" ht="20.149999999999999" customHeight="1"/>
    <row r="2290" ht="20.149999999999999" customHeight="1"/>
    <row r="2291" ht="20.149999999999999" customHeight="1"/>
    <row r="2292" ht="20.149999999999999" customHeight="1"/>
    <row r="2293" ht="20.149999999999999" customHeight="1"/>
    <row r="2294" ht="20.149999999999999" customHeight="1"/>
    <row r="2295" ht="20.149999999999999" customHeight="1"/>
    <row r="2296" ht="20.149999999999999" customHeight="1"/>
    <row r="2297" ht="20.149999999999999" customHeight="1"/>
    <row r="2298" ht="20.149999999999999" customHeight="1"/>
    <row r="2299" ht="20.149999999999999" customHeight="1"/>
    <row r="2300" ht="20.149999999999999" customHeight="1"/>
    <row r="2301" ht="20.149999999999999" customHeight="1"/>
    <row r="2302" ht="20.149999999999999" customHeight="1"/>
    <row r="2303" ht="20.149999999999999" customHeight="1"/>
    <row r="2304" ht="20.149999999999999" customHeight="1"/>
    <row r="2305" ht="20.149999999999999" customHeight="1"/>
    <row r="2306" ht="20.149999999999999" customHeight="1"/>
    <row r="2307" ht="20.149999999999999" customHeight="1"/>
    <row r="2308" ht="20.149999999999999" customHeight="1"/>
    <row r="2309" ht="20.149999999999999" customHeight="1"/>
    <row r="2310" ht="20.149999999999999" customHeight="1"/>
    <row r="2311" ht="20.149999999999999" customHeight="1"/>
    <row r="2312" ht="20.149999999999999" customHeight="1"/>
    <row r="2313" ht="20.149999999999999" customHeight="1"/>
    <row r="2314" ht="20.149999999999999" customHeight="1"/>
    <row r="2315" ht="20.149999999999999" customHeight="1"/>
    <row r="2316" ht="20.149999999999999" customHeight="1"/>
    <row r="2317" ht="20.149999999999999" customHeight="1"/>
    <row r="2318" ht="20.149999999999999" customHeight="1"/>
    <row r="2319" ht="20.149999999999999" customHeight="1"/>
    <row r="2320" ht="20.149999999999999" customHeight="1"/>
    <row r="2321" ht="20.149999999999999" customHeight="1"/>
    <row r="2322" ht="20.149999999999999" customHeight="1"/>
    <row r="2323" ht="20.149999999999999" customHeight="1"/>
    <row r="2324" ht="20.149999999999999" customHeight="1"/>
    <row r="2325" ht="20.149999999999999" customHeight="1"/>
    <row r="2326" ht="20.149999999999999" customHeight="1"/>
    <row r="2327" ht="20.149999999999999" customHeight="1"/>
    <row r="2328" ht="20.149999999999999" customHeight="1"/>
    <row r="2329" ht="20.149999999999999" customHeight="1"/>
    <row r="2330" ht="20.149999999999999" customHeight="1"/>
    <row r="2331" ht="20.149999999999999" customHeight="1"/>
    <row r="2332" ht="20.149999999999999" customHeight="1"/>
    <row r="2333" ht="20.149999999999999" customHeight="1"/>
    <row r="2334" ht="20.149999999999999" customHeight="1"/>
    <row r="2335" ht="20.149999999999999" customHeight="1"/>
    <row r="2336" ht="20.149999999999999" customHeight="1"/>
    <row r="2337" ht="20.149999999999999" customHeight="1"/>
    <row r="2338" ht="20.149999999999999" customHeight="1"/>
    <row r="2339" ht="20.149999999999999" customHeight="1"/>
    <row r="2340" ht="20.149999999999999" customHeight="1"/>
    <row r="2341" ht="20.149999999999999" customHeight="1"/>
    <row r="2342" ht="20.149999999999999" customHeight="1"/>
    <row r="2343" ht="20.149999999999999" customHeight="1"/>
    <row r="2344" ht="20.149999999999999" customHeight="1"/>
    <row r="2345" ht="20.149999999999999" customHeight="1"/>
    <row r="2346" ht="20.149999999999999" customHeight="1"/>
    <row r="2347" ht="20.149999999999999" customHeight="1"/>
    <row r="2348" ht="20.149999999999999" customHeight="1"/>
    <row r="2349" ht="20.149999999999999" customHeight="1"/>
    <row r="2350" ht="20.149999999999999" customHeight="1"/>
    <row r="2351" ht="20.149999999999999" customHeight="1"/>
    <row r="2352" ht="20.149999999999999" customHeight="1"/>
    <row r="2353" ht="20.149999999999999" customHeight="1"/>
    <row r="2354" ht="20.149999999999999" customHeight="1"/>
    <row r="2355" ht="20.149999999999999" customHeight="1"/>
    <row r="2356" ht="20.149999999999999" customHeight="1"/>
    <row r="2357" ht="20.149999999999999" customHeight="1"/>
    <row r="2358" ht="20.149999999999999" customHeight="1"/>
    <row r="2359" ht="20.149999999999999" customHeight="1"/>
    <row r="2360" ht="20.149999999999999" customHeight="1"/>
    <row r="2361" ht="20.149999999999999" customHeight="1"/>
    <row r="2362" ht="20.149999999999999" customHeight="1"/>
    <row r="2363" ht="20.149999999999999" customHeight="1"/>
    <row r="2364" ht="20.149999999999999" customHeight="1"/>
    <row r="2365" ht="20.149999999999999" customHeight="1"/>
    <row r="2366" ht="20.149999999999999" customHeight="1"/>
    <row r="2367" ht="20.149999999999999" customHeight="1"/>
    <row r="2368" ht="20.149999999999999" customHeight="1"/>
    <row r="2369" ht="20.149999999999999" customHeight="1"/>
    <row r="2370" ht="20.149999999999999" customHeight="1"/>
    <row r="2371" ht="20.149999999999999" customHeight="1"/>
    <row r="2372" ht="20.149999999999999" customHeight="1"/>
    <row r="2373" ht="20.149999999999999" customHeight="1"/>
  </sheetData>
  <mergeCells count="8">
    <mergeCell ref="B2:H2"/>
    <mergeCell ref="J2:P2"/>
    <mergeCell ref="BX2:CF2"/>
    <mergeCell ref="BN2:BV2"/>
    <mergeCell ref="R2:AB2"/>
    <mergeCell ref="AD2:AN2"/>
    <mergeCell ref="AP2:AZ2"/>
    <mergeCell ref="BB2:BK2"/>
  </mergeCells>
  <dataValidations count="1">
    <dataValidation type="list" allowBlank="1" showInputMessage="1" showErrorMessage="1" sqref="S17:S69 V12:V69 AE98:AE121">
      <formula1>"Yes,No"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3"/>
  <sheetViews>
    <sheetView topLeftCell="J1" workbookViewId="0">
      <pane ySplit="1" topLeftCell="A2" activePane="bottomLeft" state="frozen"/>
      <selection activeCell="K15" sqref="K15"/>
      <selection pane="bottomLeft" activeCell="O2" sqref="O2"/>
    </sheetView>
  </sheetViews>
  <sheetFormatPr defaultRowHeight="14.5"/>
  <cols>
    <col min="1" max="1" width="12.453125" bestFit="1" customWidth="1"/>
    <col min="2" max="2" width="45.54296875" bestFit="1" customWidth="1"/>
    <col min="3" max="3" width="45.54296875" customWidth="1"/>
    <col min="4" max="4" width="8.81640625" bestFit="1" customWidth="1"/>
    <col min="5" max="6" width="11" customWidth="1"/>
    <col min="7" max="7" width="5.26953125" bestFit="1" customWidth="1"/>
    <col min="8" max="8" width="12.453125" customWidth="1"/>
    <col min="9" max="9" width="11.81640625" customWidth="1"/>
    <col min="10" max="10" width="43.26953125" bestFit="1" customWidth="1"/>
    <col min="11" max="11" width="19.81640625" customWidth="1"/>
    <col min="12" max="12" width="15.1796875" customWidth="1"/>
    <col min="13" max="13" width="16.26953125" customWidth="1"/>
    <col min="14" max="14" width="17.54296875" customWidth="1"/>
    <col min="15" max="15" width="13.453125" bestFit="1" customWidth="1"/>
    <col min="16" max="16" width="11.1796875" bestFit="1" customWidth="1"/>
    <col min="17" max="17" width="12.26953125" bestFit="1" customWidth="1"/>
    <col min="18" max="18" width="12.7265625" bestFit="1" customWidth="1"/>
    <col min="19" max="19" width="17.54296875" bestFit="1" customWidth="1"/>
    <col min="20" max="20" width="12.7265625" bestFit="1" customWidth="1"/>
    <col min="21" max="21" width="10.453125" bestFit="1" customWidth="1"/>
    <col min="22" max="22" width="11.54296875" bestFit="1" customWidth="1"/>
    <col min="23" max="23" width="13.54296875" bestFit="1" customWidth="1"/>
    <col min="24" max="24" width="12.453125" bestFit="1" customWidth="1"/>
    <col min="25" max="25" width="18.26953125" bestFit="1" customWidth="1"/>
    <col min="26" max="26" width="11.54296875" bestFit="1" customWidth="1"/>
    <col min="27" max="27" width="12.7265625" bestFit="1" customWidth="1"/>
    <col min="28" max="28" width="11.7265625" bestFit="1" customWidth="1"/>
    <col min="29" max="29" width="14.54296875" bestFit="1" customWidth="1"/>
    <col min="30" max="30" width="11.1796875" bestFit="1" customWidth="1"/>
    <col min="31" max="31" width="13.54296875" bestFit="1" customWidth="1"/>
    <col min="32" max="32" width="12.1796875" bestFit="1" customWidth="1"/>
    <col min="33" max="33" width="11.7265625" bestFit="1" customWidth="1"/>
    <col min="34" max="34" width="10.7265625" bestFit="1" customWidth="1"/>
    <col min="35" max="35" width="11.7265625" bestFit="1" customWidth="1"/>
    <col min="36" max="36" width="11.453125" bestFit="1" customWidth="1"/>
    <col min="37" max="37" width="8.7265625" bestFit="1" customWidth="1"/>
    <col min="38" max="38" width="12.7265625" bestFit="1" customWidth="1"/>
    <col min="39" max="39" width="8.1796875" bestFit="1" customWidth="1"/>
    <col min="40" max="40" width="5.1796875" bestFit="1" customWidth="1"/>
    <col min="41" max="41" width="11.26953125" bestFit="1" customWidth="1"/>
    <col min="42" max="43" width="8.7265625" bestFit="1" customWidth="1"/>
    <col min="44" max="44" width="12.26953125" bestFit="1" customWidth="1"/>
    <col min="45" max="45" width="7.1796875" bestFit="1" customWidth="1"/>
    <col min="46" max="46" width="9" bestFit="1" customWidth="1"/>
    <col min="47" max="47" width="14.453125" bestFit="1" customWidth="1"/>
    <col min="48" max="48" width="13.26953125" bestFit="1" customWidth="1"/>
    <col min="49" max="49" width="16.7265625" bestFit="1" customWidth="1"/>
    <col min="50" max="50" width="8.1796875" bestFit="1" customWidth="1"/>
    <col min="51" max="52" width="11.1796875" bestFit="1" customWidth="1"/>
    <col min="53" max="54" width="17" bestFit="1" customWidth="1"/>
    <col min="55" max="59" width="8.453125" bestFit="1" customWidth="1"/>
    <col min="60" max="60" width="14.81640625" bestFit="1" customWidth="1"/>
    <col min="61" max="61" width="8.26953125" bestFit="1" customWidth="1"/>
    <col min="62" max="62" width="12.81640625" bestFit="1" customWidth="1"/>
    <col min="63" max="63" width="9.54296875" bestFit="1" customWidth="1"/>
    <col min="64" max="64" width="10.81640625" bestFit="1" customWidth="1"/>
    <col min="65" max="65" width="12.453125" bestFit="1" customWidth="1"/>
    <col min="66" max="66" width="11.453125" bestFit="1" customWidth="1"/>
    <col min="67" max="67" width="8" bestFit="1" customWidth="1"/>
    <col min="68" max="68" width="12" bestFit="1" customWidth="1"/>
    <col min="69" max="70" width="13.81640625" bestFit="1" customWidth="1"/>
    <col min="71" max="71" width="8.81640625" bestFit="1" customWidth="1"/>
    <col min="72" max="72" width="13.81640625" bestFit="1" customWidth="1"/>
    <col min="73" max="73" width="17.81640625" bestFit="1" customWidth="1"/>
    <col min="74" max="74" width="14.54296875" bestFit="1" customWidth="1"/>
    <col min="75" max="75" width="13.1796875" bestFit="1" customWidth="1"/>
    <col min="76" max="76" width="16" bestFit="1" customWidth="1"/>
    <col min="77" max="77" width="41.7265625" bestFit="1" customWidth="1"/>
    <col min="78" max="78" width="40.7265625" bestFit="1" customWidth="1"/>
    <col min="79" max="79" width="7.7265625" bestFit="1" customWidth="1"/>
    <col min="80" max="80" width="22.1796875" bestFit="1" customWidth="1"/>
    <col min="81" max="81" width="16.26953125" bestFit="1" customWidth="1"/>
    <col min="82" max="82" width="8.81640625" bestFit="1" customWidth="1"/>
    <col min="83" max="83" width="13.81640625" bestFit="1" customWidth="1"/>
    <col min="84" max="84" width="12.7265625" bestFit="1" customWidth="1"/>
    <col min="85" max="85" width="10" bestFit="1" customWidth="1"/>
    <col min="86" max="86" width="11.1796875" bestFit="1" customWidth="1"/>
    <col min="87" max="87" width="10.1796875" bestFit="1" customWidth="1"/>
    <col min="88" max="88" width="11.26953125" bestFit="1" customWidth="1"/>
    <col min="89" max="89" width="10" bestFit="1" customWidth="1"/>
    <col min="90" max="90" width="11.1796875" bestFit="1" customWidth="1"/>
    <col min="91" max="91" width="10.54296875" bestFit="1" customWidth="1"/>
    <col min="92" max="92" width="11.7265625" bestFit="1" customWidth="1"/>
    <col min="93" max="93" width="10.1796875" bestFit="1" customWidth="1"/>
    <col min="94" max="94" width="11.26953125" bestFit="1" customWidth="1"/>
    <col min="95" max="95" width="9.54296875" bestFit="1" customWidth="1"/>
    <col min="96" max="96" width="10.7265625" bestFit="1" customWidth="1"/>
    <col min="97" max="97" width="10.54296875" bestFit="1" customWidth="1"/>
    <col min="98" max="98" width="11.7265625" bestFit="1" customWidth="1"/>
    <col min="99" max="99" width="9.81640625" bestFit="1" customWidth="1"/>
    <col min="100" max="100" width="11" bestFit="1" customWidth="1"/>
    <col min="101" max="101" width="9.81640625" bestFit="1" customWidth="1"/>
    <col min="102" max="102" width="11" bestFit="1" customWidth="1"/>
    <col min="103" max="103" width="10.1796875" bestFit="1" customWidth="1"/>
    <col min="104" max="104" width="11.26953125" bestFit="1" customWidth="1"/>
    <col min="105" max="105" width="10" bestFit="1" customWidth="1"/>
    <col min="106" max="106" width="11.1796875" bestFit="1" customWidth="1"/>
    <col min="107" max="107" width="9.7265625" bestFit="1" customWidth="1"/>
    <col min="108" max="108" width="10.81640625" bestFit="1" customWidth="1"/>
    <col min="109" max="109" width="10.1796875" bestFit="1" customWidth="1"/>
    <col min="110" max="110" width="11.26953125" bestFit="1" customWidth="1"/>
    <col min="111" max="111" width="9.26953125" bestFit="1" customWidth="1"/>
    <col min="112" max="112" width="10.453125" bestFit="1" customWidth="1"/>
    <col min="113" max="113" width="9.453125" bestFit="1" customWidth="1"/>
    <col min="114" max="114" width="10.54296875" bestFit="1" customWidth="1"/>
    <col min="115" max="115" width="9.54296875" bestFit="1" customWidth="1"/>
    <col min="116" max="116" width="10.7265625" bestFit="1" customWidth="1"/>
    <col min="117" max="117" width="10.1796875" bestFit="1" customWidth="1"/>
    <col min="118" max="118" width="11.26953125" bestFit="1" customWidth="1"/>
    <col min="119" max="119" width="11" bestFit="1" customWidth="1"/>
    <col min="120" max="120" width="12.1796875" bestFit="1" customWidth="1"/>
    <col min="121" max="121" width="10.54296875" bestFit="1" customWidth="1"/>
    <col min="122" max="122" width="11.7265625" bestFit="1" customWidth="1"/>
    <col min="123" max="123" width="13.81640625" bestFit="1" customWidth="1"/>
    <col min="124" max="124" width="12.7265625" bestFit="1" customWidth="1"/>
    <col min="125" max="125" width="9.81640625" bestFit="1" customWidth="1"/>
    <col min="126" max="126" width="11" bestFit="1" customWidth="1"/>
    <col min="127" max="127" width="9.7265625" bestFit="1" customWidth="1"/>
    <col min="128" max="128" width="10.81640625" bestFit="1" customWidth="1"/>
    <col min="129" max="129" width="13.81640625" bestFit="1" customWidth="1"/>
    <col min="130" max="130" width="12.7265625" bestFit="1" customWidth="1"/>
    <col min="131" max="131" width="10.453125" bestFit="1" customWidth="1"/>
    <col min="132" max="132" width="11.54296875" bestFit="1" customWidth="1"/>
    <col min="133" max="133" width="9.81640625" bestFit="1" customWidth="1"/>
    <col min="134" max="134" width="11" bestFit="1" customWidth="1"/>
    <col min="135" max="135" width="9.54296875" bestFit="1" customWidth="1"/>
    <col min="136" max="136" width="10.7265625" bestFit="1" customWidth="1"/>
    <col min="137" max="137" width="9.7265625" bestFit="1" customWidth="1"/>
    <col min="138" max="138" width="10.81640625" bestFit="1" customWidth="1"/>
    <col min="139" max="139" width="9.7265625" bestFit="1" customWidth="1"/>
    <col min="140" max="140" width="10.81640625" bestFit="1" customWidth="1"/>
    <col min="141" max="141" width="9.7265625" bestFit="1" customWidth="1"/>
    <col min="142" max="142" width="10.81640625" bestFit="1" customWidth="1"/>
    <col min="143" max="143" width="9.7265625" bestFit="1" customWidth="1"/>
    <col min="144" max="144" width="10.81640625" bestFit="1" customWidth="1"/>
    <col min="145" max="145" width="9.7265625" bestFit="1" customWidth="1"/>
    <col min="146" max="146" width="10.81640625" bestFit="1" customWidth="1"/>
    <col min="147" max="147" width="9.7265625" bestFit="1" customWidth="1"/>
    <col min="148" max="148" width="10.81640625" bestFit="1" customWidth="1"/>
    <col min="149" max="149" width="9.7265625" bestFit="1" customWidth="1"/>
    <col min="150" max="150" width="10.81640625" bestFit="1" customWidth="1"/>
    <col min="151" max="151" width="10" bestFit="1" customWidth="1"/>
    <col min="152" max="152" width="11.1796875" bestFit="1" customWidth="1"/>
    <col min="153" max="153" width="10.26953125" bestFit="1" customWidth="1"/>
    <col min="154" max="154" width="11.453125" bestFit="1" customWidth="1"/>
    <col min="155" max="155" width="9.54296875" bestFit="1" customWidth="1"/>
    <col min="156" max="156" width="10.7265625" bestFit="1" customWidth="1"/>
    <col min="157" max="157" width="9.81640625" bestFit="1" customWidth="1"/>
    <col min="158" max="158" width="11" bestFit="1" customWidth="1"/>
    <col min="159" max="159" width="9.453125" bestFit="1" customWidth="1"/>
    <col min="160" max="161" width="10.54296875" bestFit="1" customWidth="1"/>
    <col min="162" max="162" width="11.7265625" bestFit="1" customWidth="1"/>
    <col min="163" max="163" width="8.81640625" bestFit="1" customWidth="1"/>
    <col min="164" max="164" width="13.81640625" bestFit="1" customWidth="1"/>
    <col min="165" max="165" width="12.7265625" bestFit="1" customWidth="1"/>
    <col min="166" max="166" width="17.26953125" bestFit="1" customWidth="1"/>
    <col min="167" max="167" width="16.453125" bestFit="1" customWidth="1"/>
    <col min="168" max="168" width="12.7265625" bestFit="1" customWidth="1"/>
  </cols>
  <sheetData>
    <row r="1" spans="1:18" ht="29">
      <c r="A1" s="1" t="s">
        <v>557</v>
      </c>
      <c r="B1" s="1" t="s">
        <v>558</v>
      </c>
      <c r="C1" s="1" t="s">
        <v>559</v>
      </c>
      <c r="D1" s="1" t="s">
        <v>9</v>
      </c>
      <c r="E1" s="1" t="s">
        <v>9</v>
      </c>
      <c r="F1" s="1" t="s">
        <v>10</v>
      </c>
      <c r="G1" s="1" t="s">
        <v>14</v>
      </c>
      <c r="H1" s="1" t="s">
        <v>11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  <c r="O1" s="1" t="s">
        <v>568</v>
      </c>
      <c r="P1" s="2" t="s">
        <v>566</v>
      </c>
      <c r="Q1" s="1" t="s">
        <v>567</v>
      </c>
      <c r="R1" s="1" t="s">
        <v>1395</v>
      </c>
    </row>
    <row r="2" spans="1:18">
      <c r="A2" s="7" t="s">
        <v>1297</v>
      </c>
      <c r="B2" s="7" t="s">
        <v>1298</v>
      </c>
      <c r="C2" s="7" t="s">
        <v>569</v>
      </c>
      <c r="D2" s="7" t="s">
        <v>548</v>
      </c>
      <c r="E2" s="7">
        <v>1219000668</v>
      </c>
      <c r="F2" s="7" t="s">
        <v>828</v>
      </c>
      <c r="G2" s="7" t="s">
        <v>685</v>
      </c>
      <c r="H2" s="7" t="s">
        <v>549</v>
      </c>
      <c r="I2" s="7" t="s">
        <v>1419</v>
      </c>
      <c r="J2" s="7" t="s">
        <v>1420</v>
      </c>
      <c r="K2" s="7">
        <v>1211077155</v>
      </c>
      <c r="L2" s="7"/>
      <c r="M2" s="7" t="s">
        <v>85</v>
      </c>
      <c r="N2" s="18">
        <v>46206</v>
      </c>
      <c r="O2" s="7" t="s">
        <v>573</v>
      </c>
      <c r="P2" s="13">
        <v>3000</v>
      </c>
      <c r="Q2" s="12">
        <v>161593.22</v>
      </c>
      <c r="R2" s="7" t="s">
        <v>1371</v>
      </c>
    </row>
    <row r="3" spans="1:18">
      <c r="A3" s="7" t="s">
        <v>1297</v>
      </c>
      <c r="B3" s="7" t="s">
        <v>1298</v>
      </c>
      <c r="C3" s="7" t="s">
        <v>569</v>
      </c>
      <c r="D3" s="7" t="s">
        <v>658</v>
      </c>
      <c r="E3" s="7">
        <v>1219000799</v>
      </c>
      <c r="F3" s="7" t="s">
        <v>828</v>
      </c>
      <c r="G3" s="7" t="s">
        <v>360</v>
      </c>
      <c r="H3" s="7" t="s">
        <v>332</v>
      </c>
      <c r="I3" s="7" t="s">
        <v>1419</v>
      </c>
      <c r="J3" s="7" t="s">
        <v>1420</v>
      </c>
      <c r="K3" s="7">
        <v>1211077155</v>
      </c>
      <c r="L3" s="7"/>
      <c r="M3" s="7" t="s">
        <v>85</v>
      </c>
      <c r="N3" s="18">
        <v>46206</v>
      </c>
      <c r="O3" s="7" t="s">
        <v>573</v>
      </c>
      <c r="P3" s="13">
        <v>6500</v>
      </c>
      <c r="Q3" s="12">
        <v>318500</v>
      </c>
      <c r="R3" s="7" t="s">
        <v>1371</v>
      </c>
    </row>
    <row r="4" spans="1:18">
      <c r="A4" s="7" t="s">
        <v>1297</v>
      </c>
      <c r="B4" s="7" t="s">
        <v>1298</v>
      </c>
      <c r="C4" s="7" t="s">
        <v>569</v>
      </c>
      <c r="D4" s="7" t="s">
        <v>805</v>
      </c>
      <c r="E4" s="7">
        <v>1219000923</v>
      </c>
      <c r="F4" s="7" t="s">
        <v>828</v>
      </c>
      <c r="G4" s="7" t="s">
        <v>307</v>
      </c>
      <c r="H4" s="7" t="s">
        <v>322</v>
      </c>
      <c r="I4" s="7" t="s">
        <v>1475</v>
      </c>
      <c r="J4" s="7" t="s">
        <v>1476</v>
      </c>
      <c r="K4" s="7">
        <v>1211077512</v>
      </c>
      <c r="L4" s="7"/>
      <c r="M4" s="7" t="s">
        <v>85</v>
      </c>
      <c r="N4" s="18">
        <v>46211</v>
      </c>
      <c r="O4" s="7" t="s">
        <v>573</v>
      </c>
      <c r="P4" s="13">
        <v>300</v>
      </c>
      <c r="Q4" s="12">
        <v>22500</v>
      </c>
      <c r="R4" s="7" t="s">
        <v>1371</v>
      </c>
    </row>
    <row r="5" spans="1:18">
      <c r="A5" s="7" t="s">
        <v>1399</v>
      </c>
      <c r="B5" s="7" t="s">
        <v>1400</v>
      </c>
      <c r="C5" s="7" t="s">
        <v>569</v>
      </c>
      <c r="D5" s="7" t="s">
        <v>590</v>
      </c>
      <c r="E5" s="7">
        <v>1219000741</v>
      </c>
      <c r="F5" s="7" t="s">
        <v>1288</v>
      </c>
      <c r="G5" s="7" t="s">
        <v>591</v>
      </c>
      <c r="H5" s="7" t="s">
        <v>592</v>
      </c>
      <c r="I5" s="7" t="s">
        <v>1535</v>
      </c>
      <c r="J5" s="7" t="s">
        <v>1536</v>
      </c>
      <c r="K5" s="7">
        <v>1211077963</v>
      </c>
      <c r="L5" s="7"/>
      <c r="M5" s="7" t="s">
        <v>85</v>
      </c>
      <c r="N5" s="18">
        <v>46219</v>
      </c>
      <c r="O5" s="7" t="s">
        <v>573</v>
      </c>
      <c r="P5" s="13">
        <v>15000</v>
      </c>
      <c r="Q5" s="12">
        <v>314685.31</v>
      </c>
      <c r="R5" s="7" t="s">
        <v>1371</v>
      </c>
    </row>
    <row r="6" spans="1:18">
      <c r="A6" s="7" t="s">
        <v>1399</v>
      </c>
      <c r="B6" s="7" t="s">
        <v>1400</v>
      </c>
      <c r="C6" s="7" t="s">
        <v>569</v>
      </c>
      <c r="D6" s="7" t="s">
        <v>582</v>
      </c>
      <c r="E6" s="7">
        <v>1219000780</v>
      </c>
      <c r="F6" s="7" t="s">
        <v>1288</v>
      </c>
      <c r="G6" s="7" t="s">
        <v>269</v>
      </c>
      <c r="H6" s="7" t="s">
        <v>115</v>
      </c>
      <c r="I6" s="7" t="s">
        <v>1535</v>
      </c>
      <c r="J6" s="7" t="s">
        <v>1536</v>
      </c>
      <c r="K6" s="7">
        <v>1211077963</v>
      </c>
      <c r="L6" s="7"/>
      <c r="M6" s="7" t="s">
        <v>85</v>
      </c>
      <c r="N6" s="18">
        <v>46219</v>
      </c>
      <c r="O6" s="7" t="s">
        <v>573</v>
      </c>
      <c r="P6" s="13">
        <v>500</v>
      </c>
      <c r="Q6" s="12">
        <v>329670.33</v>
      </c>
      <c r="R6" s="7" t="s">
        <v>1371</v>
      </c>
    </row>
    <row r="7" spans="1:18">
      <c r="A7" s="7" t="s">
        <v>1399</v>
      </c>
      <c r="B7" s="7" t="s">
        <v>1400</v>
      </c>
      <c r="C7" s="7" t="s">
        <v>569</v>
      </c>
      <c r="D7" s="7" t="s">
        <v>774</v>
      </c>
      <c r="E7" s="7">
        <v>1219001022</v>
      </c>
      <c r="F7" s="7" t="s">
        <v>1288</v>
      </c>
      <c r="G7" s="7" t="s">
        <v>265</v>
      </c>
      <c r="H7" s="7" t="s">
        <v>238</v>
      </c>
      <c r="I7" s="7" t="s">
        <v>1535</v>
      </c>
      <c r="J7" s="7" t="s">
        <v>1536</v>
      </c>
      <c r="K7" s="7">
        <v>1211077963</v>
      </c>
      <c r="L7" s="7"/>
      <c r="M7" s="7" t="s">
        <v>85</v>
      </c>
      <c r="N7" s="18">
        <v>46219</v>
      </c>
      <c r="O7" s="7" t="s">
        <v>573</v>
      </c>
      <c r="P7" s="13">
        <v>1200</v>
      </c>
      <c r="Q7" s="12">
        <v>65934.070000000007</v>
      </c>
      <c r="R7" s="7" t="s">
        <v>1371</v>
      </c>
    </row>
    <row r="8" spans="1:18">
      <c r="A8" s="7" t="s">
        <v>704</v>
      </c>
      <c r="B8" s="7" t="s">
        <v>705</v>
      </c>
      <c r="C8" s="7" t="s">
        <v>569</v>
      </c>
      <c r="D8" s="7" t="s">
        <v>802</v>
      </c>
      <c r="E8" s="7">
        <v>1219000610</v>
      </c>
      <c r="F8" s="7" t="s">
        <v>824</v>
      </c>
      <c r="G8" s="7" t="s">
        <v>1502</v>
      </c>
      <c r="H8" s="7" t="s">
        <v>326</v>
      </c>
      <c r="I8" s="7" t="s">
        <v>1594</v>
      </c>
      <c r="J8" s="7" t="s">
        <v>1595</v>
      </c>
      <c r="K8" s="7">
        <v>1211078528</v>
      </c>
      <c r="L8" s="7"/>
      <c r="M8" s="7" t="s">
        <v>85</v>
      </c>
      <c r="N8" s="18">
        <v>46228</v>
      </c>
      <c r="O8" s="7" t="s">
        <v>573</v>
      </c>
      <c r="P8" s="13">
        <v>200</v>
      </c>
      <c r="Q8" s="12">
        <v>86913.09</v>
      </c>
      <c r="R8" s="7" t="s">
        <v>1371</v>
      </c>
    </row>
    <row r="9" spans="1:18">
      <c r="A9" s="7" t="s">
        <v>704</v>
      </c>
      <c r="B9" s="7" t="s">
        <v>705</v>
      </c>
      <c r="C9" s="7" t="s">
        <v>569</v>
      </c>
      <c r="D9" s="7" t="s">
        <v>577</v>
      </c>
      <c r="E9" s="7">
        <v>1219000754</v>
      </c>
      <c r="F9" s="7" t="s">
        <v>824</v>
      </c>
      <c r="G9" s="7" t="s">
        <v>1411</v>
      </c>
      <c r="H9" s="7" t="s">
        <v>139</v>
      </c>
      <c r="I9" s="7" t="s">
        <v>1594</v>
      </c>
      <c r="J9" s="7" t="s">
        <v>1595</v>
      </c>
      <c r="K9" s="7">
        <v>1211078528</v>
      </c>
      <c r="L9" s="7"/>
      <c r="M9" s="7" t="s">
        <v>85</v>
      </c>
      <c r="N9" s="18">
        <v>46228</v>
      </c>
      <c r="O9" s="7" t="s">
        <v>573</v>
      </c>
      <c r="P9" s="13">
        <v>75</v>
      </c>
      <c r="Q9" s="12">
        <v>93656.34</v>
      </c>
      <c r="R9" s="7" t="s">
        <v>1371</v>
      </c>
    </row>
    <row r="10" spans="1:18">
      <c r="A10" s="7" t="s">
        <v>704</v>
      </c>
      <c r="B10" s="7" t="s">
        <v>705</v>
      </c>
      <c r="C10" s="7" t="s">
        <v>569</v>
      </c>
      <c r="D10" s="7" t="s">
        <v>619</v>
      </c>
      <c r="E10" s="7">
        <v>1219000753</v>
      </c>
      <c r="F10" s="7" t="s">
        <v>824</v>
      </c>
      <c r="G10" s="7" t="s">
        <v>1579</v>
      </c>
      <c r="H10" s="7" t="s">
        <v>78</v>
      </c>
      <c r="I10" s="7" t="s">
        <v>1594</v>
      </c>
      <c r="J10" s="7" t="s">
        <v>1595</v>
      </c>
      <c r="K10" s="7">
        <v>1211078528</v>
      </c>
      <c r="L10" s="7"/>
      <c r="M10" s="7" t="s">
        <v>85</v>
      </c>
      <c r="N10" s="18">
        <v>46228</v>
      </c>
      <c r="O10" s="7" t="s">
        <v>573</v>
      </c>
      <c r="P10" s="13">
        <v>75</v>
      </c>
      <c r="Q10" s="12">
        <v>95154.85</v>
      </c>
      <c r="R10" s="7" t="s">
        <v>1371</v>
      </c>
    </row>
    <row r="11" spans="1:18">
      <c r="A11" s="7" t="s">
        <v>704</v>
      </c>
      <c r="B11" s="7" t="s">
        <v>705</v>
      </c>
      <c r="C11" s="7" t="s">
        <v>569</v>
      </c>
      <c r="D11" s="7" t="s">
        <v>706</v>
      </c>
      <c r="E11" s="7">
        <v>1219000752</v>
      </c>
      <c r="F11" s="7" t="s">
        <v>824</v>
      </c>
      <c r="G11" s="7" t="s">
        <v>747</v>
      </c>
      <c r="H11" s="7" t="s">
        <v>151</v>
      </c>
      <c r="I11" s="7" t="s">
        <v>1594</v>
      </c>
      <c r="J11" s="7" t="s">
        <v>1595</v>
      </c>
      <c r="K11" s="7">
        <v>1211078528</v>
      </c>
      <c r="L11" s="7"/>
      <c r="M11" s="7" t="s">
        <v>85</v>
      </c>
      <c r="N11" s="18">
        <v>46228</v>
      </c>
      <c r="O11" s="7" t="s">
        <v>573</v>
      </c>
      <c r="P11" s="13">
        <v>50</v>
      </c>
      <c r="Q11" s="12">
        <v>63436.56</v>
      </c>
      <c r="R11" s="7" t="s">
        <v>1371</v>
      </c>
    </row>
    <row r="12" spans="1:18">
      <c r="A12" s="7" t="s">
        <v>704</v>
      </c>
      <c r="B12" s="7" t="s">
        <v>705</v>
      </c>
      <c r="C12" s="7" t="s">
        <v>569</v>
      </c>
      <c r="D12" s="7" t="s">
        <v>579</v>
      </c>
      <c r="E12" s="7">
        <v>1219000832</v>
      </c>
      <c r="F12" s="7" t="s">
        <v>824</v>
      </c>
      <c r="G12" s="7" t="s">
        <v>164</v>
      </c>
      <c r="H12" s="7" t="s">
        <v>163</v>
      </c>
      <c r="I12" s="7" t="s">
        <v>1594</v>
      </c>
      <c r="J12" s="7" t="s">
        <v>1595</v>
      </c>
      <c r="K12" s="7">
        <v>1211078528</v>
      </c>
      <c r="L12" s="7"/>
      <c r="M12" s="7" t="s">
        <v>85</v>
      </c>
      <c r="N12" s="18">
        <v>46228</v>
      </c>
      <c r="O12" s="7" t="s">
        <v>573</v>
      </c>
      <c r="P12" s="13">
        <v>75</v>
      </c>
      <c r="Q12" s="12">
        <v>6743.26</v>
      </c>
      <c r="R12" s="7" t="s">
        <v>1371</v>
      </c>
    </row>
    <row r="13" spans="1:18">
      <c r="A13" s="7" t="s">
        <v>704</v>
      </c>
      <c r="B13" s="7" t="s">
        <v>705</v>
      </c>
      <c r="C13" s="7" t="s">
        <v>569</v>
      </c>
      <c r="D13" s="7" t="s">
        <v>614</v>
      </c>
      <c r="E13" s="7">
        <v>1219000833</v>
      </c>
      <c r="F13" s="7" t="s">
        <v>824</v>
      </c>
      <c r="G13" s="7" t="s">
        <v>167</v>
      </c>
      <c r="H13" s="7" t="s">
        <v>166</v>
      </c>
      <c r="I13" s="7" t="s">
        <v>1594</v>
      </c>
      <c r="J13" s="7" t="s">
        <v>1595</v>
      </c>
      <c r="K13" s="7">
        <v>1211078528</v>
      </c>
      <c r="L13" s="7"/>
      <c r="M13" s="7" t="s">
        <v>85</v>
      </c>
      <c r="N13" s="18">
        <v>46228</v>
      </c>
      <c r="O13" s="7" t="s">
        <v>573</v>
      </c>
      <c r="P13" s="13">
        <v>75</v>
      </c>
      <c r="Q13" s="12">
        <v>6743.26</v>
      </c>
      <c r="R13" s="7" t="s">
        <v>1371</v>
      </c>
    </row>
    <row r="14" spans="1:18">
      <c r="A14" s="7" t="s">
        <v>642</v>
      </c>
      <c r="B14" s="7" t="s">
        <v>607</v>
      </c>
      <c r="C14" s="7" t="s">
        <v>569</v>
      </c>
      <c r="D14" s="7" t="s">
        <v>599</v>
      </c>
      <c r="E14" s="7">
        <v>1219000546</v>
      </c>
      <c r="F14" s="7" t="s">
        <v>828</v>
      </c>
      <c r="G14" s="7" t="s">
        <v>121</v>
      </c>
      <c r="H14" s="7" t="s">
        <v>357</v>
      </c>
      <c r="I14" s="7" t="s">
        <v>1652</v>
      </c>
      <c r="J14" s="7" t="s">
        <v>1653</v>
      </c>
      <c r="K14" s="7">
        <v>1211078907</v>
      </c>
      <c r="L14" s="7"/>
      <c r="M14" s="7" t="s">
        <v>85</v>
      </c>
      <c r="N14" s="18">
        <v>46234</v>
      </c>
      <c r="O14" s="7" t="s">
        <v>573</v>
      </c>
      <c r="P14" s="13">
        <v>56</v>
      </c>
      <c r="Q14" s="12">
        <v>336000</v>
      </c>
      <c r="R14" s="7" t="s">
        <v>1371</v>
      </c>
    </row>
    <row r="15" spans="1:18">
      <c r="A15" s="7" t="s">
        <v>1733</v>
      </c>
      <c r="B15" s="7" t="s">
        <v>587</v>
      </c>
      <c r="C15" s="7" t="s">
        <v>569</v>
      </c>
      <c r="D15" s="7" t="s">
        <v>588</v>
      </c>
      <c r="E15" s="7">
        <v>1219000600</v>
      </c>
      <c r="F15" s="7" t="s">
        <v>1288</v>
      </c>
      <c r="G15" s="7" t="s">
        <v>822</v>
      </c>
      <c r="H15" s="7" t="s">
        <v>589</v>
      </c>
      <c r="I15" s="7" t="s">
        <v>1734</v>
      </c>
      <c r="J15" s="7" t="s">
        <v>1735</v>
      </c>
      <c r="K15" s="7">
        <v>1211078918</v>
      </c>
      <c r="L15" s="7"/>
      <c r="M15" s="7" t="s">
        <v>85</v>
      </c>
      <c r="N15" s="18">
        <v>46238</v>
      </c>
      <c r="O15" s="7" t="s">
        <v>573</v>
      </c>
      <c r="P15" s="13">
        <v>10000</v>
      </c>
      <c r="Q15" s="12">
        <v>359640.36</v>
      </c>
      <c r="R15" s="7" t="s">
        <v>1371</v>
      </c>
    </row>
    <row r="16" spans="1:18">
      <c r="A16" s="7" t="s">
        <v>1733</v>
      </c>
      <c r="B16" s="7" t="s">
        <v>587</v>
      </c>
      <c r="C16" s="7" t="s">
        <v>569</v>
      </c>
      <c r="D16" s="7" t="s">
        <v>581</v>
      </c>
      <c r="E16" s="7">
        <v>1219000509</v>
      </c>
      <c r="F16" s="7" t="s">
        <v>1288</v>
      </c>
      <c r="G16" s="7" t="s">
        <v>1447</v>
      </c>
      <c r="H16" s="7" t="s">
        <v>171</v>
      </c>
      <c r="I16" s="7" t="s">
        <v>1736</v>
      </c>
      <c r="J16" s="7" t="s">
        <v>1737</v>
      </c>
      <c r="K16" s="7">
        <v>1211078919</v>
      </c>
      <c r="L16" s="7"/>
      <c r="M16" s="7" t="s">
        <v>85</v>
      </c>
      <c r="N16" s="18">
        <v>46238</v>
      </c>
      <c r="O16" s="7" t="s">
        <v>573</v>
      </c>
      <c r="P16" s="13">
        <v>800</v>
      </c>
      <c r="Q16" s="12">
        <v>207792.21</v>
      </c>
      <c r="R16" s="7" t="s">
        <v>1371</v>
      </c>
    </row>
    <row r="17" spans="1:18">
      <c r="A17" s="7" t="s">
        <v>659</v>
      </c>
      <c r="B17" s="7" t="s">
        <v>660</v>
      </c>
      <c r="C17" s="7" t="s">
        <v>569</v>
      </c>
      <c r="D17" s="7" t="s">
        <v>658</v>
      </c>
      <c r="E17" s="7">
        <v>1219000799</v>
      </c>
      <c r="F17" s="7" t="s">
        <v>828</v>
      </c>
      <c r="G17" s="7" t="s">
        <v>360</v>
      </c>
      <c r="H17" s="7" t="s">
        <v>332</v>
      </c>
      <c r="I17" s="7" t="s">
        <v>1798</v>
      </c>
      <c r="J17" s="7" t="s">
        <v>1799</v>
      </c>
      <c r="K17" s="7">
        <v>1211079583</v>
      </c>
      <c r="L17" s="7"/>
      <c r="M17" s="7" t="s">
        <v>85</v>
      </c>
      <c r="N17" s="18">
        <v>46247</v>
      </c>
      <c r="O17" s="7" t="s">
        <v>573</v>
      </c>
      <c r="P17" s="13">
        <v>15000</v>
      </c>
      <c r="Q17" s="12">
        <v>719280.72</v>
      </c>
      <c r="R17" s="7" t="s">
        <v>1371</v>
      </c>
    </row>
    <row r="18" spans="1:18">
      <c r="A18" s="7" t="s">
        <v>1750</v>
      </c>
      <c r="B18" s="7" t="s">
        <v>707</v>
      </c>
      <c r="C18" s="7" t="s">
        <v>569</v>
      </c>
      <c r="D18" s="7" t="s">
        <v>1764</v>
      </c>
      <c r="E18" s="7">
        <v>1219000510</v>
      </c>
      <c r="F18" s="7" t="s">
        <v>1288</v>
      </c>
      <c r="G18" s="7" t="s">
        <v>229</v>
      </c>
      <c r="H18" s="7" t="s">
        <v>103</v>
      </c>
      <c r="I18" s="7" t="s">
        <v>2074</v>
      </c>
      <c r="J18" s="7" t="s">
        <v>2075</v>
      </c>
      <c r="K18" s="7">
        <v>1211079706</v>
      </c>
      <c r="L18" s="7"/>
      <c r="M18" s="7" t="s">
        <v>85</v>
      </c>
      <c r="N18" s="18">
        <v>46252</v>
      </c>
      <c r="O18" s="7" t="s">
        <v>573</v>
      </c>
      <c r="P18" s="13">
        <v>765</v>
      </c>
      <c r="Q18" s="12">
        <v>377914.58</v>
      </c>
      <c r="R18" s="7" t="s">
        <v>1371</v>
      </c>
    </row>
    <row r="19" spans="1:18">
      <c r="A19" s="7" t="s">
        <v>1750</v>
      </c>
      <c r="B19" s="7" t="s">
        <v>707</v>
      </c>
      <c r="C19" s="7" t="s">
        <v>569</v>
      </c>
      <c r="D19" s="7" t="s">
        <v>1764</v>
      </c>
      <c r="E19" s="7">
        <v>1219000510</v>
      </c>
      <c r="F19" s="7" t="s">
        <v>1288</v>
      </c>
      <c r="G19" s="7" t="s">
        <v>2076</v>
      </c>
      <c r="H19" s="7" t="s">
        <v>103</v>
      </c>
      <c r="I19" s="7" t="s">
        <v>2074</v>
      </c>
      <c r="J19" s="7" t="s">
        <v>2075</v>
      </c>
      <c r="K19" s="7">
        <v>1211079706</v>
      </c>
      <c r="L19" s="7"/>
      <c r="M19" s="7" t="s">
        <v>85</v>
      </c>
      <c r="N19" s="18">
        <v>46252</v>
      </c>
      <c r="O19" s="7" t="s">
        <v>573</v>
      </c>
      <c r="P19" s="13">
        <v>335</v>
      </c>
      <c r="Q19" s="12">
        <v>165492.01</v>
      </c>
      <c r="R19" s="7" t="s">
        <v>1371</v>
      </c>
    </row>
    <row r="20" spans="1:18">
      <c r="A20" s="7" t="s">
        <v>1750</v>
      </c>
      <c r="B20" s="7" t="s">
        <v>707</v>
      </c>
      <c r="C20" s="7" t="s">
        <v>569</v>
      </c>
      <c r="D20" s="7" t="s">
        <v>582</v>
      </c>
      <c r="E20" s="7">
        <v>1219000780</v>
      </c>
      <c r="F20" s="7" t="s">
        <v>1288</v>
      </c>
      <c r="G20" s="7" t="s">
        <v>269</v>
      </c>
      <c r="H20" s="7" t="s">
        <v>115</v>
      </c>
      <c r="I20" s="7" t="s">
        <v>2074</v>
      </c>
      <c r="J20" s="7" t="s">
        <v>2075</v>
      </c>
      <c r="K20" s="7">
        <v>1211079706</v>
      </c>
      <c r="L20" s="7"/>
      <c r="M20" s="7" t="s">
        <v>85</v>
      </c>
      <c r="N20" s="18">
        <v>46252</v>
      </c>
      <c r="O20" s="7" t="s">
        <v>573</v>
      </c>
      <c r="P20" s="13">
        <v>1500</v>
      </c>
      <c r="Q20" s="12">
        <v>1018981.02</v>
      </c>
      <c r="R20" s="7" t="s">
        <v>1371</v>
      </c>
    </row>
    <row r="21" spans="1:18">
      <c r="A21" s="7" t="s">
        <v>653</v>
      </c>
      <c r="B21" s="7" t="s">
        <v>654</v>
      </c>
      <c r="C21" s="7" t="s">
        <v>569</v>
      </c>
      <c r="D21" s="7" t="s">
        <v>588</v>
      </c>
      <c r="E21" s="7">
        <v>1219000600</v>
      </c>
      <c r="F21" s="7" t="s">
        <v>1288</v>
      </c>
      <c r="G21" s="7" t="s">
        <v>822</v>
      </c>
      <c r="H21" s="7" t="s">
        <v>589</v>
      </c>
      <c r="I21" s="7" t="s">
        <v>2077</v>
      </c>
      <c r="J21" s="7" t="s">
        <v>2078</v>
      </c>
      <c r="K21" s="7">
        <v>1211079943</v>
      </c>
      <c r="L21" s="7"/>
      <c r="M21" s="7" t="s">
        <v>85</v>
      </c>
      <c r="N21" s="18">
        <v>46259</v>
      </c>
      <c r="O21" s="7" t="s">
        <v>573</v>
      </c>
      <c r="P21" s="13">
        <v>18000</v>
      </c>
      <c r="Q21" s="12">
        <v>647352.65</v>
      </c>
      <c r="R21" s="7" t="s">
        <v>1371</v>
      </c>
    </row>
    <row r="22" spans="1:18">
      <c r="A22" s="7" t="s">
        <v>653</v>
      </c>
      <c r="B22" s="7" t="s">
        <v>654</v>
      </c>
      <c r="C22" s="7" t="s">
        <v>569</v>
      </c>
      <c r="D22" s="7" t="s">
        <v>588</v>
      </c>
      <c r="E22" s="7">
        <v>1219000600</v>
      </c>
      <c r="F22" s="7" t="s">
        <v>1288</v>
      </c>
      <c r="G22" s="7" t="s">
        <v>822</v>
      </c>
      <c r="H22" s="7" t="s">
        <v>589</v>
      </c>
      <c r="I22" s="7" t="s">
        <v>2079</v>
      </c>
      <c r="J22" s="7" t="s">
        <v>2080</v>
      </c>
      <c r="K22" s="7">
        <v>1211079944</v>
      </c>
      <c r="L22" s="7"/>
      <c r="M22" s="7" t="s">
        <v>85</v>
      </c>
      <c r="N22" s="18">
        <v>46259</v>
      </c>
      <c r="O22" s="7" t="s">
        <v>573</v>
      </c>
      <c r="P22" s="13">
        <v>2000</v>
      </c>
      <c r="Q22" s="12">
        <v>71928.070000000007</v>
      </c>
      <c r="R22" s="7" t="s">
        <v>1371</v>
      </c>
    </row>
    <row r="23" spans="1:18">
      <c r="A23" s="7" t="s">
        <v>758</v>
      </c>
      <c r="B23" s="7" t="s">
        <v>759</v>
      </c>
      <c r="C23" s="7" t="s">
        <v>569</v>
      </c>
      <c r="D23" s="7" t="s">
        <v>802</v>
      </c>
      <c r="E23" s="7">
        <v>1219000610</v>
      </c>
      <c r="F23" s="7" t="s">
        <v>824</v>
      </c>
      <c r="G23" s="7" t="s">
        <v>1502</v>
      </c>
      <c r="H23" s="7" t="s">
        <v>326</v>
      </c>
      <c r="I23" s="7" t="s">
        <v>2081</v>
      </c>
      <c r="J23" s="7" t="s">
        <v>2082</v>
      </c>
      <c r="K23" s="7">
        <v>1211080053</v>
      </c>
      <c r="L23" s="7"/>
      <c r="M23" s="7" t="s">
        <v>85</v>
      </c>
      <c r="N23" s="18">
        <v>46262</v>
      </c>
      <c r="O23" s="7" t="s">
        <v>573</v>
      </c>
      <c r="P23" s="13">
        <v>1500</v>
      </c>
      <c r="Q23" s="12">
        <v>636863.14</v>
      </c>
      <c r="R23" s="7" t="s">
        <v>1371</v>
      </c>
    </row>
    <row r="24" spans="1:18">
      <c r="A24" s="7" t="s">
        <v>758</v>
      </c>
      <c r="B24" s="7" t="s">
        <v>759</v>
      </c>
      <c r="C24" s="7" t="s">
        <v>569</v>
      </c>
      <c r="D24" s="7" t="s">
        <v>577</v>
      </c>
      <c r="E24" s="7">
        <v>1219000754</v>
      </c>
      <c r="F24" s="7" t="s">
        <v>824</v>
      </c>
      <c r="G24" s="7" t="s">
        <v>1411</v>
      </c>
      <c r="H24" s="7" t="s">
        <v>139</v>
      </c>
      <c r="I24" s="7" t="s">
        <v>2081</v>
      </c>
      <c r="J24" s="7" t="s">
        <v>2082</v>
      </c>
      <c r="K24" s="7">
        <v>1211080053</v>
      </c>
      <c r="L24" s="7"/>
      <c r="M24" s="7" t="s">
        <v>85</v>
      </c>
      <c r="N24" s="18">
        <v>46262</v>
      </c>
      <c r="O24" s="7" t="s">
        <v>573</v>
      </c>
      <c r="P24" s="13">
        <v>448</v>
      </c>
      <c r="Q24" s="12">
        <v>436363.64</v>
      </c>
      <c r="R24" s="7" t="s">
        <v>1371</v>
      </c>
    </row>
    <row r="25" spans="1:18">
      <c r="A25" s="7" t="s">
        <v>758</v>
      </c>
      <c r="B25" s="7" t="s">
        <v>759</v>
      </c>
      <c r="C25" s="7" t="s">
        <v>569</v>
      </c>
      <c r="D25" s="7" t="s">
        <v>577</v>
      </c>
      <c r="E25" s="7">
        <v>1219000754</v>
      </c>
      <c r="F25" s="7" t="s">
        <v>824</v>
      </c>
      <c r="G25" s="7" t="s">
        <v>1693</v>
      </c>
      <c r="H25" s="7" t="s">
        <v>139</v>
      </c>
      <c r="I25" s="7" t="s">
        <v>2081</v>
      </c>
      <c r="J25" s="7" t="s">
        <v>2082</v>
      </c>
      <c r="K25" s="7">
        <v>1211080053</v>
      </c>
      <c r="L25" s="7"/>
      <c r="M25" s="7" t="s">
        <v>85</v>
      </c>
      <c r="N25" s="18">
        <v>46262</v>
      </c>
      <c r="O25" s="7" t="s">
        <v>573</v>
      </c>
      <c r="P25" s="13">
        <v>1052</v>
      </c>
      <c r="Q25" s="12">
        <v>1024675.32</v>
      </c>
      <c r="R25" s="7" t="s">
        <v>1371</v>
      </c>
    </row>
    <row r="26" spans="1:18">
      <c r="A26" s="7" t="s">
        <v>809</v>
      </c>
      <c r="B26" s="7" t="s">
        <v>810</v>
      </c>
      <c r="C26" s="7" t="s">
        <v>569</v>
      </c>
      <c r="D26" s="7" t="s">
        <v>600</v>
      </c>
      <c r="E26" s="7">
        <v>1219001017</v>
      </c>
      <c r="F26" s="7" t="s">
        <v>824</v>
      </c>
      <c r="G26" s="7" t="s">
        <v>346</v>
      </c>
      <c r="H26" s="7" t="s">
        <v>218</v>
      </c>
      <c r="I26" s="7" t="s">
        <v>2083</v>
      </c>
      <c r="J26" s="7" t="s">
        <v>2084</v>
      </c>
      <c r="K26" s="7">
        <v>1211080055</v>
      </c>
      <c r="L26" s="7"/>
      <c r="M26" s="7" t="s">
        <v>85</v>
      </c>
      <c r="N26" s="18">
        <v>46262</v>
      </c>
      <c r="O26" s="7" t="s">
        <v>573</v>
      </c>
      <c r="P26" s="13">
        <v>36</v>
      </c>
      <c r="Q26" s="12">
        <v>77322.679999999993</v>
      </c>
      <c r="R26" s="7" t="s">
        <v>1371</v>
      </c>
    </row>
    <row r="27" spans="1:18">
      <c r="A27" s="7" t="s">
        <v>809</v>
      </c>
      <c r="B27" s="7" t="s">
        <v>810</v>
      </c>
      <c r="C27" s="7" t="s">
        <v>569</v>
      </c>
      <c r="D27" s="7" t="s">
        <v>600</v>
      </c>
      <c r="E27" s="7">
        <v>1219001017</v>
      </c>
      <c r="F27" s="7" t="s">
        <v>824</v>
      </c>
      <c r="G27" s="7" t="s">
        <v>1697</v>
      </c>
      <c r="H27" s="7" t="s">
        <v>218</v>
      </c>
      <c r="I27" s="7" t="s">
        <v>2083</v>
      </c>
      <c r="J27" s="7" t="s">
        <v>2084</v>
      </c>
      <c r="K27" s="7">
        <v>1211080055</v>
      </c>
      <c r="L27" s="7"/>
      <c r="M27" s="7" t="s">
        <v>85</v>
      </c>
      <c r="N27" s="18">
        <v>46262</v>
      </c>
      <c r="O27" s="7" t="s">
        <v>573</v>
      </c>
      <c r="P27" s="13">
        <v>81</v>
      </c>
      <c r="Q27" s="12">
        <v>173976.02</v>
      </c>
      <c r="R27" s="7" t="s">
        <v>1371</v>
      </c>
    </row>
    <row r="28" spans="1:18">
      <c r="A28" s="7" t="s">
        <v>787</v>
      </c>
      <c r="B28" s="7" t="s">
        <v>788</v>
      </c>
      <c r="C28" s="7" t="s">
        <v>1487</v>
      </c>
      <c r="D28" s="7" t="s">
        <v>617</v>
      </c>
      <c r="E28" s="7">
        <v>1219000660</v>
      </c>
      <c r="F28" s="7" t="s">
        <v>1288</v>
      </c>
      <c r="G28" s="7" t="s">
        <v>1403</v>
      </c>
      <c r="H28" s="7" t="s">
        <v>110</v>
      </c>
      <c r="I28" s="7" t="s">
        <v>1667</v>
      </c>
      <c r="J28" s="7" t="s">
        <v>1668</v>
      </c>
      <c r="K28" s="7">
        <v>1213007837</v>
      </c>
      <c r="L28" s="7"/>
      <c r="M28" s="7" t="s">
        <v>595</v>
      </c>
      <c r="N28" s="18">
        <v>46232</v>
      </c>
      <c r="O28" s="7" t="s">
        <v>596</v>
      </c>
      <c r="P28" s="13">
        <v>-4836</v>
      </c>
      <c r="Q28" s="12">
        <v>-725400</v>
      </c>
      <c r="R28" s="7" t="s">
        <v>1371</v>
      </c>
    </row>
    <row r="29" spans="1:18">
      <c r="A29" s="7" t="s">
        <v>787</v>
      </c>
      <c r="B29" s="7" t="s">
        <v>788</v>
      </c>
      <c r="C29" s="7" t="s">
        <v>1487</v>
      </c>
      <c r="D29" s="7" t="s">
        <v>617</v>
      </c>
      <c r="E29" s="7">
        <v>1219000660</v>
      </c>
      <c r="F29" s="7" t="s">
        <v>1288</v>
      </c>
      <c r="G29" s="7" t="s">
        <v>627</v>
      </c>
      <c r="H29" s="7" t="s">
        <v>110</v>
      </c>
      <c r="I29" s="7" t="s">
        <v>1667</v>
      </c>
      <c r="J29" s="7" t="s">
        <v>1668</v>
      </c>
      <c r="K29" s="7">
        <v>1213007837</v>
      </c>
      <c r="L29" s="7"/>
      <c r="M29" s="7" t="s">
        <v>595</v>
      </c>
      <c r="N29" s="18">
        <v>46232</v>
      </c>
      <c r="O29" s="7" t="s">
        <v>596</v>
      </c>
      <c r="P29" s="13">
        <v>-45851</v>
      </c>
      <c r="Q29" s="12">
        <v>-6877650</v>
      </c>
      <c r="R29" s="7" t="s">
        <v>1371</v>
      </c>
    </row>
    <row r="30" spans="1:18">
      <c r="A30" s="7" t="s">
        <v>787</v>
      </c>
      <c r="B30" s="7" t="s">
        <v>788</v>
      </c>
      <c r="C30" s="7" t="s">
        <v>1487</v>
      </c>
      <c r="D30" s="7" t="s">
        <v>617</v>
      </c>
      <c r="E30" s="7">
        <v>1219000660</v>
      </c>
      <c r="F30" s="7" t="s">
        <v>1288</v>
      </c>
      <c r="G30" s="7" t="s">
        <v>663</v>
      </c>
      <c r="H30" s="7" t="s">
        <v>110</v>
      </c>
      <c r="I30" s="7" t="s">
        <v>1667</v>
      </c>
      <c r="J30" s="7" t="s">
        <v>1668</v>
      </c>
      <c r="K30" s="7">
        <v>1213007837</v>
      </c>
      <c r="L30" s="7"/>
      <c r="M30" s="7" t="s">
        <v>595</v>
      </c>
      <c r="N30" s="18">
        <v>46232</v>
      </c>
      <c r="O30" s="7" t="s">
        <v>596</v>
      </c>
      <c r="P30" s="13">
        <v>-2600</v>
      </c>
      <c r="Q30" s="12">
        <v>-390000</v>
      </c>
      <c r="R30" s="7" t="s">
        <v>1371</v>
      </c>
    </row>
    <row r="31" spans="1:18">
      <c r="A31" s="7" t="s">
        <v>787</v>
      </c>
      <c r="B31" s="7" t="s">
        <v>788</v>
      </c>
      <c r="C31" s="7" t="s">
        <v>1487</v>
      </c>
      <c r="D31" s="7" t="s">
        <v>617</v>
      </c>
      <c r="E31" s="7">
        <v>1219000660</v>
      </c>
      <c r="F31" s="7" t="s">
        <v>1288</v>
      </c>
      <c r="G31" s="7" t="s">
        <v>1404</v>
      </c>
      <c r="H31" s="7" t="s">
        <v>110</v>
      </c>
      <c r="I31" s="7" t="s">
        <v>1667</v>
      </c>
      <c r="J31" s="7" t="s">
        <v>1668</v>
      </c>
      <c r="K31" s="7">
        <v>1213007837</v>
      </c>
      <c r="L31" s="7"/>
      <c r="M31" s="7" t="s">
        <v>595</v>
      </c>
      <c r="N31" s="18">
        <v>46232</v>
      </c>
      <c r="O31" s="7" t="s">
        <v>596</v>
      </c>
      <c r="P31" s="13">
        <v>-395</v>
      </c>
      <c r="Q31" s="12">
        <v>-59250</v>
      </c>
      <c r="R31" s="7" t="s">
        <v>1371</v>
      </c>
    </row>
    <row r="32" spans="1:18">
      <c r="A32" s="7" t="s">
        <v>787</v>
      </c>
      <c r="B32" s="7" t="s">
        <v>788</v>
      </c>
      <c r="C32" s="7" t="s">
        <v>1487</v>
      </c>
      <c r="D32" s="7" t="s">
        <v>617</v>
      </c>
      <c r="E32" s="7">
        <v>1219000660</v>
      </c>
      <c r="F32" s="7" t="s">
        <v>1288</v>
      </c>
      <c r="G32" s="7" t="s">
        <v>688</v>
      </c>
      <c r="H32" s="7" t="s">
        <v>110</v>
      </c>
      <c r="I32" s="7" t="s">
        <v>1667</v>
      </c>
      <c r="J32" s="7" t="s">
        <v>1668</v>
      </c>
      <c r="K32" s="7">
        <v>1213007837</v>
      </c>
      <c r="L32" s="7"/>
      <c r="M32" s="7" t="s">
        <v>595</v>
      </c>
      <c r="N32" s="18">
        <v>46232</v>
      </c>
      <c r="O32" s="7" t="s">
        <v>596</v>
      </c>
      <c r="P32" s="13">
        <v>-7838</v>
      </c>
      <c r="Q32" s="12">
        <v>-1175700</v>
      </c>
      <c r="R32" s="7" t="s">
        <v>1371</v>
      </c>
    </row>
    <row r="33" spans="1:18">
      <c r="A33" s="7" t="s">
        <v>787</v>
      </c>
      <c r="B33" s="7" t="s">
        <v>788</v>
      </c>
      <c r="C33" s="7" t="s">
        <v>1487</v>
      </c>
      <c r="D33" s="7" t="s">
        <v>617</v>
      </c>
      <c r="E33" s="7">
        <v>1219000660</v>
      </c>
      <c r="F33" s="7" t="s">
        <v>1288</v>
      </c>
      <c r="G33" s="7" t="s">
        <v>111</v>
      </c>
      <c r="H33" s="7" t="s">
        <v>110</v>
      </c>
      <c r="I33" s="7" t="s">
        <v>1667</v>
      </c>
      <c r="J33" s="7" t="s">
        <v>1668</v>
      </c>
      <c r="K33" s="7">
        <v>1213007837</v>
      </c>
      <c r="L33" s="7"/>
      <c r="M33" s="7" t="s">
        <v>595</v>
      </c>
      <c r="N33" s="18">
        <v>46232</v>
      </c>
      <c r="O33" s="7" t="s">
        <v>596</v>
      </c>
      <c r="P33" s="13">
        <v>-3480</v>
      </c>
      <c r="Q33" s="12">
        <v>-522000</v>
      </c>
      <c r="R33" s="7" t="s">
        <v>1371</v>
      </c>
    </row>
    <row r="34" spans="1:18">
      <c r="A34" s="7" t="s">
        <v>2085</v>
      </c>
      <c r="B34" s="7" t="s">
        <v>583</v>
      </c>
      <c r="C34" s="7" t="s">
        <v>569</v>
      </c>
      <c r="D34" s="7" t="s">
        <v>1764</v>
      </c>
      <c r="E34" s="7">
        <v>1219000510</v>
      </c>
      <c r="F34" s="7" t="s">
        <v>1288</v>
      </c>
      <c r="G34" s="7" t="s">
        <v>2086</v>
      </c>
      <c r="H34" s="7" t="s">
        <v>103</v>
      </c>
      <c r="I34" s="7" t="s">
        <v>2087</v>
      </c>
      <c r="J34" s="7" t="s">
        <v>2088</v>
      </c>
      <c r="K34" s="7">
        <v>1213008018</v>
      </c>
      <c r="L34" s="7"/>
      <c r="M34" s="7" t="s">
        <v>595</v>
      </c>
      <c r="N34" s="18">
        <v>46258</v>
      </c>
      <c r="O34" s="7" t="s">
        <v>596</v>
      </c>
      <c r="P34" s="13">
        <v>-3040</v>
      </c>
      <c r="Q34" s="12">
        <v>-1600479.52</v>
      </c>
      <c r="R34" s="7" t="s">
        <v>1371</v>
      </c>
    </row>
    <row r="35" spans="1:18">
      <c r="A35" s="7" t="s">
        <v>2085</v>
      </c>
      <c r="B35" s="7" t="s">
        <v>583</v>
      </c>
      <c r="C35" s="7" t="s">
        <v>569</v>
      </c>
      <c r="D35" s="7" t="s">
        <v>1764</v>
      </c>
      <c r="E35" s="7">
        <v>1219000510</v>
      </c>
      <c r="F35" s="7" t="s">
        <v>1288</v>
      </c>
      <c r="G35" s="7" t="s">
        <v>2089</v>
      </c>
      <c r="H35" s="7" t="s">
        <v>103</v>
      </c>
      <c r="I35" s="7" t="s">
        <v>2090</v>
      </c>
      <c r="J35" s="7" t="s">
        <v>2091</v>
      </c>
      <c r="K35" s="7">
        <v>1213008019</v>
      </c>
      <c r="L35" s="7"/>
      <c r="M35" s="7" t="s">
        <v>595</v>
      </c>
      <c r="N35" s="18">
        <v>46258</v>
      </c>
      <c r="O35" s="7" t="s">
        <v>596</v>
      </c>
      <c r="P35" s="13">
        <v>-960</v>
      </c>
      <c r="Q35" s="12">
        <v>-505414.58</v>
      </c>
      <c r="R35" s="7" t="s">
        <v>1371</v>
      </c>
    </row>
    <row r="36" spans="1:18">
      <c r="A36" s="7" t="s">
        <v>2085</v>
      </c>
      <c r="B36" s="7" t="s">
        <v>583</v>
      </c>
      <c r="C36" s="7" t="s">
        <v>569</v>
      </c>
      <c r="D36" s="7" t="s">
        <v>1764</v>
      </c>
      <c r="E36" s="7">
        <v>1219000510</v>
      </c>
      <c r="F36" s="7" t="s">
        <v>1288</v>
      </c>
      <c r="G36" s="7" t="s">
        <v>2092</v>
      </c>
      <c r="H36" s="7" t="s">
        <v>103</v>
      </c>
      <c r="I36" s="7" t="s">
        <v>2090</v>
      </c>
      <c r="J36" s="7" t="s">
        <v>2091</v>
      </c>
      <c r="K36" s="7">
        <v>1213008019</v>
      </c>
      <c r="L36" s="7"/>
      <c r="M36" s="7" t="s">
        <v>595</v>
      </c>
      <c r="N36" s="18">
        <v>46258</v>
      </c>
      <c r="O36" s="7" t="s">
        <v>596</v>
      </c>
      <c r="P36" s="13">
        <v>-1040</v>
      </c>
      <c r="Q36" s="12">
        <v>-547532.47</v>
      </c>
      <c r="R36" s="7" t="s">
        <v>1371</v>
      </c>
    </row>
    <row r="37" spans="1:18">
      <c r="A37" s="7" t="s">
        <v>2093</v>
      </c>
      <c r="B37" s="7" t="s">
        <v>783</v>
      </c>
      <c r="C37" s="7" t="s">
        <v>1487</v>
      </c>
      <c r="D37" s="7" t="s">
        <v>2094</v>
      </c>
      <c r="E37" s="7">
        <v>1219000779</v>
      </c>
      <c r="F37" s="7" t="s">
        <v>1288</v>
      </c>
      <c r="G37" s="7" t="s">
        <v>2095</v>
      </c>
      <c r="H37" s="7" t="s">
        <v>687</v>
      </c>
      <c r="I37" s="7" t="s">
        <v>2096</v>
      </c>
      <c r="J37" s="7" t="s">
        <v>2097</v>
      </c>
      <c r="K37" s="7">
        <v>1213008052</v>
      </c>
      <c r="L37" s="7"/>
      <c r="M37" s="7" t="s">
        <v>595</v>
      </c>
      <c r="N37" s="18">
        <v>46265</v>
      </c>
      <c r="O37" s="7" t="s">
        <v>596</v>
      </c>
      <c r="P37" s="13">
        <v>-235</v>
      </c>
      <c r="Q37" s="12">
        <v>-293516.88</v>
      </c>
      <c r="R37" s="7" t="s">
        <v>1371</v>
      </c>
    </row>
    <row r="38" spans="1:18">
      <c r="A38" s="7" t="s">
        <v>2093</v>
      </c>
      <c r="B38" s="7" t="s">
        <v>783</v>
      </c>
      <c r="C38" s="7" t="s">
        <v>1487</v>
      </c>
      <c r="D38" s="7" t="s">
        <v>2094</v>
      </c>
      <c r="E38" s="7">
        <v>1219000779</v>
      </c>
      <c r="F38" s="7" t="s">
        <v>1288</v>
      </c>
      <c r="G38" s="7" t="s">
        <v>2098</v>
      </c>
      <c r="H38" s="7" t="s">
        <v>687</v>
      </c>
      <c r="I38" s="7" t="s">
        <v>2096</v>
      </c>
      <c r="J38" s="7" t="s">
        <v>2097</v>
      </c>
      <c r="K38" s="7">
        <v>1213008052</v>
      </c>
      <c r="L38" s="7"/>
      <c r="M38" s="7" t="s">
        <v>595</v>
      </c>
      <c r="N38" s="18">
        <v>46265</v>
      </c>
      <c r="O38" s="7" t="s">
        <v>596</v>
      </c>
      <c r="P38" s="13">
        <v>-40</v>
      </c>
      <c r="Q38" s="12">
        <v>-49960.32</v>
      </c>
      <c r="R38" s="7" t="s">
        <v>1371</v>
      </c>
    </row>
    <row r="39" spans="1:18">
      <c r="A39" s="7" t="s">
        <v>2093</v>
      </c>
      <c r="B39" s="7" t="s">
        <v>783</v>
      </c>
      <c r="C39" s="7" t="s">
        <v>1487</v>
      </c>
      <c r="D39" s="7" t="s">
        <v>2094</v>
      </c>
      <c r="E39" s="7">
        <v>1219000779</v>
      </c>
      <c r="F39" s="7" t="s">
        <v>1288</v>
      </c>
      <c r="G39" s="7" t="s">
        <v>2095</v>
      </c>
      <c r="H39" s="7" t="s">
        <v>687</v>
      </c>
      <c r="I39" s="7" t="s">
        <v>2096</v>
      </c>
      <c r="J39" s="7" t="s">
        <v>2097</v>
      </c>
      <c r="K39" s="7">
        <v>1213008052</v>
      </c>
      <c r="L39" s="7"/>
      <c r="M39" s="7" t="s">
        <v>595</v>
      </c>
      <c r="N39" s="18">
        <v>46265</v>
      </c>
      <c r="O39" s="7" t="s">
        <v>596</v>
      </c>
      <c r="P39" s="13">
        <v>-10</v>
      </c>
      <c r="Q39" s="12">
        <v>-12490.08</v>
      </c>
      <c r="R39" s="7" t="s">
        <v>1371</v>
      </c>
    </row>
    <row r="40" spans="1:18">
      <c r="A40" s="7" t="s">
        <v>2093</v>
      </c>
      <c r="B40" s="7" t="s">
        <v>783</v>
      </c>
      <c r="C40" s="7" t="s">
        <v>1487</v>
      </c>
      <c r="D40" s="7" t="s">
        <v>2094</v>
      </c>
      <c r="E40" s="7">
        <v>1219000779</v>
      </c>
      <c r="F40" s="7" t="s">
        <v>1288</v>
      </c>
      <c r="G40" s="7" t="s">
        <v>2098</v>
      </c>
      <c r="H40" s="7" t="s">
        <v>687</v>
      </c>
      <c r="I40" s="7" t="s">
        <v>2096</v>
      </c>
      <c r="J40" s="7" t="s">
        <v>2097</v>
      </c>
      <c r="K40" s="7">
        <v>1213008052</v>
      </c>
      <c r="L40" s="7"/>
      <c r="M40" s="7" t="s">
        <v>595</v>
      </c>
      <c r="N40" s="18">
        <v>46265</v>
      </c>
      <c r="O40" s="7" t="s">
        <v>596</v>
      </c>
      <c r="P40" s="13">
        <v>-10</v>
      </c>
      <c r="Q40" s="12">
        <v>-12490.08</v>
      </c>
      <c r="R40" s="7" t="s">
        <v>1371</v>
      </c>
    </row>
    <row r="41" spans="1:18">
      <c r="A41" s="7" t="s">
        <v>2093</v>
      </c>
      <c r="B41" s="7" t="s">
        <v>783</v>
      </c>
      <c r="C41" s="7" t="s">
        <v>1487</v>
      </c>
      <c r="D41" s="7" t="s">
        <v>2094</v>
      </c>
      <c r="E41" s="7">
        <v>1219000779</v>
      </c>
      <c r="F41" s="7" t="s">
        <v>1288</v>
      </c>
      <c r="G41" s="7" t="s">
        <v>2099</v>
      </c>
      <c r="H41" s="7" t="s">
        <v>687</v>
      </c>
      <c r="I41" s="7" t="s">
        <v>2100</v>
      </c>
      <c r="J41" s="7" t="s">
        <v>2101</v>
      </c>
      <c r="K41" s="7">
        <v>1213008053</v>
      </c>
      <c r="L41" s="7"/>
      <c r="M41" s="7" t="s">
        <v>595</v>
      </c>
      <c r="N41" s="18">
        <v>46265</v>
      </c>
      <c r="O41" s="7" t="s">
        <v>596</v>
      </c>
      <c r="P41" s="13">
        <v>-3935</v>
      </c>
      <c r="Q41" s="12">
        <v>-4914778.88</v>
      </c>
      <c r="R41" s="7" t="s">
        <v>1371</v>
      </c>
    </row>
    <row r="42" spans="1:18">
      <c r="A42" s="7" t="s">
        <v>2093</v>
      </c>
      <c r="B42" s="7" t="s">
        <v>783</v>
      </c>
      <c r="C42" s="7" t="s">
        <v>1487</v>
      </c>
      <c r="D42" s="7" t="s">
        <v>2094</v>
      </c>
      <c r="E42" s="7">
        <v>1219000779</v>
      </c>
      <c r="F42" s="7" t="s">
        <v>1288</v>
      </c>
      <c r="G42" s="7" t="s">
        <v>2099</v>
      </c>
      <c r="H42" s="7" t="s">
        <v>687</v>
      </c>
      <c r="I42" s="7" t="s">
        <v>2100</v>
      </c>
      <c r="J42" s="7" t="s">
        <v>2101</v>
      </c>
      <c r="K42" s="7">
        <v>1213008053</v>
      </c>
      <c r="L42" s="7"/>
      <c r="M42" s="7" t="s">
        <v>595</v>
      </c>
      <c r="N42" s="18">
        <v>46265</v>
      </c>
      <c r="O42" s="7" t="s">
        <v>596</v>
      </c>
      <c r="P42" s="13">
        <v>-8</v>
      </c>
      <c r="Q42" s="12">
        <v>-9992.06</v>
      </c>
      <c r="R42" s="7" t="s">
        <v>1371</v>
      </c>
    </row>
    <row r="43" spans="1:18">
      <c r="A43" s="7" t="s">
        <v>2093</v>
      </c>
      <c r="B43" s="7" t="s">
        <v>783</v>
      </c>
      <c r="C43" s="7" t="s">
        <v>1487</v>
      </c>
      <c r="D43" s="7" t="s">
        <v>2094</v>
      </c>
      <c r="E43" s="7">
        <v>1219000779</v>
      </c>
      <c r="F43" s="7" t="s">
        <v>1288</v>
      </c>
      <c r="G43" s="7" t="s">
        <v>2102</v>
      </c>
      <c r="H43" s="7" t="s">
        <v>687</v>
      </c>
      <c r="I43" s="7" t="s">
        <v>2100</v>
      </c>
      <c r="J43" s="7" t="s">
        <v>2101</v>
      </c>
      <c r="K43" s="7">
        <v>1213008053</v>
      </c>
      <c r="L43" s="7"/>
      <c r="M43" s="7" t="s">
        <v>595</v>
      </c>
      <c r="N43" s="18">
        <v>46265</v>
      </c>
      <c r="O43" s="7" t="s">
        <v>596</v>
      </c>
      <c r="P43" s="13">
        <v>-1415</v>
      </c>
      <c r="Q43" s="12">
        <v>-1767346.32</v>
      </c>
      <c r="R43" s="7" t="s">
        <v>1371</v>
      </c>
    </row>
    <row r="44" spans="1:18">
      <c r="A44" s="7" t="s">
        <v>2093</v>
      </c>
      <c r="B44" s="7" t="s">
        <v>783</v>
      </c>
      <c r="C44" s="7" t="s">
        <v>1487</v>
      </c>
      <c r="D44" s="7" t="s">
        <v>2094</v>
      </c>
      <c r="E44" s="7">
        <v>1219000779</v>
      </c>
      <c r="F44" s="7" t="s">
        <v>1288</v>
      </c>
      <c r="G44" s="7" t="s">
        <v>2102</v>
      </c>
      <c r="H44" s="7" t="s">
        <v>687</v>
      </c>
      <c r="I44" s="7" t="s">
        <v>2100</v>
      </c>
      <c r="J44" s="7" t="s">
        <v>2101</v>
      </c>
      <c r="K44" s="7">
        <v>1213008053</v>
      </c>
      <c r="L44" s="7"/>
      <c r="M44" s="7" t="s">
        <v>595</v>
      </c>
      <c r="N44" s="18">
        <v>46265</v>
      </c>
      <c r="O44" s="7" t="s">
        <v>596</v>
      </c>
      <c r="P44" s="13">
        <v>-4</v>
      </c>
      <c r="Q44" s="12">
        <v>-4996.03</v>
      </c>
      <c r="R44" s="7" t="s">
        <v>1371</v>
      </c>
    </row>
    <row r="45" spans="1:18">
      <c r="A45" s="7" t="s">
        <v>733</v>
      </c>
      <c r="B45" s="7" t="s">
        <v>734</v>
      </c>
      <c r="C45" s="7" t="s">
        <v>569</v>
      </c>
      <c r="D45" s="7" t="s">
        <v>622</v>
      </c>
      <c r="E45" s="7">
        <v>1219000544</v>
      </c>
      <c r="F45" s="7" t="s">
        <v>828</v>
      </c>
      <c r="G45" s="7" t="s">
        <v>333</v>
      </c>
      <c r="H45" s="7" t="s">
        <v>424</v>
      </c>
      <c r="I45" s="7" t="s">
        <v>2103</v>
      </c>
      <c r="J45" s="7" t="s">
        <v>2104</v>
      </c>
      <c r="K45" s="7">
        <v>1211080082</v>
      </c>
      <c r="L45" s="7"/>
      <c r="M45" s="7" t="s">
        <v>85</v>
      </c>
      <c r="N45" s="18">
        <v>46265</v>
      </c>
      <c r="O45" s="7" t="s">
        <v>573</v>
      </c>
      <c r="P45" s="13">
        <v>8</v>
      </c>
      <c r="Q45" s="12">
        <v>44023.77</v>
      </c>
      <c r="R45" s="7" t="s">
        <v>1371</v>
      </c>
    </row>
    <row r="46" spans="1:18">
      <c r="A46" s="7" t="s">
        <v>733</v>
      </c>
      <c r="B46" s="7" t="s">
        <v>734</v>
      </c>
      <c r="C46" s="7" t="s">
        <v>569</v>
      </c>
      <c r="D46" s="7" t="s">
        <v>599</v>
      </c>
      <c r="E46" s="7">
        <v>1219000546</v>
      </c>
      <c r="F46" s="7" t="s">
        <v>828</v>
      </c>
      <c r="G46" s="7" t="s">
        <v>121</v>
      </c>
      <c r="H46" s="7" t="s">
        <v>357</v>
      </c>
      <c r="I46" s="7" t="s">
        <v>2103</v>
      </c>
      <c r="J46" s="7" t="s">
        <v>2104</v>
      </c>
      <c r="K46" s="7">
        <v>1211080082</v>
      </c>
      <c r="L46" s="7"/>
      <c r="M46" s="7" t="s">
        <v>85</v>
      </c>
      <c r="N46" s="18">
        <v>46265</v>
      </c>
      <c r="O46" s="7" t="s">
        <v>573</v>
      </c>
      <c r="P46" s="13">
        <v>8</v>
      </c>
      <c r="Q46" s="12">
        <v>44023.77</v>
      </c>
      <c r="R46" s="7" t="s">
        <v>1371</v>
      </c>
    </row>
    <row r="47" spans="1:18">
      <c r="A47" s="7" t="s">
        <v>680</v>
      </c>
      <c r="B47" s="7" t="s">
        <v>681</v>
      </c>
      <c r="C47" s="7" t="s">
        <v>569</v>
      </c>
      <c r="D47" s="7" t="s">
        <v>577</v>
      </c>
      <c r="E47" s="7">
        <v>1219000754</v>
      </c>
      <c r="F47" s="7" t="s">
        <v>824</v>
      </c>
      <c r="G47" s="7" t="s">
        <v>1693</v>
      </c>
      <c r="H47" s="7" t="s">
        <v>139</v>
      </c>
      <c r="I47" s="7" t="s">
        <v>2105</v>
      </c>
      <c r="J47" s="7" t="s">
        <v>2106</v>
      </c>
      <c r="K47" s="7">
        <v>1211080083</v>
      </c>
      <c r="L47" s="7"/>
      <c r="M47" s="7" t="s">
        <v>85</v>
      </c>
      <c r="N47" s="18">
        <v>46265</v>
      </c>
      <c r="O47" s="7" t="s">
        <v>573</v>
      </c>
      <c r="P47" s="13">
        <v>480</v>
      </c>
      <c r="Q47" s="12">
        <v>600000</v>
      </c>
      <c r="R47" s="7" t="s">
        <v>1371</v>
      </c>
    </row>
    <row r="48" spans="1:18">
      <c r="A48" s="7" t="s">
        <v>2107</v>
      </c>
      <c r="B48" s="7" t="s">
        <v>776</v>
      </c>
      <c r="C48" s="7" t="s">
        <v>1487</v>
      </c>
      <c r="D48" s="7" t="s">
        <v>581</v>
      </c>
      <c r="E48" s="7">
        <v>1219000509</v>
      </c>
      <c r="F48" s="7" t="s">
        <v>1288</v>
      </c>
      <c r="G48" s="7" t="s">
        <v>1447</v>
      </c>
      <c r="H48" s="7" t="s">
        <v>171</v>
      </c>
      <c r="I48" s="7" t="s">
        <v>2108</v>
      </c>
      <c r="J48" s="7" t="s">
        <v>2109</v>
      </c>
      <c r="K48" s="7">
        <v>1211080084</v>
      </c>
      <c r="L48" s="7"/>
      <c r="M48" s="7" t="s">
        <v>85</v>
      </c>
      <c r="N48" s="18">
        <v>46265</v>
      </c>
      <c r="O48" s="7" t="s">
        <v>573</v>
      </c>
      <c r="P48" s="13">
        <v>5000</v>
      </c>
      <c r="Q48" s="12">
        <v>1745000</v>
      </c>
      <c r="R48" s="7" t="s">
        <v>1371</v>
      </c>
    </row>
    <row r="49" spans="1:18">
      <c r="A49" s="7" t="s">
        <v>2107</v>
      </c>
      <c r="B49" s="7" t="s">
        <v>776</v>
      </c>
      <c r="C49" s="7" t="s">
        <v>1487</v>
      </c>
      <c r="D49" s="7" t="s">
        <v>2110</v>
      </c>
      <c r="E49" s="7">
        <v>1219000133</v>
      </c>
      <c r="F49" s="7" t="s">
        <v>1288</v>
      </c>
      <c r="G49" s="7" t="s">
        <v>2111</v>
      </c>
      <c r="H49" s="7" t="s">
        <v>791</v>
      </c>
      <c r="I49" s="7" t="s">
        <v>2112</v>
      </c>
      <c r="J49" s="7" t="s">
        <v>2113</v>
      </c>
      <c r="K49" s="7">
        <v>1211080085</v>
      </c>
      <c r="L49" s="7"/>
      <c r="M49" s="7" t="s">
        <v>85</v>
      </c>
      <c r="N49" s="18">
        <v>46265</v>
      </c>
      <c r="O49" s="7" t="s">
        <v>573</v>
      </c>
      <c r="P49" s="13">
        <v>3000</v>
      </c>
      <c r="Q49" s="12">
        <v>81355.929999999993</v>
      </c>
      <c r="R49" s="7" t="s">
        <v>1371</v>
      </c>
    </row>
    <row r="50" spans="1:18">
      <c r="A50" s="7" t="s">
        <v>2107</v>
      </c>
      <c r="B50" s="7" t="s">
        <v>776</v>
      </c>
      <c r="C50" s="7" t="s">
        <v>1487</v>
      </c>
      <c r="D50" s="7" t="s">
        <v>2114</v>
      </c>
      <c r="E50" s="7">
        <v>1219000134</v>
      </c>
      <c r="F50" s="7" t="s">
        <v>1288</v>
      </c>
      <c r="G50" s="7" t="s">
        <v>2115</v>
      </c>
      <c r="H50" s="7" t="s">
        <v>792</v>
      </c>
      <c r="I50" s="7" t="s">
        <v>2112</v>
      </c>
      <c r="J50" s="7" t="s">
        <v>2113</v>
      </c>
      <c r="K50" s="7">
        <v>1211080085</v>
      </c>
      <c r="L50" s="7"/>
      <c r="M50" s="7" t="s">
        <v>85</v>
      </c>
      <c r="N50" s="18">
        <v>46265</v>
      </c>
      <c r="O50" s="7" t="s">
        <v>573</v>
      </c>
      <c r="P50" s="13">
        <v>2379</v>
      </c>
      <c r="Q50" s="12">
        <v>64515.25</v>
      </c>
      <c r="R50" s="7" t="s">
        <v>1371</v>
      </c>
    </row>
    <row r="51" spans="1:18">
      <c r="A51" s="7" t="s">
        <v>2085</v>
      </c>
      <c r="B51" s="7" t="s">
        <v>583</v>
      </c>
      <c r="C51" s="7" t="s">
        <v>569</v>
      </c>
      <c r="D51" s="7" t="s">
        <v>774</v>
      </c>
      <c r="E51" s="7">
        <v>1219001022</v>
      </c>
      <c r="F51" s="7" t="s">
        <v>1288</v>
      </c>
      <c r="G51" s="7" t="s">
        <v>265</v>
      </c>
      <c r="H51" s="7" t="s">
        <v>238</v>
      </c>
      <c r="I51" s="7" t="s">
        <v>2116</v>
      </c>
      <c r="J51" s="7" t="s">
        <v>2117</v>
      </c>
      <c r="K51" s="7">
        <v>1211080088</v>
      </c>
      <c r="L51" s="7"/>
      <c r="M51" s="7" t="s">
        <v>85</v>
      </c>
      <c r="N51" s="18">
        <v>46265</v>
      </c>
      <c r="O51" s="7" t="s">
        <v>573</v>
      </c>
      <c r="P51" s="13">
        <v>5000</v>
      </c>
      <c r="Q51" s="12">
        <v>274725.27</v>
      </c>
      <c r="R51" s="7" t="s">
        <v>1371</v>
      </c>
    </row>
    <row r="52" spans="1:18">
      <c r="A52" s="7" t="s">
        <v>2085</v>
      </c>
      <c r="B52" s="7" t="s">
        <v>583</v>
      </c>
      <c r="C52" s="7" t="s">
        <v>569</v>
      </c>
      <c r="D52" s="7" t="s">
        <v>582</v>
      </c>
      <c r="E52" s="7">
        <v>1219000780</v>
      </c>
      <c r="F52" s="7" t="s">
        <v>1288</v>
      </c>
      <c r="G52" s="7" t="s">
        <v>269</v>
      </c>
      <c r="H52" s="7" t="s">
        <v>115</v>
      </c>
      <c r="I52" s="7" t="s">
        <v>2116</v>
      </c>
      <c r="J52" s="7" t="s">
        <v>2117</v>
      </c>
      <c r="K52" s="7">
        <v>1211080088</v>
      </c>
      <c r="L52" s="7"/>
      <c r="M52" s="7" t="s">
        <v>85</v>
      </c>
      <c r="N52" s="18">
        <v>46265</v>
      </c>
      <c r="O52" s="7" t="s">
        <v>573</v>
      </c>
      <c r="P52" s="13">
        <v>4000</v>
      </c>
      <c r="Q52" s="12">
        <v>2517482.52</v>
      </c>
      <c r="R52" s="7" t="s">
        <v>1371</v>
      </c>
    </row>
    <row r="53" spans="1:18">
      <c r="A53" s="7" t="s">
        <v>593</v>
      </c>
      <c r="B53" s="7" t="s">
        <v>594</v>
      </c>
      <c r="C53" s="7" t="s">
        <v>569</v>
      </c>
      <c r="D53" s="7" t="s">
        <v>600</v>
      </c>
      <c r="E53" s="7">
        <v>1219001017</v>
      </c>
      <c r="F53" s="7" t="s">
        <v>824</v>
      </c>
      <c r="G53" s="7" t="s">
        <v>1697</v>
      </c>
      <c r="H53" s="7" t="s">
        <v>218</v>
      </c>
      <c r="I53" s="7" t="s">
        <v>2118</v>
      </c>
      <c r="J53" s="7" t="s">
        <v>2119</v>
      </c>
      <c r="K53" s="7">
        <v>1211080089</v>
      </c>
      <c r="L53" s="7"/>
      <c r="M53" s="7" t="s">
        <v>85</v>
      </c>
      <c r="N53" s="18">
        <v>46265</v>
      </c>
      <c r="O53" s="7" t="s">
        <v>573</v>
      </c>
      <c r="P53" s="13">
        <v>117</v>
      </c>
      <c r="Q53" s="12">
        <v>233766.23</v>
      </c>
      <c r="R53" s="7" t="s">
        <v>1371</v>
      </c>
    </row>
    <row r="54" spans="1:18">
      <c r="A54" s="7" t="s">
        <v>593</v>
      </c>
      <c r="B54" s="7" t="s">
        <v>594</v>
      </c>
      <c r="C54" s="7" t="s">
        <v>569</v>
      </c>
      <c r="D54" s="7" t="s">
        <v>641</v>
      </c>
      <c r="E54" s="7">
        <v>1219001002</v>
      </c>
      <c r="F54" s="7" t="s">
        <v>824</v>
      </c>
      <c r="G54" s="7" t="s">
        <v>1345</v>
      </c>
      <c r="H54" s="7" t="s">
        <v>187</v>
      </c>
      <c r="I54" s="7" t="s">
        <v>2120</v>
      </c>
      <c r="J54" s="7" t="s">
        <v>2121</v>
      </c>
      <c r="K54" s="7">
        <v>1211080090</v>
      </c>
      <c r="L54" s="7"/>
      <c r="M54" s="7" t="s">
        <v>85</v>
      </c>
      <c r="N54" s="18">
        <v>46265</v>
      </c>
      <c r="O54" s="7" t="s">
        <v>573</v>
      </c>
      <c r="P54" s="13">
        <v>200</v>
      </c>
      <c r="Q54" s="12">
        <v>64676.62</v>
      </c>
      <c r="R54" s="7" t="s">
        <v>1371</v>
      </c>
    </row>
    <row r="55" spans="1:18">
      <c r="A55" s="7" t="s">
        <v>700</v>
      </c>
      <c r="B55" s="7" t="s">
        <v>701</v>
      </c>
      <c r="C55" s="7" t="s">
        <v>569</v>
      </c>
      <c r="D55" s="7" t="s">
        <v>802</v>
      </c>
      <c r="E55" s="7">
        <v>1219000610</v>
      </c>
      <c r="F55" s="7" t="s">
        <v>824</v>
      </c>
      <c r="G55" s="7" t="s">
        <v>1502</v>
      </c>
      <c r="H55" s="7" t="s">
        <v>326</v>
      </c>
      <c r="I55" s="7" t="s">
        <v>2122</v>
      </c>
      <c r="J55" s="7" t="s">
        <v>2123</v>
      </c>
      <c r="K55" s="7">
        <v>1211080091</v>
      </c>
      <c r="L55" s="7"/>
      <c r="M55" s="7" t="s">
        <v>85</v>
      </c>
      <c r="N55" s="18">
        <v>46265</v>
      </c>
      <c r="O55" s="7" t="s">
        <v>573</v>
      </c>
      <c r="P55" s="13">
        <v>1468</v>
      </c>
      <c r="Q55" s="12">
        <v>675280</v>
      </c>
      <c r="R55" s="7" t="s">
        <v>1371</v>
      </c>
    </row>
    <row r="56" spans="1:18">
      <c r="A56" s="7" t="s">
        <v>700</v>
      </c>
      <c r="B56" s="7" t="s">
        <v>701</v>
      </c>
      <c r="C56" s="7" t="s">
        <v>569</v>
      </c>
      <c r="D56" s="7" t="s">
        <v>802</v>
      </c>
      <c r="E56" s="7">
        <v>1219000610</v>
      </c>
      <c r="F56" s="7" t="s">
        <v>824</v>
      </c>
      <c r="G56" s="7" t="s">
        <v>1654</v>
      </c>
      <c r="H56" s="7" t="s">
        <v>326</v>
      </c>
      <c r="I56" s="7" t="s">
        <v>2122</v>
      </c>
      <c r="J56" s="7" t="s">
        <v>2123</v>
      </c>
      <c r="K56" s="7">
        <v>1211080091</v>
      </c>
      <c r="L56" s="7"/>
      <c r="M56" s="7" t="s">
        <v>85</v>
      </c>
      <c r="N56" s="18">
        <v>46265</v>
      </c>
      <c r="O56" s="7" t="s">
        <v>573</v>
      </c>
      <c r="P56" s="13">
        <v>32</v>
      </c>
      <c r="Q56" s="12">
        <v>14720</v>
      </c>
      <c r="R56" s="7" t="s">
        <v>1371</v>
      </c>
    </row>
    <row r="57" spans="1:18">
      <c r="A57" s="7" t="s">
        <v>700</v>
      </c>
      <c r="B57" s="7" t="s">
        <v>701</v>
      </c>
      <c r="C57" s="7" t="s">
        <v>569</v>
      </c>
      <c r="D57" s="7" t="s">
        <v>577</v>
      </c>
      <c r="E57" s="7">
        <v>1219000754</v>
      </c>
      <c r="F57" s="7" t="s">
        <v>824</v>
      </c>
      <c r="G57" s="7" t="s">
        <v>1693</v>
      </c>
      <c r="H57" s="7" t="s">
        <v>139</v>
      </c>
      <c r="I57" s="7" t="s">
        <v>2122</v>
      </c>
      <c r="J57" s="7" t="s">
        <v>2123</v>
      </c>
      <c r="K57" s="7">
        <v>1211080091</v>
      </c>
      <c r="L57" s="7"/>
      <c r="M57" s="7" t="s">
        <v>85</v>
      </c>
      <c r="N57" s="18">
        <v>46265</v>
      </c>
      <c r="O57" s="7" t="s">
        <v>573</v>
      </c>
      <c r="P57" s="13">
        <v>1500</v>
      </c>
      <c r="Q57" s="12">
        <v>1740000</v>
      </c>
      <c r="R57" s="7" t="s">
        <v>1371</v>
      </c>
    </row>
    <row r="58" spans="1:18">
      <c r="A58" s="7" t="s">
        <v>700</v>
      </c>
      <c r="B58" s="7" t="s">
        <v>701</v>
      </c>
      <c r="C58" s="7" t="s">
        <v>569</v>
      </c>
      <c r="D58" s="7" t="s">
        <v>616</v>
      </c>
      <c r="E58" s="7">
        <v>1219000831</v>
      </c>
      <c r="F58" s="7" t="s">
        <v>824</v>
      </c>
      <c r="G58" s="7" t="s">
        <v>160</v>
      </c>
      <c r="H58" s="7" t="s">
        <v>159</v>
      </c>
      <c r="I58" s="7" t="s">
        <v>2122</v>
      </c>
      <c r="J58" s="7" t="s">
        <v>2123</v>
      </c>
      <c r="K58" s="7">
        <v>1211080091</v>
      </c>
      <c r="L58" s="7"/>
      <c r="M58" s="7" t="s">
        <v>85</v>
      </c>
      <c r="N58" s="18">
        <v>46265</v>
      </c>
      <c r="O58" s="7" t="s">
        <v>573</v>
      </c>
      <c r="P58" s="13">
        <v>1200</v>
      </c>
      <c r="Q58" s="12">
        <v>138000</v>
      </c>
      <c r="R58" s="7" t="s">
        <v>1371</v>
      </c>
    </row>
    <row r="59" spans="1:18">
      <c r="A59" s="7" t="s">
        <v>691</v>
      </c>
      <c r="B59" s="7" t="s">
        <v>692</v>
      </c>
      <c r="C59" s="7" t="s">
        <v>569</v>
      </c>
      <c r="D59" s="7" t="s">
        <v>664</v>
      </c>
      <c r="E59" s="7">
        <v>1219000550</v>
      </c>
      <c r="F59" s="7" t="s">
        <v>828</v>
      </c>
      <c r="G59" s="7" t="s">
        <v>359</v>
      </c>
      <c r="H59" s="7" t="s">
        <v>358</v>
      </c>
      <c r="I59" s="7" t="s">
        <v>2124</v>
      </c>
      <c r="J59" s="7" t="s">
        <v>2125</v>
      </c>
      <c r="K59" s="7">
        <v>1211080092</v>
      </c>
      <c r="L59" s="7"/>
      <c r="M59" s="7" t="s">
        <v>85</v>
      </c>
      <c r="N59" s="18">
        <v>46265</v>
      </c>
      <c r="O59" s="7" t="s">
        <v>573</v>
      </c>
      <c r="P59" s="13">
        <v>13</v>
      </c>
      <c r="Q59" s="12">
        <v>69957.63</v>
      </c>
      <c r="R59" s="7" t="s">
        <v>1371</v>
      </c>
    </row>
    <row r="60" spans="1:18">
      <c r="A60" s="7" t="s">
        <v>691</v>
      </c>
      <c r="B60" s="7" t="s">
        <v>692</v>
      </c>
      <c r="C60" s="7" t="s">
        <v>569</v>
      </c>
      <c r="D60" s="7" t="s">
        <v>665</v>
      </c>
      <c r="E60" s="7">
        <v>1219000551</v>
      </c>
      <c r="F60" s="7" t="s">
        <v>828</v>
      </c>
      <c r="G60" s="7" t="s">
        <v>359</v>
      </c>
      <c r="H60" s="7" t="s">
        <v>120</v>
      </c>
      <c r="I60" s="7" t="s">
        <v>2124</v>
      </c>
      <c r="J60" s="7" t="s">
        <v>2125</v>
      </c>
      <c r="K60" s="7">
        <v>1211080092</v>
      </c>
      <c r="L60" s="7"/>
      <c r="M60" s="7" t="s">
        <v>85</v>
      </c>
      <c r="N60" s="18">
        <v>46265</v>
      </c>
      <c r="O60" s="7" t="s">
        <v>573</v>
      </c>
      <c r="P60" s="13">
        <v>6</v>
      </c>
      <c r="Q60" s="12">
        <v>32288.14</v>
      </c>
      <c r="R60" s="7" t="s">
        <v>1371</v>
      </c>
    </row>
    <row r="61" spans="1:18">
      <c r="A61" s="7" t="s">
        <v>691</v>
      </c>
      <c r="B61" s="7" t="s">
        <v>692</v>
      </c>
      <c r="C61" s="7" t="s">
        <v>569</v>
      </c>
      <c r="D61" s="7" t="s">
        <v>698</v>
      </c>
      <c r="E61" s="7">
        <v>1219000553</v>
      </c>
      <c r="F61" s="7" t="s">
        <v>828</v>
      </c>
      <c r="G61" s="7" t="s">
        <v>699</v>
      </c>
      <c r="H61" s="7" t="s">
        <v>441</v>
      </c>
      <c r="I61" s="7" t="s">
        <v>2124</v>
      </c>
      <c r="J61" s="7" t="s">
        <v>2125</v>
      </c>
      <c r="K61" s="7">
        <v>1211080092</v>
      </c>
      <c r="L61" s="7"/>
      <c r="M61" s="7" t="s">
        <v>85</v>
      </c>
      <c r="N61" s="18">
        <v>46265</v>
      </c>
      <c r="O61" s="7" t="s">
        <v>573</v>
      </c>
      <c r="P61" s="13">
        <v>3</v>
      </c>
      <c r="Q61" s="12">
        <v>16144.07</v>
      </c>
      <c r="R61" s="7" t="s">
        <v>1371</v>
      </c>
    </row>
    <row r="62" spans="1:18">
      <c r="A62" s="7" t="s">
        <v>691</v>
      </c>
      <c r="B62" s="7" t="s">
        <v>692</v>
      </c>
      <c r="C62" s="7" t="s">
        <v>569</v>
      </c>
      <c r="D62" s="7" t="s">
        <v>672</v>
      </c>
      <c r="E62" s="7">
        <v>1219000552</v>
      </c>
      <c r="F62" s="7" t="s">
        <v>828</v>
      </c>
      <c r="G62" s="7" t="s">
        <v>121</v>
      </c>
      <c r="H62" s="7" t="s">
        <v>271</v>
      </c>
      <c r="I62" s="7" t="s">
        <v>2124</v>
      </c>
      <c r="J62" s="7" t="s">
        <v>2125</v>
      </c>
      <c r="K62" s="7">
        <v>1211080092</v>
      </c>
      <c r="L62" s="7"/>
      <c r="M62" s="7" t="s">
        <v>85</v>
      </c>
      <c r="N62" s="18">
        <v>46265</v>
      </c>
      <c r="O62" s="7" t="s">
        <v>573</v>
      </c>
      <c r="P62" s="13">
        <v>24</v>
      </c>
      <c r="Q62" s="12">
        <v>129152.54</v>
      </c>
      <c r="R62" s="7" t="s">
        <v>1371</v>
      </c>
    </row>
    <row r="63" spans="1:18">
      <c r="A63" s="7" t="s">
        <v>670</v>
      </c>
      <c r="B63" s="7" t="s">
        <v>671</v>
      </c>
      <c r="C63" s="7" t="s">
        <v>569</v>
      </c>
      <c r="D63" s="7" t="s">
        <v>622</v>
      </c>
      <c r="E63" s="7">
        <v>1219000544</v>
      </c>
      <c r="F63" s="7" t="s">
        <v>828</v>
      </c>
      <c r="G63" s="7" t="s">
        <v>333</v>
      </c>
      <c r="H63" s="7" t="s">
        <v>424</v>
      </c>
      <c r="I63" s="7" t="s">
        <v>2126</v>
      </c>
      <c r="J63" s="7" t="s">
        <v>2127</v>
      </c>
      <c r="K63" s="7">
        <v>1211080093</v>
      </c>
      <c r="L63" s="7"/>
      <c r="M63" s="7" t="s">
        <v>85</v>
      </c>
      <c r="N63" s="18">
        <v>46265</v>
      </c>
      <c r="O63" s="7" t="s">
        <v>573</v>
      </c>
      <c r="P63" s="13">
        <v>16</v>
      </c>
      <c r="Q63" s="12">
        <v>88135.59</v>
      </c>
      <c r="R63" s="7" t="s">
        <v>1371</v>
      </c>
    </row>
    <row r="64" spans="1:18">
      <c r="A64" s="7" t="s">
        <v>670</v>
      </c>
      <c r="B64" s="7" t="s">
        <v>671</v>
      </c>
      <c r="C64" s="7" t="s">
        <v>569</v>
      </c>
      <c r="D64" s="7" t="s">
        <v>755</v>
      </c>
      <c r="E64" s="7">
        <v>1219000573</v>
      </c>
      <c r="F64" s="7" t="s">
        <v>828</v>
      </c>
      <c r="G64" s="7" t="s">
        <v>2128</v>
      </c>
      <c r="H64" s="7" t="s">
        <v>125</v>
      </c>
      <c r="I64" s="7" t="s">
        <v>2126</v>
      </c>
      <c r="J64" s="7" t="s">
        <v>2127</v>
      </c>
      <c r="K64" s="7">
        <v>1211080093</v>
      </c>
      <c r="L64" s="7"/>
      <c r="M64" s="7" t="s">
        <v>85</v>
      </c>
      <c r="N64" s="18">
        <v>46265</v>
      </c>
      <c r="O64" s="7" t="s">
        <v>573</v>
      </c>
      <c r="P64" s="13">
        <v>850</v>
      </c>
      <c r="Q64" s="12">
        <v>93644.07</v>
      </c>
      <c r="R64" s="7" t="s">
        <v>1371</v>
      </c>
    </row>
    <row r="65" spans="1:18">
      <c r="A65" s="7" t="s">
        <v>670</v>
      </c>
      <c r="B65" s="7" t="s">
        <v>671</v>
      </c>
      <c r="C65" s="7" t="s">
        <v>569</v>
      </c>
      <c r="D65" s="7" t="s">
        <v>755</v>
      </c>
      <c r="E65" s="7">
        <v>1219000573</v>
      </c>
      <c r="F65" s="7" t="s">
        <v>828</v>
      </c>
      <c r="G65" s="7" t="s">
        <v>2129</v>
      </c>
      <c r="H65" s="7" t="s">
        <v>125</v>
      </c>
      <c r="I65" s="7" t="s">
        <v>2126</v>
      </c>
      <c r="J65" s="7" t="s">
        <v>2127</v>
      </c>
      <c r="K65" s="7">
        <v>1211080093</v>
      </c>
      <c r="L65" s="7"/>
      <c r="M65" s="7" t="s">
        <v>85</v>
      </c>
      <c r="N65" s="18">
        <v>46265</v>
      </c>
      <c r="O65" s="7" t="s">
        <v>573</v>
      </c>
      <c r="P65" s="13">
        <v>650</v>
      </c>
      <c r="Q65" s="12">
        <v>71610.17</v>
      </c>
      <c r="R65" s="7" t="s">
        <v>1371</v>
      </c>
    </row>
    <row r="66" spans="1:18">
      <c r="A66" s="7" t="s">
        <v>670</v>
      </c>
      <c r="B66" s="7" t="s">
        <v>671</v>
      </c>
      <c r="C66" s="7" t="s">
        <v>569</v>
      </c>
      <c r="D66" s="7" t="s">
        <v>1640</v>
      </c>
      <c r="E66" s="7">
        <v>1219000584</v>
      </c>
      <c r="F66" s="7" t="s">
        <v>828</v>
      </c>
      <c r="G66" s="7" t="s">
        <v>1641</v>
      </c>
      <c r="H66" s="7" t="s">
        <v>1642</v>
      </c>
      <c r="I66" s="7" t="s">
        <v>2126</v>
      </c>
      <c r="J66" s="7" t="s">
        <v>2127</v>
      </c>
      <c r="K66" s="7">
        <v>1211080093</v>
      </c>
      <c r="L66" s="7"/>
      <c r="M66" s="7" t="s">
        <v>85</v>
      </c>
      <c r="N66" s="18">
        <v>46265</v>
      </c>
      <c r="O66" s="7" t="s">
        <v>573</v>
      </c>
      <c r="P66" s="13">
        <v>1500</v>
      </c>
      <c r="Q66" s="12">
        <v>75000</v>
      </c>
      <c r="R66" s="7" t="s">
        <v>1371</v>
      </c>
    </row>
    <row r="67" spans="1:18">
      <c r="A67" s="7" t="s">
        <v>724</v>
      </c>
      <c r="B67" s="7" t="s">
        <v>725</v>
      </c>
      <c r="C67" s="7" t="s">
        <v>569</v>
      </c>
      <c r="D67" s="7" t="s">
        <v>2130</v>
      </c>
      <c r="E67" s="7">
        <v>1219000816</v>
      </c>
      <c r="F67" s="7" t="s">
        <v>828</v>
      </c>
      <c r="G67" s="7" t="s">
        <v>630</v>
      </c>
      <c r="H67" s="7" t="s">
        <v>771</v>
      </c>
      <c r="I67" s="7" t="s">
        <v>2131</v>
      </c>
      <c r="J67" s="7" t="s">
        <v>2132</v>
      </c>
      <c r="K67" s="7">
        <v>1211080094</v>
      </c>
      <c r="L67" s="7"/>
      <c r="M67" s="7" t="s">
        <v>85</v>
      </c>
      <c r="N67" s="18">
        <v>46265</v>
      </c>
      <c r="O67" s="7" t="s">
        <v>573</v>
      </c>
      <c r="P67" s="13">
        <v>2000</v>
      </c>
      <c r="Q67" s="12">
        <v>110000</v>
      </c>
      <c r="R67" s="7" t="s">
        <v>1371</v>
      </c>
    </row>
    <row r="68" spans="1:18">
      <c r="A68" s="7" t="s">
        <v>575</v>
      </c>
      <c r="B68" s="7" t="s">
        <v>576</v>
      </c>
      <c r="C68" s="7" t="s">
        <v>569</v>
      </c>
      <c r="D68" s="7" t="s">
        <v>802</v>
      </c>
      <c r="E68" s="7">
        <v>1219000610</v>
      </c>
      <c r="F68" s="7" t="s">
        <v>824</v>
      </c>
      <c r="G68" s="7" t="s">
        <v>1645</v>
      </c>
      <c r="H68" s="7" t="s">
        <v>326</v>
      </c>
      <c r="I68" s="7" t="s">
        <v>2133</v>
      </c>
      <c r="J68" s="7" t="s">
        <v>2134</v>
      </c>
      <c r="K68" s="7">
        <v>1211080095</v>
      </c>
      <c r="L68" s="7"/>
      <c r="M68" s="7" t="s">
        <v>85</v>
      </c>
      <c r="N68" s="18">
        <v>46265</v>
      </c>
      <c r="O68" s="7" t="s">
        <v>573</v>
      </c>
      <c r="P68" s="13">
        <v>1000</v>
      </c>
      <c r="Q68" s="12">
        <v>435000</v>
      </c>
      <c r="R68" s="7" t="s">
        <v>1371</v>
      </c>
    </row>
    <row r="69" spans="1:18">
      <c r="A69" s="7" t="s">
        <v>575</v>
      </c>
      <c r="B69" s="7" t="s">
        <v>576</v>
      </c>
      <c r="C69" s="7" t="s">
        <v>569</v>
      </c>
      <c r="D69" s="7" t="s">
        <v>577</v>
      </c>
      <c r="E69" s="7">
        <v>1219000754</v>
      </c>
      <c r="F69" s="7" t="s">
        <v>824</v>
      </c>
      <c r="G69" s="7" t="s">
        <v>1693</v>
      </c>
      <c r="H69" s="7" t="s">
        <v>139</v>
      </c>
      <c r="I69" s="7" t="s">
        <v>2133</v>
      </c>
      <c r="J69" s="7" t="s">
        <v>2134</v>
      </c>
      <c r="K69" s="7">
        <v>1211080095</v>
      </c>
      <c r="L69" s="7"/>
      <c r="M69" s="7" t="s">
        <v>85</v>
      </c>
      <c r="N69" s="18">
        <v>46265</v>
      </c>
      <c r="O69" s="7" t="s">
        <v>573</v>
      </c>
      <c r="P69" s="13">
        <v>1000</v>
      </c>
      <c r="Q69" s="12">
        <v>1050000</v>
      </c>
      <c r="R69" s="7" t="s">
        <v>1371</v>
      </c>
    </row>
    <row r="70" spans="1:18">
      <c r="A70" s="7" t="s">
        <v>2135</v>
      </c>
      <c r="B70" s="7" t="s">
        <v>730</v>
      </c>
      <c r="C70" s="7" t="s">
        <v>569</v>
      </c>
      <c r="D70" s="7" t="s">
        <v>582</v>
      </c>
      <c r="E70" s="7">
        <v>1219000780</v>
      </c>
      <c r="F70" s="7" t="s">
        <v>1288</v>
      </c>
      <c r="G70" s="7" t="s">
        <v>269</v>
      </c>
      <c r="H70" s="7" t="s">
        <v>115</v>
      </c>
      <c r="I70" s="7" t="s">
        <v>2136</v>
      </c>
      <c r="J70" s="7" t="s">
        <v>2137</v>
      </c>
      <c r="K70" s="7">
        <v>1211080096</v>
      </c>
      <c r="L70" s="7"/>
      <c r="M70" s="7" t="s">
        <v>85</v>
      </c>
      <c r="N70" s="18">
        <v>46265</v>
      </c>
      <c r="O70" s="7" t="s">
        <v>573</v>
      </c>
      <c r="P70" s="13">
        <v>2500</v>
      </c>
      <c r="Q70" s="12">
        <v>1748251.75</v>
      </c>
      <c r="R70" s="7" t="s">
        <v>1371</v>
      </c>
    </row>
    <row r="71" spans="1:18">
      <c r="A71" s="7" t="s">
        <v>2138</v>
      </c>
      <c r="B71" s="7" t="s">
        <v>2139</v>
      </c>
      <c r="C71" s="7" t="s">
        <v>569</v>
      </c>
      <c r="D71" s="7" t="s">
        <v>600</v>
      </c>
      <c r="E71" s="7">
        <v>1219001017</v>
      </c>
      <c r="F71" s="7" t="s">
        <v>824</v>
      </c>
      <c r="G71" s="7" t="s">
        <v>1697</v>
      </c>
      <c r="H71" s="7" t="s">
        <v>218</v>
      </c>
      <c r="I71" s="7" t="s">
        <v>2140</v>
      </c>
      <c r="J71" s="7" t="s">
        <v>2141</v>
      </c>
      <c r="K71" s="7">
        <v>1211080098</v>
      </c>
      <c r="L71" s="7"/>
      <c r="M71" s="7" t="s">
        <v>85</v>
      </c>
      <c r="N71" s="18">
        <v>46265</v>
      </c>
      <c r="O71" s="7" t="s">
        <v>573</v>
      </c>
      <c r="P71" s="13">
        <v>117</v>
      </c>
      <c r="Q71" s="12">
        <v>249077.92</v>
      </c>
      <c r="R71" s="7" t="s">
        <v>1371</v>
      </c>
    </row>
    <row r="72" spans="1:18">
      <c r="A72" s="7" t="s">
        <v>820</v>
      </c>
      <c r="B72" s="7" t="s">
        <v>821</v>
      </c>
      <c r="C72" s="7" t="s">
        <v>569</v>
      </c>
      <c r="D72" s="7" t="s">
        <v>658</v>
      </c>
      <c r="E72" s="7">
        <v>1219000799</v>
      </c>
      <c r="F72" s="7" t="s">
        <v>828</v>
      </c>
      <c r="G72" s="7" t="s">
        <v>360</v>
      </c>
      <c r="H72" s="7" t="s">
        <v>332</v>
      </c>
      <c r="I72" s="7" t="s">
        <v>2142</v>
      </c>
      <c r="J72" s="7" t="s">
        <v>2143</v>
      </c>
      <c r="K72" s="7">
        <v>1211080099</v>
      </c>
      <c r="L72" s="7"/>
      <c r="M72" s="7" t="s">
        <v>85</v>
      </c>
      <c r="N72" s="18">
        <v>46265</v>
      </c>
      <c r="O72" s="7" t="s">
        <v>573</v>
      </c>
      <c r="P72" s="13">
        <v>5000</v>
      </c>
      <c r="Q72" s="12">
        <v>235000</v>
      </c>
      <c r="R72" s="7" t="s">
        <v>1371</v>
      </c>
    </row>
    <row r="73" spans="1:18">
      <c r="A73" s="7" t="s">
        <v>2144</v>
      </c>
      <c r="B73" s="7" t="s">
        <v>762</v>
      </c>
      <c r="C73" s="7" t="s">
        <v>1487</v>
      </c>
      <c r="D73" s="7" t="s">
        <v>2145</v>
      </c>
      <c r="E73" s="7">
        <v>1219000744</v>
      </c>
      <c r="F73" s="7" t="s">
        <v>1288</v>
      </c>
      <c r="G73" s="7" t="s">
        <v>2146</v>
      </c>
      <c r="H73" s="7" t="s">
        <v>666</v>
      </c>
      <c r="I73" s="7" t="s">
        <v>2147</v>
      </c>
      <c r="J73" s="7" t="s">
        <v>2148</v>
      </c>
      <c r="K73" s="7">
        <v>1211080100</v>
      </c>
      <c r="L73" s="7"/>
      <c r="M73" s="7" t="s">
        <v>85</v>
      </c>
      <c r="N73" s="18">
        <v>46265</v>
      </c>
      <c r="O73" s="7" t="s">
        <v>573</v>
      </c>
      <c r="P73" s="13">
        <v>2500</v>
      </c>
      <c r="Q73" s="12">
        <v>1350000</v>
      </c>
      <c r="R73" s="7" t="s">
        <v>1371</v>
      </c>
    </row>
    <row r="74" spans="1:18">
      <c r="A74" s="7" t="s">
        <v>1787</v>
      </c>
      <c r="B74" s="7" t="s">
        <v>744</v>
      </c>
      <c r="C74" s="7" t="s">
        <v>569</v>
      </c>
      <c r="D74" s="7" t="s">
        <v>2130</v>
      </c>
      <c r="E74" s="7">
        <v>1219000816</v>
      </c>
      <c r="F74" s="7" t="s">
        <v>828</v>
      </c>
      <c r="G74" s="7" t="s">
        <v>630</v>
      </c>
      <c r="H74" s="7" t="s">
        <v>771</v>
      </c>
      <c r="I74" s="7" t="s">
        <v>2149</v>
      </c>
      <c r="J74" s="7" t="s">
        <v>2150</v>
      </c>
      <c r="K74" s="7">
        <v>1211080101</v>
      </c>
      <c r="L74" s="7"/>
      <c r="M74" s="7" t="s">
        <v>85</v>
      </c>
      <c r="N74" s="18">
        <v>46265</v>
      </c>
      <c r="O74" s="7" t="s">
        <v>573</v>
      </c>
      <c r="P74" s="13">
        <v>6100</v>
      </c>
      <c r="Q74" s="12">
        <v>248135.59</v>
      </c>
      <c r="R74" s="7" t="s">
        <v>1371</v>
      </c>
    </row>
    <row r="75" spans="1:18">
      <c r="A75" s="7" t="s">
        <v>1787</v>
      </c>
      <c r="B75" s="7" t="s">
        <v>744</v>
      </c>
      <c r="C75" s="7" t="s">
        <v>569</v>
      </c>
      <c r="D75" s="7" t="s">
        <v>2151</v>
      </c>
      <c r="E75" s="7">
        <v>1219000818</v>
      </c>
      <c r="F75" s="7" t="s">
        <v>828</v>
      </c>
      <c r="G75" s="7" t="s">
        <v>2152</v>
      </c>
      <c r="H75" s="7" t="s">
        <v>632</v>
      </c>
      <c r="I75" s="7" t="s">
        <v>2153</v>
      </c>
      <c r="J75" s="7" t="s">
        <v>2154</v>
      </c>
      <c r="K75" s="7">
        <v>1211080102</v>
      </c>
      <c r="L75" s="7"/>
      <c r="M75" s="7" t="s">
        <v>85</v>
      </c>
      <c r="N75" s="18">
        <v>46265</v>
      </c>
      <c r="O75" s="7" t="s">
        <v>573</v>
      </c>
      <c r="P75" s="13">
        <v>163</v>
      </c>
      <c r="Q75" s="12">
        <v>7735.59</v>
      </c>
      <c r="R75" s="7" t="s">
        <v>1371</v>
      </c>
    </row>
    <row r="76" spans="1:18">
      <c r="A76" s="7" t="s">
        <v>1787</v>
      </c>
      <c r="B76" s="7" t="s">
        <v>744</v>
      </c>
      <c r="C76" s="7" t="s">
        <v>569</v>
      </c>
      <c r="D76" s="7" t="s">
        <v>2151</v>
      </c>
      <c r="E76" s="7">
        <v>1219000818</v>
      </c>
      <c r="F76" s="7" t="s">
        <v>828</v>
      </c>
      <c r="G76" s="7" t="s">
        <v>630</v>
      </c>
      <c r="H76" s="7" t="s">
        <v>632</v>
      </c>
      <c r="I76" s="7" t="s">
        <v>2153</v>
      </c>
      <c r="J76" s="7" t="s">
        <v>2154</v>
      </c>
      <c r="K76" s="7">
        <v>1211080102</v>
      </c>
      <c r="L76" s="7"/>
      <c r="M76" s="7" t="s">
        <v>85</v>
      </c>
      <c r="N76" s="18">
        <v>46265</v>
      </c>
      <c r="O76" s="7" t="s">
        <v>573</v>
      </c>
      <c r="P76" s="13">
        <v>3137</v>
      </c>
      <c r="Q76" s="12">
        <v>148874.57999999999</v>
      </c>
      <c r="R76" s="7" t="s">
        <v>1371</v>
      </c>
    </row>
    <row r="77" spans="1:18">
      <c r="A77" s="7" t="s">
        <v>2093</v>
      </c>
      <c r="B77" s="7" t="s">
        <v>783</v>
      </c>
      <c r="C77" s="7" t="s">
        <v>1487</v>
      </c>
      <c r="D77" s="7" t="s">
        <v>2094</v>
      </c>
      <c r="E77" s="7">
        <v>1219000779</v>
      </c>
      <c r="F77" s="7" t="s">
        <v>1288</v>
      </c>
      <c r="G77" s="7" t="s">
        <v>2155</v>
      </c>
      <c r="H77" s="7" t="s">
        <v>687</v>
      </c>
      <c r="I77" s="7" t="s">
        <v>2156</v>
      </c>
      <c r="J77" s="7" t="s">
        <v>2157</v>
      </c>
      <c r="K77" s="7">
        <v>1211080103</v>
      </c>
      <c r="L77" s="7"/>
      <c r="M77" s="7" t="s">
        <v>85</v>
      </c>
      <c r="N77" s="18">
        <v>46265</v>
      </c>
      <c r="O77" s="7" t="s">
        <v>573</v>
      </c>
      <c r="P77" s="13">
        <v>3705</v>
      </c>
      <c r="Q77" s="12">
        <v>4627545</v>
      </c>
      <c r="R77" s="7" t="s">
        <v>1371</v>
      </c>
    </row>
    <row r="78" spans="1:18">
      <c r="A78" s="7" t="s">
        <v>2093</v>
      </c>
      <c r="B78" s="7" t="s">
        <v>783</v>
      </c>
      <c r="C78" s="7" t="s">
        <v>1487</v>
      </c>
      <c r="D78" s="7" t="s">
        <v>2094</v>
      </c>
      <c r="E78" s="7">
        <v>1219000779</v>
      </c>
      <c r="F78" s="7" t="s">
        <v>1288</v>
      </c>
      <c r="G78" s="7" t="s">
        <v>2158</v>
      </c>
      <c r="H78" s="7" t="s">
        <v>687</v>
      </c>
      <c r="I78" s="7" t="s">
        <v>2156</v>
      </c>
      <c r="J78" s="7" t="s">
        <v>2157</v>
      </c>
      <c r="K78" s="7">
        <v>1211080103</v>
      </c>
      <c r="L78" s="7"/>
      <c r="M78" s="7" t="s">
        <v>85</v>
      </c>
      <c r="N78" s="18">
        <v>46265</v>
      </c>
      <c r="O78" s="7" t="s">
        <v>573</v>
      </c>
      <c r="P78" s="13">
        <v>1410</v>
      </c>
      <c r="Q78" s="12">
        <v>1761090</v>
      </c>
      <c r="R78" s="7" t="s">
        <v>1371</v>
      </c>
    </row>
    <row r="79" spans="1:18">
      <c r="A79" s="7" t="s">
        <v>2093</v>
      </c>
      <c r="B79" s="7" t="s">
        <v>783</v>
      </c>
      <c r="C79" s="7" t="s">
        <v>1487</v>
      </c>
      <c r="D79" s="7" t="s">
        <v>2094</v>
      </c>
      <c r="E79" s="7">
        <v>1219000779</v>
      </c>
      <c r="F79" s="7" t="s">
        <v>1288</v>
      </c>
      <c r="G79" s="7" t="s">
        <v>2159</v>
      </c>
      <c r="H79" s="7" t="s">
        <v>687</v>
      </c>
      <c r="I79" s="7" t="s">
        <v>2156</v>
      </c>
      <c r="J79" s="7" t="s">
        <v>2157</v>
      </c>
      <c r="K79" s="7">
        <v>1211080103</v>
      </c>
      <c r="L79" s="7"/>
      <c r="M79" s="7" t="s">
        <v>85</v>
      </c>
      <c r="N79" s="18">
        <v>46265</v>
      </c>
      <c r="O79" s="7" t="s">
        <v>573</v>
      </c>
      <c r="P79" s="13">
        <v>4885</v>
      </c>
      <c r="Q79" s="12">
        <v>6101365</v>
      </c>
      <c r="R79" s="7" t="s">
        <v>1371</v>
      </c>
    </row>
    <row r="80" spans="1:18">
      <c r="A80" s="7" t="s">
        <v>2093</v>
      </c>
      <c r="B80" s="7" t="s">
        <v>783</v>
      </c>
      <c r="C80" s="7" t="s">
        <v>1487</v>
      </c>
      <c r="D80" s="7" t="s">
        <v>2094</v>
      </c>
      <c r="E80" s="7">
        <v>1219000779</v>
      </c>
      <c r="F80" s="7" t="s">
        <v>1288</v>
      </c>
      <c r="G80" s="7" t="s">
        <v>2160</v>
      </c>
      <c r="H80" s="7" t="s">
        <v>687</v>
      </c>
      <c r="I80" s="7" t="s">
        <v>2161</v>
      </c>
      <c r="J80" s="7" t="s">
        <v>2162</v>
      </c>
      <c r="K80" s="7">
        <v>1213008055</v>
      </c>
      <c r="L80" s="7"/>
      <c r="M80" s="7" t="s">
        <v>595</v>
      </c>
      <c r="N80" s="18">
        <v>46265</v>
      </c>
      <c r="O80" s="7" t="s">
        <v>596</v>
      </c>
      <c r="P80" s="13">
        <v>-450</v>
      </c>
      <c r="Q80" s="12">
        <v>-562049.52</v>
      </c>
      <c r="R80" s="7" t="s">
        <v>1371</v>
      </c>
    </row>
    <row r="81" spans="1:18">
      <c r="A81" s="7" t="s">
        <v>2093</v>
      </c>
      <c r="B81" s="7" t="s">
        <v>783</v>
      </c>
      <c r="C81" s="7" t="s">
        <v>1487</v>
      </c>
      <c r="D81" s="7" t="s">
        <v>2094</v>
      </c>
      <c r="E81" s="7">
        <v>1219000779</v>
      </c>
      <c r="F81" s="7" t="s">
        <v>1288</v>
      </c>
      <c r="G81" s="7" t="s">
        <v>2163</v>
      </c>
      <c r="H81" s="7" t="s">
        <v>687</v>
      </c>
      <c r="I81" s="7" t="s">
        <v>2161</v>
      </c>
      <c r="J81" s="7" t="s">
        <v>2162</v>
      </c>
      <c r="K81" s="7">
        <v>1213008055</v>
      </c>
      <c r="L81" s="7"/>
      <c r="M81" s="7" t="s">
        <v>595</v>
      </c>
      <c r="N81" s="18">
        <v>46265</v>
      </c>
      <c r="O81" s="7" t="s">
        <v>596</v>
      </c>
      <c r="P81" s="13">
        <v>-5170</v>
      </c>
      <c r="Q81" s="12">
        <v>-6457324.4900000002</v>
      </c>
      <c r="R81" s="7" t="s">
        <v>1371</v>
      </c>
    </row>
    <row r="82" spans="1:18">
      <c r="A82" s="7" t="s">
        <v>2093</v>
      </c>
      <c r="B82" s="7" t="s">
        <v>783</v>
      </c>
      <c r="C82" s="7" t="s">
        <v>1487</v>
      </c>
      <c r="D82" s="7" t="s">
        <v>2094</v>
      </c>
      <c r="E82" s="7">
        <v>1219000779</v>
      </c>
      <c r="F82" s="7" t="s">
        <v>1288</v>
      </c>
      <c r="G82" s="7" t="s">
        <v>2164</v>
      </c>
      <c r="H82" s="7" t="s">
        <v>687</v>
      </c>
      <c r="I82" s="7" t="s">
        <v>2161</v>
      </c>
      <c r="J82" s="7" t="s">
        <v>2162</v>
      </c>
      <c r="K82" s="7">
        <v>1213008055</v>
      </c>
      <c r="L82" s="7"/>
      <c r="M82" s="7" t="s">
        <v>595</v>
      </c>
      <c r="N82" s="18">
        <v>46265</v>
      </c>
      <c r="O82" s="7" t="s">
        <v>596</v>
      </c>
      <c r="P82" s="13">
        <v>-2925</v>
      </c>
      <c r="Q82" s="12">
        <v>-3653321.89</v>
      </c>
      <c r="R82" s="7" t="s">
        <v>1371</v>
      </c>
    </row>
    <row r="83" spans="1:18">
      <c r="A83" s="7" t="s">
        <v>2093</v>
      </c>
      <c r="B83" s="7" t="s">
        <v>783</v>
      </c>
      <c r="C83" s="7" t="s">
        <v>1487</v>
      </c>
      <c r="D83" s="7" t="s">
        <v>2094</v>
      </c>
      <c r="E83" s="7">
        <v>1219000779</v>
      </c>
      <c r="F83" s="7" t="s">
        <v>1288</v>
      </c>
      <c r="G83" s="7" t="s">
        <v>2164</v>
      </c>
      <c r="H83" s="7" t="s">
        <v>687</v>
      </c>
      <c r="I83" s="7" t="s">
        <v>2161</v>
      </c>
      <c r="J83" s="7" t="s">
        <v>2162</v>
      </c>
      <c r="K83" s="7">
        <v>1213008055</v>
      </c>
      <c r="L83" s="7"/>
      <c r="M83" s="7" t="s">
        <v>595</v>
      </c>
      <c r="N83" s="18">
        <v>46265</v>
      </c>
      <c r="O83" s="7" t="s">
        <v>596</v>
      </c>
      <c r="P83" s="13">
        <v>-30</v>
      </c>
      <c r="Q83" s="12">
        <v>-37470.6</v>
      </c>
      <c r="R83" s="7" t="s">
        <v>1371</v>
      </c>
    </row>
    <row r="84" spans="1:18">
      <c r="A84" s="7" t="s">
        <v>606</v>
      </c>
      <c r="B84" s="7" t="s">
        <v>607</v>
      </c>
      <c r="C84" s="7" t="s">
        <v>569</v>
      </c>
      <c r="D84" s="7" t="s">
        <v>664</v>
      </c>
      <c r="E84" s="7">
        <v>1219000550</v>
      </c>
      <c r="F84" s="7" t="s">
        <v>828</v>
      </c>
      <c r="G84" s="7" t="s">
        <v>648</v>
      </c>
      <c r="H84" s="7" t="s">
        <v>358</v>
      </c>
      <c r="I84" s="7" t="s">
        <v>1415</v>
      </c>
      <c r="J84" s="7" t="s">
        <v>1416</v>
      </c>
      <c r="K84" s="7">
        <v>1211077153</v>
      </c>
      <c r="L84" s="7"/>
      <c r="M84" s="7" t="s">
        <v>85</v>
      </c>
      <c r="N84" s="18">
        <v>46206</v>
      </c>
      <c r="O84" s="7" t="s">
        <v>573</v>
      </c>
      <c r="P84" s="13">
        <v>1</v>
      </c>
      <c r="Q84" s="12">
        <v>6000</v>
      </c>
      <c r="R84" s="7" t="s">
        <v>1371</v>
      </c>
    </row>
    <row r="85" spans="1:18">
      <c r="A85" s="7" t="s">
        <v>606</v>
      </c>
      <c r="B85" s="7" t="s">
        <v>607</v>
      </c>
      <c r="C85" s="7" t="s">
        <v>569</v>
      </c>
      <c r="D85" s="7" t="s">
        <v>664</v>
      </c>
      <c r="E85" s="7">
        <v>1219000550</v>
      </c>
      <c r="F85" s="7" t="s">
        <v>828</v>
      </c>
      <c r="G85" s="7" t="s">
        <v>359</v>
      </c>
      <c r="H85" s="7" t="s">
        <v>358</v>
      </c>
      <c r="I85" s="7" t="s">
        <v>1415</v>
      </c>
      <c r="J85" s="7" t="s">
        <v>1416</v>
      </c>
      <c r="K85" s="7">
        <v>1211077153</v>
      </c>
      <c r="L85" s="7"/>
      <c r="M85" s="7" t="s">
        <v>85</v>
      </c>
      <c r="N85" s="18">
        <v>46206</v>
      </c>
      <c r="O85" s="7" t="s">
        <v>573</v>
      </c>
      <c r="P85" s="13">
        <v>11</v>
      </c>
      <c r="Q85" s="12">
        <v>66000</v>
      </c>
      <c r="R85" s="7" t="s">
        <v>1371</v>
      </c>
    </row>
    <row r="86" spans="1:18">
      <c r="A86" s="7" t="s">
        <v>606</v>
      </c>
      <c r="B86" s="7" t="s">
        <v>607</v>
      </c>
      <c r="C86" s="7" t="s">
        <v>569</v>
      </c>
      <c r="D86" s="7" t="s">
        <v>665</v>
      </c>
      <c r="E86" s="7">
        <v>1219000551</v>
      </c>
      <c r="F86" s="7" t="s">
        <v>828</v>
      </c>
      <c r="G86" s="7" t="s">
        <v>121</v>
      </c>
      <c r="H86" s="7" t="s">
        <v>120</v>
      </c>
      <c r="I86" s="7" t="s">
        <v>1415</v>
      </c>
      <c r="J86" s="7" t="s">
        <v>1416</v>
      </c>
      <c r="K86" s="7">
        <v>1211077153</v>
      </c>
      <c r="L86" s="7"/>
      <c r="M86" s="7" t="s">
        <v>85</v>
      </c>
      <c r="N86" s="18">
        <v>46206</v>
      </c>
      <c r="O86" s="7" t="s">
        <v>573</v>
      </c>
      <c r="P86" s="13">
        <v>16</v>
      </c>
      <c r="Q86" s="12">
        <v>96000</v>
      </c>
      <c r="R86" s="7" t="s">
        <v>1371</v>
      </c>
    </row>
    <row r="87" spans="1:18">
      <c r="A87" s="7" t="s">
        <v>606</v>
      </c>
      <c r="B87" s="7" t="s">
        <v>607</v>
      </c>
      <c r="C87" s="7" t="s">
        <v>569</v>
      </c>
      <c r="D87" s="7" t="s">
        <v>622</v>
      </c>
      <c r="E87" s="7">
        <v>1219000544</v>
      </c>
      <c r="F87" s="7" t="s">
        <v>828</v>
      </c>
      <c r="G87" s="7" t="s">
        <v>333</v>
      </c>
      <c r="H87" s="7" t="s">
        <v>424</v>
      </c>
      <c r="I87" s="7" t="s">
        <v>1417</v>
      </c>
      <c r="J87" s="7" t="s">
        <v>1418</v>
      </c>
      <c r="K87" s="7">
        <v>1211077154</v>
      </c>
      <c r="L87" s="7"/>
      <c r="M87" s="7" t="s">
        <v>85</v>
      </c>
      <c r="N87" s="18">
        <v>46206</v>
      </c>
      <c r="O87" s="7" t="s">
        <v>573</v>
      </c>
      <c r="P87" s="13">
        <v>72</v>
      </c>
      <c r="Q87" s="12">
        <v>432000</v>
      </c>
      <c r="R87" s="7" t="s">
        <v>1371</v>
      </c>
    </row>
    <row r="88" spans="1:18">
      <c r="A88" s="7" t="s">
        <v>606</v>
      </c>
      <c r="B88" s="7" t="s">
        <v>607</v>
      </c>
      <c r="C88" s="7" t="s">
        <v>569</v>
      </c>
      <c r="D88" s="7" t="s">
        <v>599</v>
      </c>
      <c r="E88" s="7">
        <v>1219000546</v>
      </c>
      <c r="F88" s="7" t="s">
        <v>828</v>
      </c>
      <c r="G88" s="7" t="s">
        <v>121</v>
      </c>
      <c r="H88" s="7" t="s">
        <v>357</v>
      </c>
      <c r="I88" s="7" t="s">
        <v>1417</v>
      </c>
      <c r="J88" s="7" t="s">
        <v>1418</v>
      </c>
      <c r="K88" s="7">
        <v>1211077154</v>
      </c>
      <c r="L88" s="7"/>
      <c r="M88" s="7" t="s">
        <v>85</v>
      </c>
      <c r="N88" s="18">
        <v>46206</v>
      </c>
      <c r="O88" s="7" t="s">
        <v>573</v>
      </c>
      <c r="P88" s="13">
        <v>92</v>
      </c>
      <c r="Q88" s="12">
        <v>552000</v>
      </c>
      <c r="R88" s="7" t="s">
        <v>1371</v>
      </c>
    </row>
    <row r="89" spans="1:18">
      <c r="A89" s="7" t="s">
        <v>733</v>
      </c>
      <c r="B89" s="7" t="s">
        <v>734</v>
      </c>
      <c r="C89" s="7" t="s">
        <v>569</v>
      </c>
      <c r="D89" s="7" t="s">
        <v>756</v>
      </c>
      <c r="E89" s="7">
        <v>1219000578</v>
      </c>
      <c r="F89" s="7" t="s">
        <v>828</v>
      </c>
      <c r="G89" s="7" t="s">
        <v>757</v>
      </c>
      <c r="H89" s="7" t="s">
        <v>406</v>
      </c>
      <c r="I89" s="7" t="s">
        <v>1421</v>
      </c>
      <c r="J89" s="7" t="s">
        <v>1422</v>
      </c>
      <c r="K89" s="7">
        <v>1211077173</v>
      </c>
      <c r="L89" s="7"/>
      <c r="M89" s="7" t="s">
        <v>85</v>
      </c>
      <c r="N89" s="18">
        <v>46209</v>
      </c>
      <c r="O89" s="7" t="s">
        <v>573</v>
      </c>
      <c r="P89" s="13">
        <v>500</v>
      </c>
      <c r="Q89" s="12">
        <v>46563.6</v>
      </c>
      <c r="R89" s="7" t="s">
        <v>1371</v>
      </c>
    </row>
    <row r="90" spans="1:18">
      <c r="A90" s="7" t="s">
        <v>733</v>
      </c>
      <c r="B90" s="7" t="s">
        <v>734</v>
      </c>
      <c r="C90" s="7" t="s">
        <v>569</v>
      </c>
      <c r="D90" s="7" t="s">
        <v>673</v>
      </c>
      <c r="E90" s="7">
        <v>1219000579</v>
      </c>
      <c r="F90" s="7" t="s">
        <v>828</v>
      </c>
      <c r="G90" s="7" t="s">
        <v>674</v>
      </c>
      <c r="H90" s="7" t="s">
        <v>410</v>
      </c>
      <c r="I90" s="7" t="s">
        <v>1421</v>
      </c>
      <c r="J90" s="7" t="s">
        <v>1422</v>
      </c>
      <c r="K90" s="7">
        <v>1211077173</v>
      </c>
      <c r="L90" s="7"/>
      <c r="M90" s="7" t="s">
        <v>85</v>
      </c>
      <c r="N90" s="18">
        <v>46209</v>
      </c>
      <c r="O90" s="7" t="s">
        <v>573</v>
      </c>
      <c r="P90" s="13">
        <v>800</v>
      </c>
      <c r="Q90" s="12">
        <v>74501.77</v>
      </c>
      <c r="R90" s="7" t="s">
        <v>1371</v>
      </c>
    </row>
    <row r="91" spans="1:18">
      <c r="A91" s="7" t="s">
        <v>733</v>
      </c>
      <c r="B91" s="7" t="s">
        <v>734</v>
      </c>
      <c r="C91" s="7" t="s">
        <v>569</v>
      </c>
      <c r="D91" s="7" t="s">
        <v>673</v>
      </c>
      <c r="E91" s="7">
        <v>1219000579</v>
      </c>
      <c r="F91" s="7" t="s">
        <v>828</v>
      </c>
      <c r="G91" s="7" t="s">
        <v>813</v>
      </c>
      <c r="H91" s="7" t="s">
        <v>410</v>
      </c>
      <c r="I91" s="7" t="s">
        <v>1421</v>
      </c>
      <c r="J91" s="7" t="s">
        <v>1422</v>
      </c>
      <c r="K91" s="7">
        <v>1211077173</v>
      </c>
      <c r="L91" s="7"/>
      <c r="M91" s="7" t="s">
        <v>85</v>
      </c>
      <c r="N91" s="18">
        <v>46209</v>
      </c>
      <c r="O91" s="7" t="s">
        <v>573</v>
      </c>
      <c r="P91" s="13">
        <v>200</v>
      </c>
      <c r="Q91" s="12">
        <v>18625.439999999999</v>
      </c>
      <c r="R91" s="7" t="s">
        <v>1371</v>
      </c>
    </row>
    <row r="92" spans="1:18">
      <c r="A92" s="7" t="s">
        <v>779</v>
      </c>
      <c r="B92" s="7" t="s">
        <v>780</v>
      </c>
      <c r="C92" s="7" t="s">
        <v>569</v>
      </c>
      <c r="D92" s="7" t="s">
        <v>698</v>
      </c>
      <c r="E92" s="7">
        <v>1219000553</v>
      </c>
      <c r="F92" s="7" t="s">
        <v>828</v>
      </c>
      <c r="G92" s="7" t="s">
        <v>699</v>
      </c>
      <c r="H92" s="7" t="s">
        <v>441</v>
      </c>
      <c r="I92" s="7" t="s">
        <v>1423</v>
      </c>
      <c r="J92" s="7" t="s">
        <v>1424</v>
      </c>
      <c r="K92" s="7">
        <v>1211077175</v>
      </c>
      <c r="L92" s="7"/>
      <c r="M92" s="7" t="s">
        <v>85</v>
      </c>
      <c r="N92" s="18">
        <v>46209</v>
      </c>
      <c r="O92" s="7" t="s">
        <v>573</v>
      </c>
      <c r="P92" s="13">
        <v>20</v>
      </c>
      <c r="Q92" s="12">
        <v>118733.72</v>
      </c>
      <c r="R92" s="7" t="s">
        <v>1371</v>
      </c>
    </row>
    <row r="93" spans="1:18">
      <c r="A93" s="7" t="s">
        <v>691</v>
      </c>
      <c r="B93" s="7" t="s">
        <v>692</v>
      </c>
      <c r="C93" s="7" t="s">
        <v>569</v>
      </c>
      <c r="D93" s="7" t="s">
        <v>672</v>
      </c>
      <c r="E93" s="7">
        <v>1219000552</v>
      </c>
      <c r="F93" s="7" t="s">
        <v>828</v>
      </c>
      <c r="G93" s="7" t="s">
        <v>121</v>
      </c>
      <c r="H93" s="7" t="s">
        <v>271</v>
      </c>
      <c r="I93" s="7" t="s">
        <v>1425</v>
      </c>
      <c r="J93" s="7" t="s">
        <v>1426</v>
      </c>
      <c r="K93" s="7">
        <v>1211077181</v>
      </c>
      <c r="L93" s="7"/>
      <c r="M93" s="7" t="s">
        <v>85</v>
      </c>
      <c r="N93" s="18">
        <v>46209</v>
      </c>
      <c r="O93" s="7" t="s">
        <v>573</v>
      </c>
      <c r="P93" s="13">
        <v>2</v>
      </c>
      <c r="Q93" s="12">
        <v>10762.71</v>
      </c>
      <c r="R93" s="7" t="s">
        <v>1371</v>
      </c>
    </row>
    <row r="94" spans="1:18">
      <c r="A94" s="7" t="s">
        <v>722</v>
      </c>
      <c r="B94" s="7" t="s">
        <v>723</v>
      </c>
      <c r="C94" s="7" t="s">
        <v>569</v>
      </c>
      <c r="D94" s="7" t="s">
        <v>641</v>
      </c>
      <c r="E94" s="7">
        <v>1219001002</v>
      </c>
      <c r="F94" s="7" t="s">
        <v>824</v>
      </c>
      <c r="G94" s="7" t="s">
        <v>330</v>
      </c>
      <c r="H94" s="7" t="s">
        <v>187</v>
      </c>
      <c r="I94" s="7" t="s">
        <v>1427</v>
      </c>
      <c r="J94" s="7" t="s">
        <v>1428</v>
      </c>
      <c r="K94" s="7">
        <v>1211077184</v>
      </c>
      <c r="L94" s="7"/>
      <c r="M94" s="7" t="s">
        <v>85</v>
      </c>
      <c r="N94" s="18">
        <v>46209</v>
      </c>
      <c r="O94" s="7" t="s">
        <v>573</v>
      </c>
      <c r="P94" s="13">
        <v>618</v>
      </c>
      <c r="Q94" s="12">
        <v>147582.09</v>
      </c>
      <c r="R94" s="7" t="s">
        <v>1371</v>
      </c>
    </row>
    <row r="95" spans="1:18">
      <c r="A95" s="7" t="s">
        <v>722</v>
      </c>
      <c r="B95" s="7" t="s">
        <v>723</v>
      </c>
      <c r="C95" s="7" t="s">
        <v>569</v>
      </c>
      <c r="D95" s="7" t="s">
        <v>641</v>
      </c>
      <c r="E95" s="7">
        <v>1219001002</v>
      </c>
      <c r="F95" s="7" t="s">
        <v>824</v>
      </c>
      <c r="G95" s="7" t="s">
        <v>1345</v>
      </c>
      <c r="H95" s="7" t="s">
        <v>187</v>
      </c>
      <c r="I95" s="7" t="s">
        <v>1427</v>
      </c>
      <c r="J95" s="7" t="s">
        <v>1428</v>
      </c>
      <c r="K95" s="7">
        <v>1211077184</v>
      </c>
      <c r="L95" s="7"/>
      <c r="M95" s="7" t="s">
        <v>85</v>
      </c>
      <c r="N95" s="18">
        <v>46209</v>
      </c>
      <c r="O95" s="7" t="s">
        <v>573</v>
      </c>
      <c r="P95" s="13">
        <v>62</v>
      </c>
      <c r="Q95" s="12">
        <v>14805.97</v>
      </c>
      <c r="R95" s="7" t="s">
        <v>1371</v>
      </c>
    </row>
    <row r="96" spans="1:18">
      <c r="A96" s="7" t="s">
        <v>670</v>
      </c>
      <c r="B96" s="7" t="s">
        <v>671</v>
      </c>
      <c r="C96" s="7" t="s">
        <v>569</v>
      </c>
      <c r="D96" s="7" t="s">
        <v>622</v>
      </c>
      <c r="E96" s="7">
        <v>1219000544</v>
      </c>
      <c r="F96" s="7" t="s">
        <v>828</v>
      </c>
      <c r="G96" s="7" t="s">
        <v>121</v>
      </c>
      <c r="H96" s="7" t="s">
        <v>424</v>
      </c>
      <c r="I96" s="7" t="s">
        <v>1429</v>
      </c>
      <c r="J96" s="7" t="s">
        <v>1430</v>
      </c>
      <c r="K96" s="7">
        <v>1211077185</v>
      </c>
      <c r="L96" s="7"/>
      <c r="M96" s="7" t="s">
        <v>85</v>
      </c>
      <c r="N96" s="18">
        <v>46209</v>
      </c>
      <c r="O96" s="7" t="s">
        <v>573</v>
      </c>
      <c r="P96" s="13">
        <v>8</v>
      </c>
      <c r="Q96" s="12">
        <v>44067.8</v>
      </c>
      <c r="R96" s="7" t="s">
        <v>1371</v>
      </c>
    </row>
    <row r="97" spans="1:18">
      <c r="A97" s="7" t="s">
        <v>670</v>
      </c>
      <c r="B97" s="7" t="s">
        <v>671</v>
      </c>
      <c r="C97" s="7" t="s">
        <v>569</v>
      </c>
      <c r="D97" s="7" t="s">
        <v>719</v>
      </c>
      <c r="E97" s="7">
        <v>1219000574</v>
      </c>
      <c r="F97" s="7" t="s">
        <v>828</v>
      </c>
      <c r="G97" s="7" t="s">
        <v>1307</v>
      </c>
      <c r="H97" s="7" t="s">
        <v>133</v>
      </c>
      <c r="I97" s="7" t="s">
        <v>1429</v>
      </c>
      <c r="J97" s="7" t="s">
        <v>1430</v>
      </c>
      <c r="K97" s="7">
        <v>1211077185</v>
      </c>
      <c r="L97" s="7"/>
      <c r="M97" s="7" t="s">
        <v>85</v>
      </c>
      <c r="N97" s="18">
        <v>46209</v>
      </c>
      <c r="O97" s="7" t="s">
        <v>573</v>
      </c>
      <c r="P97" s="13">
        <v>1000</v>
      </c>
      <c r="Q97" s="12">
        <v>101694.92</v>
      </c>
      <c r="R97" s="7" t="s">
        <v>1371</v>
      </c>
    </row>
    <row r="98" spans="1:18">
      <c r="A98" s="7" t="s">
        <v>670</v>
      </c>
      <c r="B98" s="7" t="s">
        <v>671</v>
      </c>
      <c r="C98" s="7" t="s">
        <v>569</v>
      </c>
      <c r="D98" s="7" t="s">
        <v>658</v>
      </c>
      <c r="E98" s="7">
        <v>1219000799</v>
      </c>
      <c r="F98" s="7" t="s">
        <v>828</v>
      </c>
      <c r="G98" s="7" t="s">
        <v>360</v>
      </c>
      <c r="H98" s="7" t="s">
        <v>332</v>
      </c>
      <c r="I98" s="7" t="s">
        <v>1429</v>
      </c>
      <c r="J98" s="7" t="s">
        <v>1430</v>
      </c>
      <c r="K98" s="7">
        <v>1211077185</v>
      </c>
      <c r="L98" s="7"/>
      <c r="M98" s="7" t="s">
        <v>85</v>
      </c>
      <c r="N98" s="18">
        <v>46209</v>
      </c>
      <c r="O98" s="7" t="s">
        <v>573</v>
      </c>
      <c r="P98" s="13">
        <v>1000</v>
      </c>
      <c r="Q98" s="12">
        <v>50000</v>
      </c>
      <c r="R98" s="7" t="s">
        <v>1371</v>
      </c>
    </row>
    <row r="99" spans="1:18">
      <c r="A99" s="7" t="s">
        <v>601</v>
      </c>
      <c r="B99" s="7" t="s">
        <v>602</v>
      </c>
      <c r="C99" s="7" t="s">
        <v>569</v>
      </c>
      <c r="D99" s="7" t="s">
        <v>658</v>
      </c>
      <c r="E99" s="7">
        <v>1219000799</v>
      </c>
      <c r="F99" s="7" t="s">
        <v>828</v>
      </c>
      <c r="G99" s="7" t="s">
        <v>360</v>
      </c>
      <c r="H99" s="7" t="s">
        <v>332</v>
      </c>
      <c r="I99" s="7" t="s">
        <v>1431</v>
      </c>
      <c r="J99" s="7" t="s">
        <v>1432</v>
      </c>
      <c r="K99" s="7">
        <v>1211077186</v>
      </c>
      <c r="L99" s="7"/>
      <c r="M99" s="7" t="s">
        <v>85</v>
      </c>
      <c r="N99" s="18">
        <v>46209</v>
      </c>
      <c r="O99" s="7" t="s">
        <v>573</v>
      </c>
      <c r="P99" s="13">
        <v>2500</v>
      </c>
      <c r="Q99" s="12">
        <v>145000</v>
      </c>
      <c r="R99" s="7" t="s">
        <v>1371</v>
      </c>
    </row>
    <row r="100" spans="1:18">
      <c r="A100" s="7" t="s">
        <v>1433</v>
      </c>
      <c r="B100" s="7" t="s">
        <v>1434</v>
      </c>
      <c r="C100" s="7" t="s">
        <v>569</v>
      </c>
      <c r="D100" s="7" t="s">
        <v>634</v>
      </c>
      <c r="E100" s="7">
        <v>1013000882</v>
      </c>
      <c r="F100" s="7" t="s">
        <v>824</v>
      </c>
      <c r="G100" s="7" t="s">
        <v>327</v>
      </c>
      <c r="H100" s="7" t="s">
        <v>226</v>
      </c>
      <c r="I100" s="7" t="s">
        <v>1435</v>
      </c>
      <c r="J100" s="7" t="s">
        <v>1436</v>
      </c>
      <c r="K100" s="7">
        <v>1211077187</v>
      </c>
      <c r="L100" s="7"/>
      <c r="M100" s="7" t="s">
        <v>85</v>
      </c>
      <c r="N100" s="18">
        <v>46209</v>
      </c>
      <c r="O100" s="7" t="s">
        <v>573</v>
      </c>
      <c r="P100" s="13">
        <v>100</v>
      </c>
      <c r="Q100" s="12">
        <v>20398.009999999998</v>
      </c>
      <c r="R100" s="7" t="s">
        <v>1371</v>
      </c>
    </row>
    <row r="101" spans="1:18">
      <c r="A101" s="7" t="s">
        <v>1433</v>
      </c>
      <c r="B101" s="7" t="s">
        <v>1434</v>
      </c>
      <c r="C101" s="7" t="s">
        <v>569</v>
      </c>
      <c r="D101" s="7" t="s">
        <v>641</v>
      </c>
      <c r="E101" s="7">
        <v>1219001002</v>
      </c>
      <c r="F101" s="7" t="s">
        <v>824</v>
      </c>
      <c r="G101" s="7" t="s">
        <v>330</v>
      </c>
      <c r="H101" s="7" t="s">
        <v>187</v>
      </c>
      <c r="I101" s="7" t="s">
        <v>1435</v>
      </c>
      <c r="J101" s="7" t="s">
        <v>1436</v>
      </c>
      <c r="K101" s="7">
        <v>1211077187</v>
      </c>
      <c r="L101" s="7"/>
      <c r="M101" s="7" t="s">
        <v>85</v>
      </c>
      <c r="N101" s="18">
        <v>46209</v>
      </c>
      <c r="O101" s="7" t="s">
        <v>573</v>
      </c>
      <c r="P101" s="13">
        <v>28</v>
      </c>
      <c r="Q101" s="12">
        <v>8915.42</v>
      </c>
      <c r="R101" s="7" t="s">
        <v>1371</v>
      </c>
    </row>
    <row r="102" spans="1:18">
      <c r="A102" s="7" t="s">
        <v>1433</v>
      </c>
      <c r="B102" s="7" t="s">
        <v>1434</v>
      </c>
      <c r="C102" s="7" t="s">
        <v>569</v>
      </c>
      <c r="D102" s="7" t="s">
        <v>600</v>
      </c>
      <c r="E102" s="7">
        <v>1219001017</v>
      </c>
      <c r="F102" s="7" t="s">
        <v>824</v>
      </c>
      <c r="G102" s="7" t="s">
        <v>350</v>
      </c>
      <c r="H102" s="7" t="s">
        <v>218</v>
      </c>
      <c r="I102" s="7" t="s">
        <v>1437</v>
      </c>
      <c r="J102" s="7" t="s">
        <v>1438</v>
      </c>
      <c r="K102" s="7">
        <v>1211077188</v>
      </c>
      <c r="L102" s="7"/>
      <c r="M102" s="7" t="s">
        <v>85</v>
      </c>
      <c r="N102" s="18">
        <v>46209</v>
      </c>
      <c r="O102" s="7" t="s">
        <v>573</v>
      </c>
      <c r="P102" s="13">
        <v>50</v>
      </c>
      <c r="Q102" s="12">
        <v>110939.06</v>
      </c>
      <c r="R102" s="7" t="s">
        <v>1371</v>
      </c>
    </row>
    <row r="103" spans="1:18">
      <c r="A103" s="7" t="s">
        <v>731</v>
      </c>
      <c r="B103" s="7" t="s">
        <v>732</v>
      </c>
      <c r="C103" s="7" t="s">
        <v>569</v>
      </c>
      <c r="D103" s="7" t="s">
        <v>805</v>
      </c>
      <c r="E103" s="7">
        <v>1219000923</v>
      </c>
      <c r="F103" s="7" t="s">
        <v>828</v>
      </c>
      <c r="G103" s="7" t="s">
        <v>307</v>
      </c>
      <c r="H103" s="7" t="s">
        <v>322</v>
      </c>
      <c r="I103" s="7" t="s">
        <v>1439</v>
      </c>
      <c r="J103" s="7" t="s">
        <v>1440</v>
      </c>
      <c r="K103" s="7">
        <v>1211077189</v>
      </c>
      <c r="L103" s="7"/>
      <c r="M103" s="7" t="s">
        <v>85</v>
      </c>
      <c r="N103" s="18">
        <v>46209</v>
      </c>
      <c r="O103" s="7" t="s">
        <v>573</v>
      </c>
      <c r="P103" s="13">
        <v>500</v>
      </c>
      <c r="Q103" s="12">
        <v>32000</v>
      </c>
      <c r="R103" s="7" t="s">
        <v>1371</v>
      </c>
    </row>
    <row r="104" spans="1:18">
      <c r="A104" s="7" t="s">
        <v>683</v>
      </c>
      <c r="B104" s="7" t="s">
        <v>684</v>
      </c>
      <c r="C104" s="7" t="s">
        <v>569</v>
      </c>
      <c r="D104" s="7" t="s">
        <v>570</v>
      </c>
      <c r="E104" s="7">
        <v>1219000524</v>
      </c>
      <c r="F104" s="7" t="s">
        <v>828</v>
      </c>
      <c r="G104" s="7" t="s">
        <v>571</v>
      </c>
      <c r="H104" s="7" t="s">
        <v>572</v>
      </c>
      <c r="I104" s="7" t="s">
        <v>1441</v>
      </c>
      <c r="J104" s="7" t="s">
        <v>1442</v>
      </c>
      <c r="K104" s="7">
        <v>1211077190</v>
      </c>
      <c r="L104" s="7"/>
      <c r="M104" s="7" t="s">
        <v>85</v>
      </c>
      <c r="N104" s="18">
        <v>46209</v>
      </c>
      <c r="O104" s="7" t="s">
        <v>573</v>
      </c>
      <c r="P104" s="13">
        <v>1000</v>
      </c>
      <c r="Q104" s="12">
        <v>18000</v>
      </c>
      <c r="R104" s="7" t="s">
        <v>1371</v>
      </c>
    </row>
    <row r="105" spans="1:18">
      <c r="A105" s="7" t="s">
        <v>646</v>
      </c>
      <c r="B105" s="7" t="s">
        <v>647</v>
      </c>
      <c r="C105" s="7" t="s">
        <v>569</v>
      </c>
      <c r="D105" s="7" t="s">
        <v>802</v>
      </c>
      <c r="E105" s="7">
        <v>1219000610</v>
      </c>
      <c r="F105" s="7" t="s">
        <v>824</v>
      </c>
      <c r="G105" s="7" t="s">
        <v>1299</v>
      </c>
      <c r="H105" s="7" t="s">
        <v>326</v>
      </c>
      <c r="I105" s="7" t="s">
        <v>1443</v>
      </c>
      <c r="J105" s="7" t="s">
        <v>1444</v>
      </c>
      <c r="K105" s="7">
        <v>1211077458</v>
      </c>
      <c r="L105" s="7"/>
      <c r="M105" s="7" t="s">
        <v>85</v>
      </c>
      <c r="N105" s="18">
        <v>46210</v>
      </c>
      <c r="O105" s="7" t="s">
        <v>573</v>
      </c>
      <c r="P105" s="13">
        <v>80</v>
      </c>
      <c r="Q105" s="12">
        <v>35164.839999999997</v>
      </c>
      <c r="R105" s="7" t="s">
        <v>1371</v>
      </c>
    </row>
    <row r="106" spans="1:18">
      <c r="A106" s="7" t="s">
        <v>646</v>
      </c>
      <c r="B106" s="7" t="s">
        <v>647</v>
      </c>
      <c r="C106" s="7" t="s">
        <v>569</v>
      </c>
      <c r="D106" s="7" t="s">
        <v>603</v>
      </c>
      <c r="E106" s="7">
        <v>1219000758</v>
      </c>
      <c r="F106" s="7" t="s">
        <v>824</v>
      </c>
      <c r="G106" s="7" t="s">
        <v>145</v>
      </c>
      <c r="H106" s="7" t="s">
        <v>144</v>
      </c>
      <c r="I106" s="7" t="s">
        <v>1443</v>
      </c>
      <c r="J106" s="7" t="s">
        <v>1444</v>
      </c>
      <c r="K106" s="7">
        <v>1211077458</v>
      </c>
      <c r="L106" s="7"/>
      <c r="M106" s="7" t="s">
        <v>85</v>
      </c>
      <c r="N106" s="18">
        <v>46210</v>
      </c>
      <c r="O106" s="7" t="s">
        <v>573</v>
      </c>
      <c r="P106" s="13">
        <v>80</v>
      </c>
      <c r="Q106" s="12">
        <v>91908.09</v>
      </c>
      <c r="R106" s="7" t="s">
        <v>1371</v>
      </c>
    </row>
    <row r="107" spans="1:18">
      <c r="A107" s="7" t="s">
        <v>646</v>
      </c>
      <c r="B107" s="7" t="s">
        <v>647</v>
      </c>
      <c r="C107" s="7" t="s">
        <v>569</v>
      </c>
      <c r="D107" s="7" t="s">
        <v>802</v>
      </c>
      <c r="E107" s="7">
        <v>1219000610</v>
      </c>
      <c r="F107" s="7" t="s">
        <v>824</v>
      </c>
      <c r="G107" s="7" t="s">
        <v>1299</v>
      </c>
      <c r="H107" s="7" t="s">
        <v>326</v>
      </c>
      <c r="I107" s="7" t="s">
        <v>1445</v>
      </c>
      <c r="J107" s="7" t="s">
        <v>1446</v>
      </c>
      <c r="K107" s="7">
        <v>1211077459</v>
      </c>
      <c r="L107" s="7"/>
      <c r="M107" s="7" t="s">
        <v>85</v>
      </c>
      <c r="N107" s="18">
        <v>46210</v>
      </c>
      <c r="O107" s="7" t="s">
        <v>573</v>
      </c>
      <c r="P107" s="13">
        <v>48</v>
      </c>
      <c r="Q107" s="12">
        <v>22057.94</v>
      </c>
      <c r="R107" s="7" t="s">
        <v>1371</v>
      </c>
    </row>
    <row r="108" spans="1:18">
      <c r="A108" s="7" t="s">
        <v>646</v>
      </c>
      <c r="B108" s="7" t="s">
        <v>647</v>
      </c>
      <c r="C108" s="7" t="s">
        <v>569</v>
      </c>
      <c r="D108" s="7" t="s">
        <v>577</v>
      </c>
      <c r="E108" s="7">
        <v>1219000754</v>
      </c>
      <c r="F108" s="7" t="s">
        <v>824</v>
      </c>
      <c r="G108" s="7" t="s">
        <v>356</v>
      </c>
      <c r="H108" s="7" t="s">
        <v>139</v>
      </c>
      <c r="I108" s="7" t="s">
        <v>1445</v>
      </c>
      <c r="J108" s="7" t="s">
        <v>1446</v>
      </c>
      <c r="K108" s="7">
        <v>1211077459</v>
      </c>
      <c r="L108" s="7"/>
      <c r="M108" s="7" t="s">
        <v>85</v>
      </c>
      <c r="N108" s="18">
        <v>46210</v>
      </c>
      <c r="O108" s="7" t="s">
        <v>573</v>
      </c>
      <c r="P108" s="13">
        <v>48</v>
      </c>
      <c r="Q108" s="12">
        <v>52267.73</v>
      </c>
      <c r="R108" s="7" t="s">
        <v>1371</v>
      </c>
    </row>
    <row r="109" spans="1:18">
      <c r="A109" s="7" t="s">
        <v>646</v>
      </c>
      <c r="B109" s="7" t="s">
        <v>647</v>
      </c>
      <c r="C109" s="7" t="s">
        <v>569</v>
      </c>
      <c r="D109" s="7" t="s">
        <v>614</v>
      </c>
      <c r="E109" s="7">
        <v>1219000833</v>
      </c>
      <c r="F109" s="7" t="s">
        <v>824</v>
      </c>
      <c r="G109" s="7" t="s">
        <v>167</v>
      </c>
      <c r="H109" s="7" t="s">
        <v>166</v>
      </c>
      <c r="I109" s="7" t="s">
        <v>1445</v>
      </c>
      <c r="J109" s="7" t="s">
        <v>1446</v>
      </c>
      <c r="K109" s="7">
        <v>1211077459</v>
      </c>
      <c r="L109" s="7"/>
      <c r="M109" s="7" t="s">
        <v>85</v>
      </c>
      <c r="N109" s="18">
        <v>46210</v>
      </c>
      <c r="O109" s="7" t="s">
        <v>573</v>
      </c>
      <c r="P109" s="13">
        <v>60</v>
      </c>
      <c r="Q109" s="12">
        <v>6593.41</v>
      </c>
      <c r="R109" s="7" t="s">
        <v>1371</v>
      </c>
    </row>
    <row r="110" spans="1:18">
      <c r="A110" s="7" t="s">
        <v>608</v>
      </c>
      <c r="B110" s="7" t="s">
        <v>609</v>
      </c>
      <c r="C110" s="7" t="s">
        <v>569</v>
      </c>
      <c r="D110" s="7" t="s">
        <v>581</v>
      </c>
      <c r="E110" s="7">
        <v>1219000509</v>
      </c>
      <c r="F110" s="7" t="s">
        <v>1288</v>
      </c>
      <c r="G110" s="7" t="s">
        <v>1447</v>
      </c>
      <c r="H110" s="7" t="s">
        <v>171</v>
      </c>
      <c r="I110" s="7" t="s">
        <v>1448</v>
      </c>
      <c r="J110" s="7" t="s">
        <v>1449</v>
      </c>
      <c r="K110" s="7">
        <v>1211077460</v>
      </c>
      <c r="L110" s="7"/>
      <c r="M110" s="7" t="s">
        <v>85</v>
      </c>
      <c r="N110" s="18">
        <v>46210</v>
      </c>
      <c r="O110" s="7" t="s">
        <v>573</v>
      </c>
      <c r="P110" s="13">
        <v>315</v>
      </c>
      <c r="Q110" s="12">
        <v>78670.570000000007</v>
      </c>
      <c r="R110" s="7" t="s">
        <v>1371</v>
      </c>
    </row>
    <row r="111" spans="1:18">
      <c r="A111" s="7" t="s">
        <v>608</v>
      </c>
      <c r="B111" s="7" t="s">
        <v>609</v>
      </c>
      <c r="C111" s="7" t="s">
        <v>569</v>
      </c>
      <c r="D111" s="7" t="s">
        <v>581</v>
      </c>
      <c r="E111" s="7">
        <v>1219000509</v>
      </c>
      <c r="F111" s="7" t="s">
        <v>1288</v>
      </c>
      <c r="G111" s="7" t="s">
        <v>1447</v>
      </c>
      <c r="H111" s="7" t="s">
        <v>171</v>
      </c>
      <c r="I111" s="7" t="s">
        <v>1450</v>
      </c>
      <c r="J111" s="7" t="s">
        <v>1451</v>
      </c>
      <c r="K111" s="7">
        <v>1211077461</v>
      </c>
      <c r="L111" s="7"/>
      <c r="M111" s="7" t="s">
        <v>85</v>
      </c>
      <c r="N111" s="18">
        <v>46210</v>
      </c>
      <c r="O111" s="7" t="s">
        <v>573</v>
      </c>
      <c r="P111" s="13">
        <v>500</v>
      </c>
      <c r="Q111" s="12">
        <v>124875.12</v>
      </c>
      <c r="R111" s="7" t="s">
        <v>1371</v>
      </c>
    </row>
    <row r="112" spans="1:18">
      <c r="A112" s="7" t="s">
        <v>608</v>
      </c>
      <c r="B112" s="7" t="s">
        <v>609</v>
      </c>
      <c r="C112" s="7" t="s">
        <v>569</v>
      </c>
      <c r="D112" s="7" t="s">
        <v>774</v>
      </c>
      <c r="E112" s="7">
        <v>1219001022</v>
      </c>
      <c r="F112" s="7" t="s">
        <v>1288</v>
      </c>
      <c r="G112" s="7" t="s">
        <v>265</v>
      </c>
      <c r="H112" s="7" t="s">
        <v>238</v>
      </c>
      <c r="I112" s="7" t="s">
        <v>1450</v>
      </c>
      <c r="J112" s="7" t="s">
        <v>1451</v>
      </c>
      <c r="K112" s="7">
        <v>1211077461</v>
      </c>
      <c r="L112" s="7"/>
      <c r="M112" s="7" t="s">
        <v>85</v>
      </c>
      <c r="N112" s="18">
        <v>46210</v>
      </c>
      <c r="O112" s="7" t="s">
        <v>573</v>
      </c>
      <c r="P112" s="13">
        <v>1200</v>
      </c>
      <c r="Q112" s="12">
        <v>65934.070000000007</v>
      </c>
      <c r="R112" s="7" t="s">
        <v>1371</v>
      </c>
    </row>
    <row r="113" spans="1:18">
      <c r="A113" s="7" t="s">
        <v>653</v>
      </c>
      <c r="B113" s="7" t="s">
        <v>654</v>
      </c>
      <c r="C113" s="7" t="s">
        <v>569</v>
      </c>
      <c r="D113" s="7" t="s">
        <v>581</v>
      </c>
      <c r="E113" s="7">
        <v>1219000509</v>
      </c>
      <c r="F113" s="7" t="s">
        <v>1288</v>
      </c>
      <c r="G113" s="7" t="s">
        <v>1447</v>
      </c>
      <c r="H113" s="7" t="s">
        <v>171</v>
      </c>
      <c r="I113" s="7" t="s">
        <v>1452</v>
      </c>
      <c r="J113" s="7" t="s">
        <v>1453</v>
      </c>
      <c r="K113" s="7">
        <v>1211077462</v>
      </c>
      <c r="L113" s="7"/>
      <c r="M113" s="7" t="s">
        <v>85</v>
      </c>
      <c r="N113" s="18">
        <v>46210</v>
      </c>
      <c r="O113" s="7" t="s">
        <v>573</v>
      </c>
      <c r="P113" s="13">
        <v>2000</v>
      </c>
      <c r="Q113" s="12">
        <v>499500.5</v>
      </c>
      <c r="R113" s="7" t="s">
        <v>1371</v>
      </c>
    </row>
    <row r="114" spans="1:18">
      <c r="A114" s="7" t="s">
        <v>653</v>
      </c>
      <c r="B114" s="7" t="s">
        <v>654</v>
      </c>
      <c r="C114" s="7" t="s">
        <v>569</v>
      </c>
      <c r="D114" s="7" t="s">
        <v>582</v>
      </c>
      <c r="E114" s="7">
        <v>1219000780</v>
      </c>
      <c r="F114" s="7" t="s">
        <v>1288</v>
      </c>
      <c r="G114" s="7" t="s">
        <v>269</v>
      </c>
      <c r="H114" s="7" t="s">
        <v>115</v>
      </c>
      <c r="I114" s="7" t="s">
        <v>1452</v>
      </c>
      <c r="J114" s="7" t="s">
        <v>1453</v>
      </c>
      <c r="K114" s="7">
        <v>1211077462</v>
      </c>
      <c r="L114" s="7"/>
      <c r="M114" s="7" t="s">
        <v>85</v>
      </c>
      <c r="N114" s="18">
        <v>46210</v>
      </c>
      <c r="O114" s="7" t="s">
        <v>573</v>
      </c>
      <c r="P114" s="13">
        <v>1100</v>
      </c>
      <c r="Q114" s="12">
        <v>714285.71</v>
      </c>
      <c r="R114" s="7" t="s">
        <v>1371</v>
      </c>
    </row>
    <row r="115" spans="1:18">
      <c r="A115" s="7" t="s">
        <v>689</v>
      </c>
      <c r="B115" s="7" t="s">
        <v>690</v>
      </c>
      <c r="C115" s="7" t="s">
        <v>569</v>
      </c>
      <c r="D115" s="7" t="s">
        <v>802</v>
      </c>
      <c r="E115" s="7">
        <v>1219000610</v>
      </c>
      <c r="F115" s="7" t="s">
        <v>824</v>
      </c>
      <c r="G115" s="7" t="s">
        <v>1299</v>
      </c>
      <c r="H115" s="7" t="s">
        <v>326</v>
      </c>
      <c r="I115" s="7" t="s">
        <v>1454</v>
      </c>
      <c r="J115" s="7" t="s">
        <v>1455</v>
      </c>
      <c r="K115" s="7">
        <v>1211077463</v>
      </c>
      <c r="L115" s="7"/>
      <c r="M115" s="7" t="s">
        <v>85</v>
      </c>
      <c r="N115" s="18">
        <v>46210</v>
      </c>
      <c r="O115" s="7" t="s">
        <v>573</v>
      </c>
      <c r="P115" s="13">
        <v>500</v>
      </c>
      <c r="Q115" s="12">
        <v>229770.23</v>
      </c>
      <c r="R115" s="7" t="s">
        <v>1371</v>
      </c>
    </row>
    <row r="116" spans="1:18">
      <c r="A116" s="7" t="s">
        <v>689</v>
      </c>
      <c r="B116" s="7" t="s">
        <v>690</v>
      </c>
      <c r="C116" s="7" t="s">
        <v>569</v>
      </c>
      <c r="D116" s="7" t="s">
        <v>577</v>
      </c>
      <c r="E116" s="7">
        <v>1219000754</v>
      </c>
      <c r="F116" s="7" t="s">
        <v>824</v>
      </c>
      <c r="G116" s="7" t="s">
        <v>356</v>
      </c>
      <c r="H116" s="7" t="s">
        <v>139</v>
      </c>
      <c r="I116" s="7" t="s">
        <v>1454</v>
      </c>
      <c r="J116" s="7" t="s">
        <v>1455</v>
      </c>
      <c r="K116" s="7">
        <v>1211077463</v>
      </c>
      <c r="L116" s="7"/>
      <c r="M116" s="7" t="s">
        <v>85</v>
      </c>
      <c r="N116" s="18">
        <v>46210</v>
      </c>
      <c r="O116" s="7" t="s">
        <v>573</v>
      </c>
      <c r="P116" s="13">
        <v>385</v>
      </c>
      <c r="Q116" s="12">
        <v>442307.69</v>
      </c>
      <c r="R116" s="7" t="s">
        <v>1371</v>
      </c>
    </row>
    <row r="117" spans="1:18">
      <c r="A117" s="7" t="s">
        <v>689</v>
      </c>
      <c r="B117" s="7" t="s">
        <v>690</v>
      </c>
      <c r="C117" s="7" t="s">
        <v>569</v>
      </c>
      <c r="D117" s="7" t="s">
        <v>577</v>
      </c>
      <c r="E117" s="7">
        <v>1219000754</v>
      </c>
      <c r="F117" s="7" t="s">
        <v>824</v>
      </c>
      <c r="G117" s="7" t="s">
        <v>1411</v>
      </c>
      <c r="H117" s="7" t="s">
        <v>139</v>
      </c>
      <c r="I117" s="7" t="s">
        <v>1454</v>
      </c>
      <c r="J117" s="7" t="s">
        <v>1455</v>
      </c>
      <c r="K117" s="7">
        <v>1211077463</v>
      </c>
      <c r="L117" s="7"/>
      <c r="M117" s="7" t="s">
        <v>85</v>
      </c>
      <c r="N117" s="18">
        <v>46210</v>
      </c>
      <c r="O117" s="7" t="s">
        <v>573</v>
      </c>
      <c r="P117" s="13">
        <v>15</v>
      </c>
      <c r="Q117" s="12">
        <v>17232.77</v>
      </c>
      <c r="R117" s="7" t="s">
        <v>1371</v>
      </c>
    </row>
    <row r="118" spans="1:18">
      <c r="A118" s="7" t="s">
        <v>649</v>
      </c>
      <c r="B118" s="7" t="s">
        <v>650</v>
      </c>
      <c r="C118" s="7" t="s">
        <v>569</v>
      </c>
      <c r="D118" s="7" t="s">
        <v>581</v>
      </c>
      <c r="E118" s="7">
        <v>1219000509</v>
      </c>
      <c r="F118" s="7" t="s">
        <v>1288</v>
      </c>
      <c r="G118" s="7" t="s">
        <v>1447</v>
      </c>
      <c r="H118" s="7" t="s">
        <v>171</v>
      </c>
      <c r="I118" s="7" t="s">
        <v>1456</v>
      </c>
      <c r="J118" s="7" t="s">
        <v>1457</v>
      </c>
      <c r="K118" s="7">
        <v>1211077464</v>
      </c>
      <c r="L118" s="7"/>
      <c r="M118" s="7" t="s">
        <v>85</v>
      </c>
      <c r="N118" s="18">
        <v>46210</v>
      </c>
      <c r="O118" s="7" t="s">
        <v>573</v>
      </c>
      <c r="P118" s="13">
        <v>1000</v>
      </c>
      <c r="Q118" s="12">
        <v>250000</v>
      </c>
      <c r="R118" s="7" t="s">
        <v>1371</v>
      </c>
    </row>
    <row r="119" spans="1:18">
      <c r="A119" s="7" t="s">
        <v>649</v>
      </c>
      <c r="B119" s="7" t="s">
        <v>650</v>
      </c>
      <c r="C119" s="7" t="s">
        <v>569</v>
      </c>
      <c r="D119" s="7" t="s">
        <v>588</v>
      </c>
      <c r="E119" s="7">
        <v>1219000600</v>
      </c>
      <c r="F119" s="7" t="s">
        <v>1288</v>
      </c>
      <c r="G119" s="7" t="s">
        <v>822</v>
      </c>
      <c r="H119" s="7" t="s">
        <v>589</v>
      </c>
      <c r="I119" s="7" t="s">
        <v>1456</v>
      </c>
      <c r="J119" s="7" t="s">
        <v>1457</v>
      </c>
      <c r="K119" s="7">
        <v>1211077464</v>
      </c>
      <c r="L119" s="7"/>
      <c r="M119" s="7" t="s">
        <v>85</v>
      </c>
      <c r="N119" s="18">
        <v>46210</v>
      </c>
      <c r="O119" s="7" t="s">
        <v>573</v>
      </c>
      <c r="P119" s="13">
        <v>25000</v>
      </c>
      <c r="Q119" s="12">
        <v>900000</v>
      </c>
      <c r="R119" s="7" t="s">
        <v>1371</v>
      </c>
    </row>
    <row r="120" spans="1:18">
      <c r="A120" s="7" t="s">
        <v>649</v>
      </c>
      <c r="B120" s="7" t="s">
        <v>650</v>
      </c>
      <c r="C120" s="7" t="s">
        <v>569</v>
      </c>
      <c r="D120" s="7" t="s">
        <v>774</v>
      </c>
      <c r="E120" s="7">
        <v>1219001022</v>
      </c>
      <c r="F120" s="7" t="s">
        <v>1288</v>
      </c>
      <c r="G120" s="7" t="s">
        <v>1458</v>
      </c>
      <c r="H120" s="7" t="s">
        <v>238</v>
      </c>
      <c r="I120" s="7" t="s">
        <v>1456</v>
      </c>
      <c r="J120" s="7" t="s">
        <v>1457</v>
      </c>
      <c r="K120" s="7">
        <v>1211077464</v>
      </c>
      <c r="L120" s="7"/>
      <c r="M120" s="7" t="s">
        <v>85</v>
      </c>
      <c r="N120" s="18">
        <v>46210</v>
      </c>
      <c r="O120" s="7" t="s">
        <v>573</v>
      </c>
      <c r="P120" s="13">
        <v>1000</v>
      </c>
      <c r="Q120" s="12">
        <v>55000</v>
      </c>
      <c r="R120" s="7" t="s">
        <v>1371</v>
      </c>
    </row>
    <row r="121" spans="1:18">
      <c r="A121" s="7" t="s">
        <v>731</v>
      </c>
      <c r="B121" s="7" t="s">
        <v>732</v>
      </c>
      <c r="C121" s="7" t="s">
        <v>569</v>
      </c>
      <c r="D121" s="7" t="s">
        <v>570</v>
      </c>
      <c r="E121" s="7">
        <v>1219000524</v>
      </c>
      <c r="F121" s="7" t="s">
        <v>828</v>
      </c>
      <c r="G121" s="7" t="s">
        <v>571</v>
      </c>
      <c r="H121" s="7" t="s">
        <v>572</v>
      </c>
      <c r="I121" s="7" t="s">
        <v>1459</v>
      </c>
      <c r="J121" s="7" t="s">
        <v>1460</v>
      </c>
      <c r="K121" s="7">
        <v>1211077497</v>
      </c>
      <c r="L121" s="7"/>
      <c r="M121" s="7" t="s">
        <v>85</v>
      </c>
      <c r="N121" s="18">
        <v>46210</v>
      </c>
      <c r="O121" s="7" t="s">
        <v>573</v>
      </c>
      <c r="P121" s="13">
        <v>1000</v>
      </c>
      <c r="Q121" s="12">
        <v>20000</v>
      </c>
      <c r="R121" s="7" t="s">
        <v>1371</v>
      </c>
    </row>
    <row r="122" spans="1:18">
      <c r="A122" s="7" t="s">
        <v>638</v>
      </c>
      <c r="B122" s="7" t="s">
        <v>607</v>
      </c>
      <c r="C122" s="7" t="s">
        <v>569</v>
      </c>
      <c r="D122" s="7" t="s">
        <v>622</v>
      </c>
      <c r="E122" s="7">
        <v>1219000544</v>
      </c>
      <c r="F122" s="7" t="s">
        <v>828</v>
      </c>
      <c r="G122" s="7" t="s">
        <v>121</v>
      </c>
      <c r="H122" s="7" t="s">
        <v>424</v>
      </c>
      <c r="I122" s="7" t="s">
        <v>1461</v>
      </c>
      <c r="J122" s="7" t="s">
        <v>1462</v>
      </c>
      <c r="K122" s="7">
        <v>1211077498</v>
      </c>
      <c r="L122" s="7"/>
      <c r="M122" s="7" t="s">
        <v>85</v>
      </c>
      <c r="N122" s="18">
        <v>46210</v>
      </c>
      <c r="O122" s="7" t="s">
        <v>573</v>
      </c>
      <c r="P122" s="13">
        <v>32</v>
      </c>
      <c r="Q122" s="12">
        <v>192000</v>
      </c>
      <c r="R122" s="7" t="s">
        <v>1371</v>
      </c>
    </row>
    <row r="123" spans="1:18">
      <c r="A123" s="7" t="s">
        <v>638</v>
      </c>
      <c r="B123" s="7" t="s">
        <v>607</v>
      </c>
      <c r="C123" s="7" t="s">
        <v>569</v>
      </c>
      <c r="D123" s="7" t="s">
        <v>599</v>
      </c>
      <c r="E123" s="7">
        <v>1219000546</v>
      </c>
      <c r="F123" s="7" t="s">
        <v>828</v>
      </c>
      <c r="G123" s="7" t="s">
        <v>121</v>
      </c>
      <c r="H123" s="7" t="s">
        <v>357</v>
      </c>
      <c r="I123" s="7" t="s">
        <v>1461</v>
      </c>
      <c r="J123" s="7" t="s">
        <v>1462</v>
      </c>
      <c r="K123" s="7">
        <v>1211077498</v>
      </c>
      <c r="L123" s="7"/>
      <c r="M123" s="7" t="s">
        <v>85</v>
      </c>
      <c r="N123" s="18">
        <v>46210</v>
      </c>
      <c r="O123" s="7" t="s">
        <v>573</v>
      </c>
      <c r="P123" s="13">
        <v>32</v>
      </c>
      <c r="Q123" s="12">
        <v>192000</v>
      </c>
      <c r="R123" s="7" t="s">
        <v>1371</v>
      </c>
    </row>
    <row r="124" spans="1:18">
      <c r="A124" s="7" t="s">
        <v>763</v>
      </c>
      <c r="B124" s="7" t="s">
        <v>764</v>
      </c>
      <c r="C124" s="7" t="s">
        <v>569</v>
      </c>
      <c r="D124" s="7" t="s">
        <v>600</v>
      </c>
      <c r="E124" s="7">
        <v>1219001017</v>
      </c>
      <c r="F124" s="7" t="s">
        <v>824</v>
      </c>
      <c r="G124" s="7" t="s">
        <v>350</v>
      </c>
      <c r="H124" s="7" t="s">
        <v>218</v>
      </c>
      <c r="I124" s="7" t="s">
        <v>1463</v>
      </c>
      <c r="J124" s="7" t="s">
        <v>1464</v>
      </c>
      <c r="K124" s="7">
        <v>1211077499</v>
      </c>
      <c r="L124" s="7"/>
      <c r="M124" s="7" t="s">
        <v>85</v>
      </c>
      <c r="N124" s="18">
        <v>46210</v>
      </c>
      <c r="O124" s="7" t="s">
        <v>573</v>
      </c>
      <c r="P124" s="13">
        <v>50</v>
      </c>
      <c r="Q124" s="12">
        <v>99900.1</v>
      </c>
      <c r="R124" s="7" t="s">
        <v>1371</v>
      </c>
    </row>
    <row r="125" spans="1:18">
      <c r="A125" s="7" t="s">
        <v>597</v>
      </c>
      <c r="B125" s="7" t="s">
        <v>598</v>
      </c>
      <c r="C125" s="7" t="s">
        <v>569</v>
      </c>
      <c r="D125" s="7" t="s">
        <v>658</v>
      </c>
      <c r="E125" s="7">
        <v>1219000799</v>
      </c>
      <c r="F125" s="7" t="s">
        <v>828</v>
      </c>
      <c r="G125" s="7" t="s">
        <v>360</v>
      </c>
      <c r="H125" s="7" t="s">
        <v>332</v>
      </c>
      <c r="I125" s="7" t="s">
        <v>1465</v>
      </c>
      <c r="J125" s="7" t="s">
        <v>1466</v>
      </c>
      <c r="K125" s="7">
        <v>1211077502</v>
      </c>
      <c r="L125" s="7"/>
      <c r="M125" s="7" t="s">
        <v>85</v>
      </c>
      <c r="N125" s="18">
        <v>46211</v>
      </c>
      <c r="O125" s="7" t="s">
        <v>573</v>
      </c>
      <c r="P125" s="13">
        <v>3000</v>
      </c>
      <c r="Q125" s="12">
        <v>134865.13</v>
      </c>
      <c r="R125" s="7" t="s">
        <v>1371</v>
      </c>
    </row>
    <row r="126" spans="1:18">
      <c r="A126" s="7" t="s">
        <v>726</v>
      </c>
      <c r="B126" s="7" t="s">
        <v>727</v>
      </c>
      <c r="C126" s="7" t="s">
        <v>569</v>
      </c>
      <c r="D126" s="7" t="s">
        <v>651</v>
      </c>
      <c r="E126" s="7">
        <v>1219000555</v>
      </c>
      <c r="F126" s="7" t="s">
        <v>828</v>
      </c>
      <c r="G126" s="7" t="s">
        <v>1320</v>
      </c>
      <c r="H126" s="7" t="s">
        <v>123</v>
      </c>
      <c r="I126" s="7" t="s">
        <v>1467</v>
      </c>
      <c r="J126" s="7" t="s">
        <v>1468</v>
      </c>
      <c r="K126" s="7">
        <v>1211077508</v>
      </c>
      <c r="L126" s="7"/>
      <c r="M126" s="7" t="s">
        <v>85</v>
      </c>
      <c r="N126" s="18">
        <v>46211</v>
      </c>
      <c r="O126" s="7" t="s">
        <v>573</v>
      </c>
      <c r="P126" s="13">
        <v>30</v>
      </c>
      <c r="Q126" s="12">
        <v>35303.68</v>
      </c>
      <c r="R126" s="7" t="s">
        <v>1371</v>
      </c>
    </row>
    <row r="127" spans="1:18">
      <c r="A127" s="7" t="s">
        <v>726</v>
      </c>
      <c r="B127" s="7" t="s">
        <v>727</v>
      </c>
      <c r="C127" s="7" t="s">
        <v>569</v>
      </c>
      <c r="D127" s="7" t="s">
        <v>669</v>
      </c>
      <c r="E127" s="7">
        <v>1219000558</v>
      </c>
      <c r="F127" s="7" t="s">
        <v>828</v>
      </c>
      <c r="G127" s="7" t="s">
        <v>1320</v>
      </c>
      <c r="H127" s="7" t="s">
        <v>124</v>
      </c>
      <c r="I127" s="7" t="s">
        <v>1467</v>
      </c>
      <c r="J127" s="7" t="s">
        <v>1468</v>
      </c>
      <c r="K127" s="7">
        <v>1211077508</v>
      </c>
      <c r="L127" s="7"/>
      <c r="M127" s="7" t="s">
        <v>85</v>
      </c>
      <c r="N127" s="18">
        <v>46211</v>
      </c>
      <c r="O127" s="7" t="s">
        <v>573</v>
      </c>
      <c r="P127" s="13">
        <v>35</v>
      </c>
      <c r="Q127" s="12">
        <v>41187.629999999997</v>
      </c>
      <c r="R127" s="7" t="s">
        <v>1371</v>
      </c>
    </row>
    <row r="128" spans="1:18">
      <c r="A128" s="7" t="s">
        <v>659</v>
      </c>
      <c r="B128" s="7" t="s">
        <v>660</v>
      </c>
      <c r="C128" s="7" t="s">
        <v>569</v>
      </c>
      <c r="D128" s="7" t="s">
        <v>658</v>
      </c>
      <c r="E128" s="7">
        <v>1219000799</v>
      </c>
      <c r="F128" s="7" t="s">
        <v>828</v>
      </c>
      <c r="G128" s="7" t="s">
        <v>360</v>
      </c>
      <c r="H128" s="7" t="s">
        <v>332</v>
      </c>
      <c r="I128" s="7" t="s">
        <v>1469</v>
      </c>
      <c r="J128" s="7" t="s">
        <v>1470</v>
      </c>
      <c r="K128" s="7">
        <v>1211077509</v>
      </c>
      <c r="L128" s="7"/>
      <c r="M128" s="7" t="s">
        <v>85</v>
      </c>
      <c r="N128" s="18">
        <v>46211</v>
      </c>
      <c r="O128" s="7" t="s">
        <v>573</v>
      </c>
      <c r="P128" s="13">
        <v>5000</v>
      </c>
      <c r="Q128" s="12">
        <v>239760.24</v>
      </c>
      <c r="R128" s="7" t="s">
        <v>1371</v>
      </c>
    </row>
    <row r="129" spans="1:18">
      <c r="A129" s="7" t="s">
        <v>1399</v>
      </c>
      <c r="B129" s="7" t="s">
        <v>1400</v>
      </c>
      <c r="C129" s="7" t="s">
        <v>569</v>
      </c>
      <c r="D129" s="7" t="s">
        <v>590</v>
      </c>
      <c r="E129" s="7">
        <v>1219000741</v>
      </c>
      <c r="F129" s="7" t="s">
        <v>1288</v>
      </c>
      <c r="G129" s="7" t="s">
        <v>591</v>
      </c>
      <c r="H129" s="7" t="s">
        <v>592</v>
      </c>
      <c r="I129" s="7" t="s">
        <v>1471</v>
      </c>
      <c r="J129" s="7" t="s">
        <v>1472</v>
      </c>
      <c r="K129" s="7">
        <v>1211077510</v>
      </c>
      <c r="L129" s="7"/>
      <c r="M129" s="7" t="s">
        <v>85</v>
      </c>
      <c r="N129" s="18">
        <v>46211</v>
      </c>
      <c r="O129" s="7" t="s">
        <v>573</v>
      </c>
      <c r="P129" s="13">
        <v>25000</v>
      </c>
      <c r="Q129" s="12">
        <v>524475.52</v>
      </c>
      <c r="R129" s="7" t="s">
        <v>1371</v>
      </c>
    </row>
    <row r="130" spans="1:18">
      <c r="A130" s="7" t="s">
        <v>748</v>
      </c>
      <c r="B130" s="7" t="s">
        <v>749</v>
      </c>
      <c r="C130" s="7" t="s">
        <v>569</v>
      </c>
      <c r="D130" s="7" t="s">
        <v>570</v>
      </c>
      <c r="E130" s="7">
        <v>1219000524</v>
      </c>
      <c r="F130" s="7" t="s">
        <v>828</v>
      </c>
      <c r="G130" s="7" t="s">
        <v>571</v>
      </c>
      <c r="H130" s="7" t="s">
        <v>572</v>
      </c>
      <c r="I130" s="7" t="s">
        <v>1473</v>
      </c>
      <c r="J130" s="7" t="s">
        <v>1474</v>
      </c>
      <c r="K130" s="7">
        <v>1211077511</v>
      </c>
      <c r="L130" s="7"/>
      <c r="M130" s="7" t="s">
        <v>85</v>
      </c>
      <c r="N130" s="18">
        <v>46211</v>
      </c>
      <c r="O130" s="7" t="s">
        <v>573</v>
      </c>
      <c r="P130" s="13">
        <v>500</v>
      </c>
      <c r="Q130" s="12">
        <v>8000</v>
      </c>
      <c r="R130" s="7" t="s">
        <v>1371</v>
      </c>
    </row>
    <row r="131" spans="1:18">
      <c r="A131" s="7" t="s">
        <v>680</v>
      </c>
      <c r="B131" s="7" t="s">
        <v>681</v>
      </c>
      <c r="C131" s="7" t="s">
        <v>569</v>
      </c>
      <c r="D131" s="7" t="s">
        <v>577</v>
      </c>
      <c r="E131" s="7">
        <v>1219000754</v>
      </c>
      <c r="F131" s="7" t="s">
        <v>824</v>
      </c>
      <c r="G131" s="7" t="s">
        <v>1411</v>
      </c>
      <c r="H131" s="7" t="s">
        <v>139</v>
      </c>
      <c r="I131" s="7" t="s">
        <v>1477</v>
      </c>
      <c r="J131" s="7" t="s">
        <v>1478</v>
      </c>
      <c r="K131" s="7">
        <v>1211077514</v>
      </c>
      <c r="L131" s="7"/>
      <c r="M131" s="7" t="s">
        <v>85</v>
      </c>
      <c r="N131" s="18">
        <v>46212</v>
      </c>
      <c r="O131" s="7" t="s">
        <v>573</v>
      </c>
      <c r="P131" s="13">
        <v>480</v>
      </c>
      <c r="Q131" s="12">
        <v>600000</v>
      </c>
      <c r="R131" s="7" t="s">
        <v>1371</v>
      </c>
    </row>
    <row r="132" spans="1:18">
      <c r="A132" s="7" t="s">
        <v>680</v>
      </c>
      <c r="B132" s="7" t="s">
        <v>681</v>
      </c>
      <c r="C132" s="7" t="s">
        <v>569</v>
      </c>
      <c r="D132" s="7" t="s">
        <v>706</v>
      </c>
      <c r="E132" s="7">
        <v>1219000752</v>
      </c>
      <c r="F132" s="7" t="s">
        <v>824</v>
      </c>
      <c r="G132" s="7" t="s">
        <v>747</v>
      </c>
      <c r="H132" s="7" t="s">
        <v>151</v>
      </c>
      <c r="I132" s="7" t="s">
        <v>1477</v>
      </c>
      <c r="J132" s="7" t="s">
        <v>1478</v>
      </c>
      <c r="K132" s="7">
        <v>1211077514</v>
      </c>
      <c r="L132" s="7"/>
      <c r="M132" s="7" t="s">
        <v>85</v>
      </c>
      <c r="N132" s="18">
        <v>46212</v>
      </c>
      <c r="O132" s="7" t="s">
        <v>573</v>
      </c>
      <c r="P132" s="13">
        <v>24</v>
      </c>
      <c r="Q132" s="12">
        <v>30000</v>
      </c>
      <c r="R132" s="7" t="s">
        <v>1371</v>
      </c>
    </row>
    <row r="133" spans="1:18">
      <c r="A133" s="7" t="s">
        <v>667</v>
      </c>
      <c r="B133" s="7" t="s">
        <v>668</v>
      </c>
      <c r="C133" s="7" t="s">
        <v>569</v>
      </c>
      <c r="D133" s="7" t="s">
        <v>548</v>
      </c>
      <c r="E133" s="7">
        <v>1219000668</v>
      </c>
      <c r="F133" s="7" t="s">
        <v>828</v>
      </c>
      <c r="G133" s="7" t="s">
        <v>685</v>
      </c>
      <c r="H133" s="7" t="s">
        <v>549</v>
      </c>
      <c r="I133" s="7" t="s">
        <v>1479</v>
      </c>
      <c r="J133" s="7" t="s">
        <v>1480</v>
      </c>
      <c r="K133" s="7">
        <v>1211077519</v>
      </c>
      <c r="L133" s="7"/>
      <c r="M133" s="7" t="s">
        <v>85</v>
      </c>
      <c r="N133" s="18">
        <v>46212</v>
      </c>
      <c r="O133" s="7" t="s">
        <v>573</v>
      </c>
      <c r="P133" s="13">
        <v>580</v>
      </c>
      <c r="Q133" s="12">
        <v>58000</v>
      </c>
      <c r="R133" s="7" t="s">
        <v>1371</v>
      </c>
    </row>
    <row r="134" spans="1:18">
      <c r="A134" s="7" t="s">
        <v>667</v>
      </c>
      <c r="B134" s="7" t="s">
        <v>668</v>
      </c>
      <c r="C134" s="7" t="s">
        <v>569</v>
      </c>
      <c r="D134" s="7" t="s">
        <v>553</v>
      </c>
      <c r="E134" s="7">
        <v>1219000669</v>
      </c>
      <c r="F134" s="7" t="s">
        <v>828</v>
      </c>
      <c r="G134" s="7" t="s">
        <v>686</v>
      </c>
      <c r="H134" s="7" t="s">
        <v>554</v>
      </c>
      <c r="I134" s="7" t="s">
        <v>1479</v>
      </c>
      <c r="J134" s="7" t="s">
        <v>1480</v>
      </c>
      <c r="K134" s="7">
        <v>1211077519</v>
      </c>
      <c r="L134" s="7"/>
      <c r="M134" s="7" t="s">
        <v>85</v>
      </c>
      <c r="N134" s="18">
        <v>46212</v>
      </c>
      <c r="O134" s="7" t="s">
        <v>573</v>
      </c>
      <c r="P134" s="13">
        <v>850</v>
      </c>
      <c r="Q134" s="12">
        <v>85000</v>
      </c>
      <c r="R134" s="7" t="s">
        <v>1371</v>
      </c>
    </row>
    <row r="135" spans="1:18">
      <c r="A135" s="7" t="s">
        <v>779</v>
      </c>
      <c r="B135" s="7" t="s">
        <v>780</v>
      </c>
      <c r="C135" s="7" t="s">
        <v>569</v>
      </c>
      <c r="D135" s="7" t="s">
        <v>570</v>
      </c>
      <c r="E135" s="7">
        <v>1219000524</v>
      </c>
      <c r="F135" s="7" t="s">
        <v>828</v>
      </c>
      <c r="G135" s="7" t="s">
        <v>571</v>
      </c>
      <c r="H135" s="7" t="s">
        <v>572</v>
      </c>
      <c r="I135" s="7" t="s">
        <v>1481</v>
      </c>
      <c r="J135" s="7" t="s">
        <v>1482</v>
      </c>
      <c r="K135" s="7">
        <v>1211077520</v>
      </c>
      <c r="L135" s="7"/>
      <c r="M135" s="7" t="s">
        <v>85</v>
      </c>
      <c r="N135" s="18">
        <v>46212</v>
      </c>
      <c r="O135" s="7" t="s">
        <v>573</v>
      </c>
      <c r="P135" s="13">
        <v>1000</v>
      </c>
      <c r="Q135" s="12">
        <v>15983.61</v>
      </c>
      <c r="R135" s="7" t="s">
        <v>1371</v>
      </c>
    </row>
    <row r="136" spans="1:18">
      <c r="A136" s="7" t="s">
        <v>779</v>
      </c>
      <c r="B136" s="7" t="s">
        <v>780</v>
      </c>
      <c r="C136" s="7" t="s">
        <v>569</v>
      </c>
      <c r="D136" s="7" t="s">
        <v>622</v>
      </c>
      <c r="E136" s="7">
        <v>1219000544</v>
      </c>
      <c r="F136" s="7" t="s">
        <v>828</v>
      </c>
      <c r="G136" s="7" t="s">
        <v>121</v>
      </c>
      <c r="H136" s="7" t="s">
        <v>424</v>
      </c>
      <c r="I136" s="7" t="s">
        <v>1481</v>
      </c>
      <c r="J136" s="7" t="s">
        <v>1482</v>
      </c>
      <c r="K136" s="7">
        <v>1211077520</v>
      </c>
      <c r="L136" s="7"/>
      <c r="M136" s="7" t="s">
        <v>85</v>
      </c>
      <c r="N136" s="18">
        <v>46212</v>
      </c>
      <c r="O136" s="7" t="s">
        <v>573</v>
      </c>
      <c r="P136" s="13">
        <v>8</v>
      </c>
      <c r="Q136" s="12">
        <v>38649.879999999997</v>
      </c>
      <c r="R136" s="7" t="s">
        <v>1371</v>
      </c>
    </row>
    <row r="137" spans="1:18">
      <c r="A137" s="7" t="s">
        <v>779</v>
      </c>
      <c r="B137" s="7" t="s">
        <v>780</v>
      </c>
      <c r="C137" s="7" t="s">
        <v>569</v>
      </c>
      <c r="D137" s="7" t="s">
        <v>599</v>
      </c>
      <c r="E137" s="7">
        <v>1219000546</v>
      </c>
      <c r="F137" s="7" t="s">
        <v>828</v>
      </c>
      <c r="G137" s="7" t="s">
        <v>121</v>
      </c>
      <c r="H137" s="7" t="s">
        <v>357</v>
      </c>
      <c r="I137" s="7" t="s">
        <v>1481</v>
      </c>
      <c r="J137" s="7" t="s">
        <v>1482</v>
      </c>
      <c r="K137" s="7">
        <v>1211077520</v>
      </c>
      <c r="L137" s="7"/>
      <c r="M137" s="7" t="s">
        <v>85</v>
      </c>
      <c r="N137" s="18">
        <v>46212</v>
      </c>
      <c r="O137" s="7" t="s">
        <v>573</v>
      </c>
      <c r="P137" s="13">
        <v>16</v>
      </c>
      <c r="Q137" s="12">
        <v>77299.75</v>
      </c>
      <c r="R137" s="7" t="s">
        <v>1371</v>
      </c>
    </row>
    <row r="138" spans="1:18">
      <c r="A138" s="7" t="s">
        <v>779</v>
      </c>
      <c r="B138" s="7" t="s">
        <v>780</v>
      </c>
      <c r="C138" s="7" t="s">
        <v>569</v>
      </c>
      <c r="D138" s="7" t="s">
        <v>765</v>
      </c>
      <c r="E138" s="7">
        <v>1219000572</v>
      </c>
      <c r="F138" s="7" t="s">
        <v>828</v>
      </c>
      <c r="G138" s="7" t="s">
        <v>766</v>
      </c>
      <c r="H138" s="7" t="s">
        <v>368</v>
      </c>
      <c r="I138" s="7" t="s">
        <v>1481</v>
      </c>
      <c r="J138" s="7" t="s">
        <v>1482</v>
      </c>
      <c r="K138" s="7">
        <v>1211077520</v>
      </c>
      <c r="L138" s="7"/>
      <c r="M138" s="7" t="s">
        <v>85</v>
      </c>
      <c r="N138" s="18">
        <v>46212</v>
      </c>
      <c r="O138" s="7" t="s">
        <v>573</v>
      </c>
      <c r="P138" s="13">
        <v>1000</v>
      </c>
      <c r="Q138" s="12">
        <v>69602.53</v>
      </c>
      <c r="R138" s="7" t="s">
        <v>1371</v>
      </c>
    </row>
    <row r="139" spans="1:18">
      <c r="A139" s="7" t="s">
        <v>779</v>
      </c>
      <c r="B139" s="7" t="s">
        <v>780</v>
      </c>
      <c r="C139" s="7" t="s">
        <v>569</v>
      </c>
      <c r="D139" s="7" t="s">
        <v>755</v>
      </c>
      <c r="E139" s="7">
        <v>1219000573</v>
      </c>
      <c r="F139" s="7" t="s">
        <v>828</v>
      </c>
      <c r="G139" s="7" t="s">
        <v>1405</v>
      </c>
      <c r="H139" s="7" t="s">
        <v>125</v>
      </c>
      <c r="I139" s="7" t="s">
        <v>1481</v>
      </c>
      <c r="J139" s="7" t="s">
        <v>1482</v>
      </c>
      <c r="K139" s="7">
        <v>1211077520</v>
      </c>
      <c r="L139" s="7"/>
      <c r="M139" s="7" t="s">
        <v>85</v>
      </c>
      <c r="N139" s="18">
        <v>46212</v>
      </c>
      <c r="O139" s="7" t="s">
        <v>573</v>
      </c>
      <c r="P139" s="13">
        <v>1000</v>
      </c>
      <c r="Q139" s="12">
        <v>69602.53</v>
      </c>
      <c r="R139" s="7" t="s">
        <v>1371</v>
      </c>
    </row>
    <row r="140" spans="1:18">
      <c r="A140" s="7" t="s">
        <v>779</v>
      </c>
      <c r="B140" s="7" t="s">
        <v>780</v>
      </c>
      <c r="C140" s="7" t="s">
        <v>569</v>
      </c>
      <c r="D140" s="7" t="s">
        <v>719</v>
      </c>
      <c r="E140" s="7">
        <v>1219000574</v>
      </c>
      <c r="F140" s="7" t="s">
        <v>828</v>
      </c>
      <c r="G140" s="7" t="s">
        <v>1307</v>
      </c>
      <c r="H140" s="7" t="s">
        <v>133</v>
      </c>
      <c r="I140" s="7" t="s">
        <v>1481</v>
      </c>
      <c r="J140" s="7" t="s">
        <v>1482</v>
      </c>
      <c r="K140" s="7">
        <v>1211077520</v>
      </c>
      <c r="L140" s="7"/>
      <c r="M140" s="7" t="s">
        <v>85</v>
      </c>
      <c r="N140" s="18">
        <v>46212</v>
      </c>
      <c r="O140" s="7" t="s">
        <v>573</v>
      </c>
      <c r="P140" s="13">
        <v>1000</v>
      </c>
      <c r="Q140" s="12">
        <v>75334.5</v>
      </c>
      <c r="R140" s="7" t="s">
        <v>1371</v>
      </c>
    </row>
    <row r="141" spans="1:18">
      <c r="A141" s="7" t="s">
        <v>742</v>
      </c>
      <c r="B141" s="7" t="s">
        <v>743</v>
      </c>
      <c r="C141" s="7" t="s">
        <v>569</v>
      </c>
      <c r="D141" s="7" t="s">
        <v>577</v>
      </c>
      <c r="E141" s="7">
        <v>1219000754</v>
      </c>
      <c r="F141" s="7" t="s">
        <v>824</v>
      </c>
      <c r="G141" s="7" t="s">
        <v>1411</v>
      </c>
      <c r="H141" s="7" t="s">
        <v>139</v>
      </c>
      <c r="I141" s="7" t="s">
        <v>1483</v>
      </c>
      <c r="J141" s="7" t="s">
        <v>1484</v>
      </c>
      <c r="K141" s="7">
        <v>1211077522</v>
      </c>
      <c r="L141" s="7"/>
      <c r="M141" s="7" t="s">
        <v>85</v>
      </c>
      <c r="N141" s="18">
        <v>46212</v>
      </c>
      <c r="O141" s="7" t="s">
        <v>573</v>
      </c>
      <c r="P141" s="13">
        <v>500</v>
      </c>
      <c r="Q141" s="12">
        <v>519480.52</v>
      </c>
      <c r="R141" s="7" t="s">
        <v>1371</v>
      </c>
    </row>
    <row r="142" spans="1:18">
      <c r="A142" s="7" t="s">
        <v>742</v>
      </c>
      <c r="B142" s="7" t="s">
        <v>743</v>
      </c>
      <c r="C142" s="7" t="s">
        <v>569</v>
      </c>
      <c r="D142" s="7" t="s">
        <v>614</v>
      </c>
      <c r="E142" s="7">
        <v>1219000833</v>
      </c>
      <c r="F142" s="7" t="s">
        <v>824</v>
      </c>
      <c r="G142" s="7" t="s">
        <v>167</v>
      </c>
      <c r="H142" s="7" t="s">
        <v>166</v>
      </c>
      <c r="I142" s="7" t="s">
        <v>1483</v>
      </c>
      <c r="J142" s="7" t="s">
        <v>1484</v>
      </c>
      <c r="K142" s="7">
        <v>1211077522</v>
      </c>
      <c r="L142" s="7"/>
      <c r="M142" s="7" t="s">
        <v>85</v>
      </c>
      <c r="N142" s="18">
        <v>46212</v>
      </c>
      <c r="O142" s="7" t="s">
        <v>573</v>
      </c>
      <c r="P142" s="13">
        <v>900</v>
      </c>
      <c r="Q142" s="12">
        <v>98901.1</v>
      </c>
      <c r="R142" s="7" t="s">
        <v>1371</v>
      </c>
    </row>
    <row r="143" spans="1:18">
      <c r="A143" s="7" t="s">
        <v>1396</v>
      </c>
      <c r="B143" s="7" t="s">
        <v>1397</v>
      </c>
      <c r="C143" s="7" t="s">
        <v>569</v>
      </c>
      <c r="D143" s="7" t="s">
        <v>651</v>
      </c>
      <c r="E143" s="7">
        <v>1219000555</v>
      </c>
      <c r="F143" s="7" t="s">
        <v>828</v>
      </c>
      <c r="G143" s="7" t="s">
        <v>1320</v>
      </c>
      <c r="H143" s="7" t="s">
        <v>123</v>
      </c>
      <c r="I143" s="7" t="s">
        <v>1485</v>
      </c>
      <c r="J143" s="7" t="s">
        <v>1486</v>
      </c>
      <c r="K143" s="7">
        <v>1211077523</v>
      </c>
      <c r="L143" s="7"/>
      <c r="M143" s="7" t="s">
        <v>85</v>
      </c>
      <c r="N143" s="18">
        <v>46212</v>
      </c>
      <c r="O143" s="7" t="s">
        <v>573</v>
      </c>
      <c r="P143" s="13">
        <v>3270</v>
      </c>
      <c r="Q143" s="12">
        <v>3756743.25</v>
      </c>
      <c r="R143" s="7" t="s">
        <v>1371</v>
      </c>
    </row>
    <row r="144" spans="1:18">
      <c r="A144" s="7" t="s">
        <v>1396</v>
      </c>
      <c r="B144" s="7" t="s">
        <v>1397</v>
      </c>
      <c r="C144" s="7" t="s">
        <v>569</v>
      </c>
      <c r="D144" s="7" t="s">
        <v>669</v>
      </c>
      <c r="E144" s="7">
        <v>1219000558</v>
      </c>
      <c r="F144" s="7" t="s">
        <v>828</v>
      </c>
      <c r="G144" s="7" t="s">
        <v>1320</v>
      </c>
      <c r="H144" s="7" t="s">
        <v>124</v>
      </c>
      <c r="I144" s="7" t="s">
        <v>1485</v>
      </c>
      <c r="J144" s="7" t="s">
        <v>1486</v>
      </c>
      <c r="K144" s="7">
        <v>1211077523</v>
      </c>
      <c r="L144" s="7"/>
      <c r="M144" s="7" t="s">
        <v>85</v>
      </c>
      <c r="N144" s="18">
        <v>46212</v>
      </c>
      <c r="O144" s="7" t="s">
        <v>573</v>
      </c>
      <c r="P144" s="13">
        <v>300</v>
      </c>
      <c r="Q144" s="12">
        <v>344655.35</v>
      </c>
      <c r="R144" s="7" t="s">
        <v>1371</v>
      </c>
    </row>
    <row r="145" spans="1:18">
      <c r="A145" s="7" t="s">
        <v>796</v>
      </c>
      <c r="B145" s="7" t="s">
        <v>797</v>
      </c>
      <c r="C145" s="7" t="s">
        <v>1487</v>
      </c>
      <c r="D145" s="7" t="s">
        <v>577</v>
      </c>
      <c r="E145" s="7">
        <v>1219000754</v>
      </c>
      <c r="F145" s="7" t="s">
        <v>824</v>
      </c>
      <c r="G145" s="7" t="s">
        <v>1411</v>
      </c>
      <c r="H145" s="7" t="s">
        <v>139</v>
      </c>
      <c r="I145" s="7" t="s">
        <v>1488</v>
      </c>
      <c r="J145" s="7" t="s">
        <v>1489</v>
      </c>
      <c r="K145" s="7">
        <v>1211077524</v>
      </c>
      <c r="L145" s="7"/>
      <c r="M145" s="7" t="s">
        <v>85</v>
      </c>
      <c r="N145" s="18">
        <v>46212</v>
      </c>
      <c r="O145" s="7" t="s">
        <v>573</v>
      </c>
      <c r="P145" s="13">
        <v>13800</v>
      </c>
      <c r="Q145" s="12">
        <v>15939000</v>
      </c>
      <c r="R145" s="7" t="s">
        <v>1371</v>
      </c>
    </row>
    <row r="146" spans="1:18">
      <c r="A146" s="7" t="s">
        <v>784</v>
      </c>
      <c r="B146" s="7" t="s">
        <v>785</v>
      </c>
      <c r="C146" s="7" t="s">
        <v>1487</v>
      </c>
      <c r="D146" s="7" t="s">
        <v>577</v>
      </c>
      <c r="E146" s="7">
        <v>1219000754</v>
      </c>
      <c r="F146" s="7" t="s">
        <v>824</v>
      </c>
      <c r="G146" s="7" t="s">
        <v>1411</v>
      </c>
      <c r="H146" s="7" t="s">
        <v>139</v>
      </c>
      <c r="I146" s="7" t="s">
        <v>1492</v>
      </c>
      <c r="J146" s="7" t="s">
        <v>1493</v>
      </c>
      <c r="K146" s="7">
        <v>1211077526</v>
      </c>
      <c r="L146" s="7"/>
      <c r="M146" s="7" t="s">
        <v>85</v>
      </c>
      <c r="N146" s="18">
        <v>46212</v>
      </c>
      <c r="O146" s="7" t="s">
        <v>573</v>
      </c>
      <c r="P146" s="13">
        <v>6000</v>
      </c>
      <c r="Q146" s="12">
        <v>6930000</v>
      </c>
      <c r="R146" s="7" t="s">
        <v>1371</v>
      </c>
    </row>
    <row r="147" spans="1:18">
      <c r="A147" s="7" t="s">
        <v>738</v>
      </c>
      <c r="B147" s="7" t="s">
        <v>739</v>
      </c>
      <c r="C147" s="7" t="s">
        <v>569</v>
      </c>
      <c r="D147" s="7" t="s">
        <v>600</v>
      </c>
      <c r="E147" s="7">
        <v>1219001017</v>
      </c>
      <c r="F147" s="7" t="s">
        <v>824</v>
      </c>
      <c r="G147" s="7" t="s">
        <v>350</v>
      </c>
      <c r="H147" s="7" t="s">
        <v>218</v>
      </c>
      <c r="I147" s="7" t="s">
        <v>1494</v>
      </c>
      <c r="J147" s="7" t="s">
        <v>1495</v>
      </c>
      <c r="K147" s="7">
        <v>1211077659</v>
      </c>
      <c r="L147" s="7"/>
      <c r="M147" s="7" t="s">
        <v>85</v>
      </c>
      <c r="N147" s="18">
        <v>46213</v>
      </c>
      <c r="O147" s="7" t="s">
        <v>573</v>
      </c>
      <c r="P147" s="13">
        <v>150</v>
      </c>
      <c r="Q147" s="12">
        <v>311838.15999999997</v>
      </c>
      <c r="R147" s="7" t="s">
        <v>1371</v>
      </c>
    </row>
    <row r="148" spans="1:18">
      <c r="A148" s="7" t="s">
        <v>713</v>
      </c>
      <c r="B148" s="7" t="s">
        <v>714</v>
      </c>
      <c r="C148" s="7" t="s">
        <v>569</v>
      </c>
      <c r="D148" s="7" t="s">
        <v>805</v>
      </c>
      <c r="E148" s="7">
        <v>1219000923</v>
      </c>
      <c r="F148" s="7" t="s">
        <v>828</v>
      </c>
      <c r="G148" s="7" t="s">
        <v>307</v>
      </c>
      <c r="H148" s="7" t="s">
        <v>322</v>
      </c>
      <c r="I148" s="7" t="s">
        <v>1496</v>
      </c>
      <c r="J148" s="7" t="s">
        <v>1497</v>
      </c>
      <c r="K148" s="7">
        <v>1211077660</v>
      </c>
      <c r="L148" s="7"/>
      <c r="M148" s="7" t="s">
        <v>85</v>
      </c>
      <c r="N148" s="18">
        <v>46213</v>
      </c>
      <c r="O148" s="7" t="s">
        <v>573</v>
      </c>
      <c r="P148" s="13">
        <v>4000</v>
      </c>
      <c r="Q148" s="12">
        <v>260000</v>
      </c>
      <c r="R148" s="7" t="s">
        <v>1371</v>
      </c>
    </row>
    <row r="149" spans="1:18">
      <c r="A149" s="7" t="s">
        <v>1297</v>
      </c>
      <c r="B149" s="7" t="s">
        <v>1298</v>
      </c>
      <c r="C149" s="7" t="s">
        <v>569</v>
      </c>
      <c r="D149" s="7" t="s">
        <v>540</v>
      </c>
      <c r="E149" s="7">
        <v>1219000666</v>
      </c>
      <c r="F149" s="7" t="s">
        <v>828</v>
      </c>
      <c r="G149" s="7" t="s">
        <v>735</v>
      </c>
      <c r="H149" s="7" t="s">
        <v>541</v>
      </c>
      <c r="I149" s="7" t="s">
        <v>1498</v>
      </c>
      <c r="J149" s="7" t="s">
        <v>1499</v>
      </c>
      <c r="K149" s="7">
        <v>1211077662</v>
      </c>
      <c r="L149" s="7"/>
      <c r="M149" s="7" t="s">
        <v>85</v>
      </c>
      <c r="N149" s="18">
        <v>46213</v>
      </c>
      <c r="O149" s="7" t="s">
        <v>573</v>
      </c>
      <c r="P149" s="13">
        <v>1000</v>
      </c>
      <c r="Q149" s="12">
        <v>53864.41</v>
      </c>
      <c r="R149" s="7" t="s">
        <v>1371</v>
      </c>
    </row>
    <row r="150" spans="1:18">
      <c r="A150" s="7" t="s">
        <v>676</v>
      </c>
      <c r="B150" s="7" t="s">
        <v>677</v>
      </c>
      <c r="C150" s="7" t="s">
        <v>569</v>
      </c>
      <c r="D150" s="7" t="s">
        <v>802</v>
      </c>
      <c r="E150" s="7">
        <v>1219000610</v>
      </c>
      <c r="F150" s="7" t="s">
        <v>824</v>
      </c>
      <c r="G150" s="7" t="s">
        <v>1299</v>
      </c>
      <c r="H150" s="7" t="s">
        <v>326</v>
      </c>
      <c r="I150" s="7" t="s">
        <v>1500</v>
      </c>
      <c r="J150" s="7" t="s">
        <v>1501</v>
      </c>
      <c r="K150" s="7">
        <v>1211077663</v>
      </c>
      <c r="L150" s="7"/>
      <c r="M150" s="7" t="s">
        <v>85</v>
      </c>
      <c r="N150" s="18">
        <v>46214</v>
      </c>
      <c r="O150" s="7" t="s">
        <v>573</v>
      </c>
      <c r="P150" s="13">
        <v>1008</v>
      </c>
      <c r="Q150" s="12">
        <v>483840</v>
      </c>
      <c r="R150" s="7" t="s">
        <v>1371</v>
      </c>
    </row>
    <row r="151" spans="1:18">
      <c r="A151" s="7" t="s">
        <v>676</v>
      </c>
      <c r="B151" s="7" t="s">
        <v>677</v>
      </c>
      <c r="C151" s="7" t="s">
        <v>569</v>
      </c>
      <c r="D151" s="7" t="s">
        <v>802</v>
      </c>
      <c r="E151" s="7">
        <v>1219000610</v>
      </c>
      <c r="F151" s="7" t="s">
        <v>824</v>
      </c>
      <c r="G151" s="7" t="s">
        <v>1502</v>
      </c>
      <c r="H151" s="7" t="s">
        <v>326</v>
      </c>
      <c r="I151" s="7" t="s">
        <v>1500</v>
      </c>
      <c r="J151" s="7" t="s">
        <v>1501</v>
      </c>
      <c r="K151" s="7">
        <v>1211077663</v>
      </c>
      <c r="L151" s="7"/>
      <c r="M151" s="7" t="s">
        <v>85</v>
      </c>
      <c r="N151" s="18">
        <v>46214</v>
      </c>
      <c r="O151" s="7" t="s">
        <v>573</v>
      </c>
      <c r="P151" s="13">
        <v>1492</v>
      </c>
      <c r="Q151" s="12">
        <v>716160</v>
      </c>
      <c r="R151" s="7" t="s">
        <v>1371</v>
      </c>
    </row>
    <row r="152" spans="1:18">
      <c r="A152" s="7" t="s">
        <v>676</v>
      </c>
      <c r="B152" s="7" t="s">
        <v>677</v>
      </c>
      <c r="C152" s="7" t="s">
        <v>569</v>
      </c>
      <c r="D152" s="7" t="s">
        <v>577</v>
      </c>
      <c r="E152" s="7">
        <v>1219000754</v>
      </c>
      <c r="F152" s="7" t="s">
        <v>824</v>
      </c>
      <c r="G152" s="7" t="s">
        <v>1411</v>
      </c>
      <c r="H152" s="7" t="s">
        <v>139</v>
      </c>
      <c r="I152" s="7" t="s">
        <v>1500</v>
      </c>
      <c r="J152" s="7" t="s">
        <v>1501</v>
      </c>
      <c r="K152" s="7">
        <v>1211077663</v>
      </c>
      <c r="L152" s="7"/>
      <c r="M152" s="7" t="s">
        <v>85</v>
      </c>
      <c r="N152" s="18">
        <v>46214</v>
      </c>
      <c r="O152" s="7" t="s">
        <v>573</v>
      </c>
      <c r="P152" s="13">
        <v>2200</v>
      </c>
      <c r="Q152" s="12">
        <v>2596000</v>
      </c>
      <c r="R152" s="7" t="s">
        <v>1371</v>
      </c>
    </row>
    <row r="153" spans="1:18">
      <c r="A153" s="7" t="s">
        <v>676</v>
      </c>
      <c r="B153" s="7" t="s">
        <v>677</v>
      </c>
      <c r="C153" s="7" t="s">
        <v>569</v>
      </c>
      <c r="D153" s="7" t="s">
        <v>579</v>
      </c>
      <c r="E153" s="7">
        <v>1219000832</v>
      </c>
      <c r="F153" s="7" t="s">
        <v>824</v>
      </c>
      <c r="G153" s="7" t="s">
        <v>164</v>
      </c>
      <c r="H153" s="7" t="s">
        <v>163</v>
      </c>
      <c r="I153" s="7" t="s">
        <v>1500</v>
      </c>
      <c r="J153" s="7" t="s">
        <v>1501</v>
      </c>
      <c r="K153" s="7">
        <v>1211077663</v>
      </c>
      <c r="L153" s="7"/>
      <c r="M153" s="7" t="s">
        <v>85</v>
      </c>
      <c r="N153" s="18">
        <v>46214</v>
      </c>
      <c r="O153" s="7" t="s">
        <v>573</v>
      </c>
      <c r="P153" s="13">
        <v>500</v>
      </c>
      <c r="Q153" s="12">
        <v>50000</v>
      </c>
      <c r="R153" s="7" t="s">
        <v>1371</v>
      </c>
    </row>
    <row r="154" spans="1:18">
      <c r="A154" s="7" t="s">
        <v>700</v>
      </c>
      <c r="B154" s="7" t="s">
        <v>701</v>
      </c>
      <c r="C154" s="7" t="s">
        <v>569</v>
      </c>
      <c r="D154" s="7" t="s">
        <v>577</v>
      </c>
      <c r="E154" s="7">
        <v>1219000754</v>
      </c>
      <c r="F154" s="7" t="s">
        <v>824</v>
      </c>
      <c r="G154" s="7" t="s">
        <v>1411</v>
      </c>
      <c r="H154" s="7" t="s">
        <v>139</v>
      </c>
      <c r="I154" s="7" t="s">
        <v>1503</v>
      </c>
      <c r="J154" s="7" t="s">
        <v>1504</v>
      </c>
      <c r="K154" s="7">
        <v>1211077664</v>
      </c>
      <c r="L154" s="7"/>
      <c r="M154" s="7" t="s">
        <v>85</v>
      </c>
      <c r="N154" s="18">
        <v>46214</v>
      </c>
      <c r="O154" s="7" t="s">
        <v>573</v>
      </c>
      <c r="P154" s="13">
        <v>1800</v>
      </c>
      <c r="Q154" s="12">
        <v>2088000</v>
      </c>
      <c r="R154" s="7" t="s">
        <v>1371</v>
      </c>
    </row>
    <row r="155" spans="1:18">
      <c r="A155" s="7" t="s">
        <v>700</v>
      </c>
      <c r="B155" s="7" t="s">
        <v>701</v>
      </c>
      <c r="C155" s="7" t="s">
        <v>569</v>
      </c>
      <c r="D155" s="7" t="s">
        <v>702</v>
      </c>
      <c r="E155" s="7">
        <v>1219000757</v>
      </c>
      <c r="F155" s="7" t="s">
        <v>824</v>
      </c>
      <c r="G155" s="7" t="s">
        <v>806</v>
      </c>
      <c r="H155" s="7" t="s">
        <v>703</v>
      </c>
      <c r="I155" s="7" t="s">
        <v>1503</v>
      </c>
      <c r="J155" s="7" t="s">
        <v>1504</v>
      </c>
      <c r="K155" s="7">
        <v>1211077664</v>
      </c>
      <c r="L155" s="7"/>
      <c r="M155" s="7" t="s">
        <v>85</v>
      </c>
      <c r="N155" s="18">
        <v>46214</v>
      </c>
      <c r="O155" s="7" t="s">
        <v>573</v>
      </c>
      <c r="P155" s="13">
        <v>1521</v>
      </c>
      <c r="Q155" s="12">
        <v>699659.11</v>
      </c>
      <c r="R155" s="7" t="s">
        <v>1371</v>
      </c>
    </row>
    <row r="156" spans="1:18">
      <c r="A156" s="7" t="s">
        <v>700</v>
      </c>
      <c r="B156" s="7" t="s">
        <v>701</v>
      </c>
      <c r="C156" s="7" t="s">
        <v>569</v>
      </c>
      <c r="D156" s="7" t="s">
        <v>616</v>
      </c>
      <c r="E156" s="7">
        <v>1219000831</v>
      </c>
      <c r="F156" s="7" t="s">
        <v>824</v>
      </c>
      <c r="G156" s="7" t="s">
        <v>160</v>
      </c>
      <c r="H156" s="7" t="s">
        <v>159</v>
      </c>
      <c r="I156" s="7" t="s">
        <v>1503</v>
      </c>
      <c r="J156" s="7" t="s">
        <v>1504</v>
      </c>
      <c r="K156" s="7">
        <v>1211077664</v>
      </c>
      <c r="L156" s="7"/>
      <c r="M156" s="7" t="s">
        <v>85</v>
      </c>
      <c r="N156" s="18">
        <v>46214</v>
      </c>
      <c r="O156" s="7" t="s">
        <v>573</v>
      </c>
      <c r="P156" s="13">
        <v>1200</v>
      </c>
      <c r="Q156" s="12">
        <v>138000</v>
      </c>
      <c r="R156" s="7" t="s">
        <v>1371</v>
      </c>
    </row>
    <row r="157" spans="1:18">
      <c r="A157" s="7" t="s">
        <v>659</v>
      </c>
      <c r="B157" s="7" t="s">
        <v>660</v>
      </c>
      <c r="C157" s="7" t="s">
        <v>569</v>
      </c>
      <c r="D157" s="7" t="s">
        <v>658</v>
      </c>
      <c r="E157" s="7">
        <v>1219000799</v>
      </c>
      <c r="F157" s="7" t="s">
        <v>828</v>
      </c>
      <c r="G157" s="7" t="s">
        <v>360</v>
      </c>
      <c r="H157" s="7" t="s">
        <v>332</v>
      </c>
      <c r="I157" s="7" t="s">
        <v>1505</v>
      </c>
      <c r="J157" s="7" t="s">
        <v>1506</v>
      </c>
      <c r="K157" s="7">
        <v>1211077667</v>
      </c>
      <c r="L157" s="7"/>
      <c r="M157" s="7" t="s">
        <v>85</v>
      </c>
      <c r="N157" s="18">
        <v>46216</v>
      </c>
      <c r="O157" s="7" t="s">
        <v>573</v>
      </c>
      <c r="P157" s="13">
        <v>10000</v>
      </c>
      <c r="Q157" s="12">
        <v>479520.48</v>
      </c>
      <c r="R157" s="7" t="s">
        <v>1371</v>
      </c>
    </row>
    <row r="158" spans="1:18">
      <c r="A158" s="7" t="s">
        <v>659</v>
      </c>
      <c r="B158" s="7" t="s">
        <v>660</v>
      </c>
      <c r="C158" s="7" t="s">
        <v>569</v>
      </c>
      <c r="D158" s="7" t="s">
        <v>658</v>
      </c>
      <c r="E158" s="7">
        <v>1219000799</v>
      </c>
      <c r="F158" s="7" t="s">
        <v>828</v>
      </c>
      <c r="G158" s="7" t="s">
        <v>360</v>
      </c>
      <c r="H158" s="7" t="s">
        <v>332</v>
      </c>
      <c r="I158" s="7" t="s">
        <v>1507</v>
      </c>
      <c r="J158" s="7" t="s">
        <v>1508</v>
      </c>
      <c r="K158" s="7">
        <v>1211077668</v>
      </c>
      <c r="L158" s="7"/>
      <c r="M158" s="7" t="s">
        <v>85</v>
      </c>
      <c r="N158" s="18">
        <v>46216</v>
      </c>
      <c r="O158" s="7" t="s">
        <v>573</v>
      </c>
      <c r="P158" s="13">
        <v>5000</v>
      </c>
      <c r="Q158" s="12">
        <v>239760.24</v>
      </c>
      <c r="R158" s="7" t="s">
        <v>1371</v>
      </c>
    </row>
    <row r="159" spans="1:18">
      <c r="A159" s="7" t="s">
        <v>733</v>
      </c>
      <c r="B159" s="7" t="s">
        <v>734</v>
      </c>
      <c r="C159" s="7" t="s">
        <v>569</v>
      </c>
      <c r="D159" s="7" t="s">
        <v>622</v>
      </c>
      <c r="E159" s="7">
        <v>1219000544</v>
      </c>
      <c r="F159" s="7" t="s">
        <v>828</v>
      </c>
      <c r="G159" s="7" t="s">
        <v>121</v>
      </c>
      <c r="H159" s="7" t="s">
        <v>424</v>
      </c>
      <c r="I159" s="7" t="s">
        <v>1509</v>
      </c>
      <c r="J159" s="7" t="s">
        <v>1510</v>
      </c>
      <c r="K159" s="7">
        <v>1211077673</v>
      </c>
      <c r="L159" s="7"/>
      <c r="M159" s="7" t="s">
        <v>85</v>
      </c>
      <c r="N159" s="18">
        <v>46216</v>
      </c>
      <c r="O159" s="7" t="s">
        <v>573</v>
      </c>
      <c r="P159" s="13">
        <v>24</v>
      </c>
      <c r="Q159" s="12">
        <v>132071.32</v>
      </c>
      <c r="R159" s="7" t="s">
        <v>1371</v>
      </c>
    </row>
    <row r="160" spans="1:18">
      <c r="A160" s="7" t="s">
        <v>733</v>
      </c>
      <c r="B160" s="7" t="s">
        <v>734</v>
      </c>
      <c r="C160" s="7" t="s">
        <v>569</v>
      </c>
      <c r="D160" s="7" t="s">
        <v>599</v>
      </c>
      <c r="E160" s="7">
        <v>1219000546</v>
      </c>
      <c r="F160" s="7" t="s">
        <v>828</v>
      </c>
      <c r="G160" s="7" t="s">
        <v>121</v>
      </c>
      <c r="H160" s="7" t="s">
        <v>357</v>
      </c>
      <c r="I160" s="7" t="s">
        <v>1509</v>
      </c>
      <c r="J160" s="7" t="s">
        <v>1510</v>
      </c>
      <c r="K160" s="7">
        <v>1211077673</v>
      </c>
      <c r="L160" s="7"/>
      <c r="M160" s="7" t="s">
        <v>85</v>
      </c>
      <c r="N160" s="18">
        <v>46216</v>
      </c>
      <c r="O160" s="7" t="s">
        <v>573</v>
      </c>
      <c r="P160" s="13">
        <v>32</v>
      </c>
      <c r="Q160" s="12">
        <v>176095.09</v>
      </c>
      <c r="R160" s="7" t="s">
        <v>1371</v>
      </c>
    </row>
    <row r="161" spans="1:18">
      <c r="A161" s="7" t="s">
        <v>733</v>
      </c>
      <c r="B161" s="7" t="s">
        <v>734</v>
      </c>
      <c r="C161" s="7" t="s">
        <v>569</v>
      </c>
      <c r="D161" s="7" t="s">
        <v>695</v>
      </c>
      <c r="E161" s="7">
        <v>1219000824</v>
      </c>
      <c r="F161" s="7" t="s">
        <v>828</v>
      </c>
      <c r="G161" s="7" t="s">
        <v>644</v>
      </c>
      <c r="H161" s="7" t="s">
        <v>696</v>
      </c>
      <c r="I161" s="7" t="s">
        <v>1509</v>
      </c>
      <c r="J161" s="7" t="s">
        <v>1510</v>
      </c>
      <c r="K161" s="7">
        <v>1211077673</v>
      </c>
      <c r="L161" s="7"/>
      <c r="M161" s="7" t="s">
        <v>85</v>
      </c>
      <c r="N161" s="18">
        <v>46216</v>
      </c>
      <c r="O161" s="7" t="s">
        <v>573</v>
      </c>
      <c r="P161" s="13">
        <v>6</v>
      </c>
      <c r="Q161" s="12">
        <v>20201.830000000002</v>
      </c>
      <c r="R161" s="7" t="s">
        <v>1371</v>
      </c>
    </row>
    <row r="162" spans="1:18">
      <c r="A162" s="7" t="s">
        <v>733</v>
      </c>
      <c r="B162" s="7" t="s">
        <v>734</v>
      </c>
      <c r="C162" s="7" t="s">
        <v>569</v>
      </c>
      <c r="D162" s="7" t="s">
        <v>643</v>
      </c>
      <c r="E162" s="7">
        <v>1219000825</v>
      </c>
      <c r="F162" s="7" t="s">
        <v>828</v>
      </c>
      <c r="G162" s="7" t="s">
        <v>675</v>
      </c>
      <c r="H162" s="7" t="s">
        <v>645</v>
      </c>
      <c r="I162" s="7" t="s">
        <v>1509</v>
      </c>
      <c r="J162" s="7" t="s">
        <v>1510</v>
      </c>
      <c r="K162" s="7">
        <v>1211077673</v>
      </c>
      <c r="L162" s="7"/>
      <c r="M162" s="7" t="s">
        <v>85</v>
      </c>
      <c r="N162" s="18">
        <v>46216</v>
      </c>
      <c r="O162" s="7" t="s">
        <v>573</v>
      </c>
      <c r="P162" s="13">
        <v>4</v>
      </c>
      <c r="Q162" s="12">
        <v>20338.98</v>
      </c>
      <c r="R162" s="7" t="s">
        <v>1371</v>
      </c>
    </row>
    <row r="163" spans="1:18">
      <c r="A163" s="7" t="s">
        <v>670</v>
      </c>
      <c r="B163" s="7" t="s">
        <v>671</v>
      </c>
      <c r="C163" s="7" t="s">
        <v>569</v>
      </c>
      <c r="D163" s="7" t="s">
        <v>658</v>
      </c>
      <c r="E163" s="7">
        <v>1219000799</v>
      </c>
      <c r="F163" s="7" t="s">
        <v>828</v>
      </c>
      <c r="G163" s="7" t="s">
        <v>360</v>
      </c>
      <c r="H163" s="7" t="s">
        <v>332</v>
      </c>
      <c r="I163" s="7" t="s">
        <v>1511</v>
      </c>
      <c r="J163" s="7" t="s">
        <v>1512</v>
      </c>
      <c r="K163" s="7">
        <v>1211077675</v>
      </c>
      <c r="L163" s="7"/>
      <c r="M163" s="7" t="s">
        <v>85</v>
      </c>
      <c r="N163" s="18">
        <v>46216</v>
      </c>
      <c r="O163" s="7" t="s">
        <v>573</v>
      </c>
      <c r="P163" s="13">
        <v>1000</v>
      </c>
      <c r="Q163" s="12">
        <v>50000</v>
      </c>
      <c r="R163" s="7" t="s">
        <v>1371</v>
      </c>
    </row>
    <row r="164" spans="1:18">
      <c r="A164" s="7" t="s">
        <v>789</v>
      </c>
      <c r="B164" s="7" t="s">
        <v>790</v>
      </c>
      <c r="C164" s="7" t="s">
        <v>569</v>
      </c>
      <c r="D164" s="7" t="s">
        <v>577</v>
      </c>
      <c r="E164" s="7">
        <v>1219000754</v>
      </c>
      <c r="F164" s="7" t="s">
        <v>824</v>
      </c>
      <c r="G164" s="7" t="s">
        <v>1411</v>
      </c>
      <c r="H164" s="7" t="s">
        <v>139</v>
      </c>
      <c r="I164" s="7" t="s">
        <v>1513</v>
      </c>
      <c r="J164" s="7" t="s">
        <v>1514</v>
      </c>
      <c r="K164" s="7">
        <v>1211077676</v>
      </c>
      <c r="L164" s="7"/>
      <c r="M164" s="7" t="s">
        <v>85</v>
      </c>
      <c r="N164" s="18">
        <v>46216</v>
      </c>
      <c r="O164" s="7" t="s">
        <v>573</v>
      </c>
      <c r="P164" s="13">
        <v>150</v>
      </c>
      <c r="Q164" s="12">
        <v>157342.66</v>
      </c>
      <c r="R164" s="7" t="s">
        <v>1371</v>
      </c>
    </row>
    <row r="165" spans="1:18">
      <c r="A165" s="7" t="s">
        <v>661</v>
      </c>
      <c r="B165" s="7" t="s">
        <v>662</v>
      </c>
      <c r="C165" s="7" t="s">
        <v>1487</v>
      </c>
      <c r="D165" s="7" t="s">
        <v>658</v>
      </c>
      <c r="E165" s="7">
        <v>1219000799</v>
      </c>
      <c r="F165" s="7" t="s">
        <v>828</v>
      </c>
      <c r="G165" s="7" t="s">
        <v>360</v>
      </c>
      <c r="H165" s="7" t="s">
        <v>332</v>
      </c>
      <c r="I165" s="7" t="s">
        <v>1515</v>
      </c>
      <c r="J165" s="7" t="s">
        <v>1516</v>
      </c>
      <c r="K165" s="7">
        <v>1211077678</v>
      </c>
      <c r="L165" s="7"/>
      <c r="M165" s="7" t="s">
        <v>85</v>
      </c>
      <c r="N165" s="18">
        <v>46216</v>
      </c>
      <c r="O165" s="7" t="s">
        <v>573</v>
      </c>
      <c r="P165" s="13">
        <v>2000</v>
      </c>
      <c r="Q165" s="12">
        <v>100000</v>
      </c>
      <c r="R165" s="7" t="s">
        <v>1371</v>
      </c>
    </row>
    <row r="166" spans="1:18">
      <c r="A166" s="7" t="s">
        <v>620</v>
      </c>
      <c r="B166" s="7" t="s">
        <v>621</v>
      </c>
      <c r="C166" s="7" t="s">
        <v>569</v>
      </c>
      <c r="D166" s="7" t="s">
        <v>622</v>
      </c>
      <c r="E166" s="7">
        <v>1219000544</v>
      </c>
      <c r="F166" s="7" t="s">
        <v>828</v>
      </c>
      <c r="G166" s="7" t="s">
        <v>121</v>
      </c>
      <c r="H166" s="7" t="s">
        <v>424</v>
      </c>
      <c r="I166" s="7" t="s">
        <v>1517</v>
      </c>
      <c r="J166" s="7" t="s">
        <v>1518</v>
      </c>
      <c r="K166" s="7">
        <v>1211077679</v>
      </c>
      <c r="L166" s="7"/>
      <c r="M166" s="7" t="s">
        <v>85</v>
      </c>
      <c r="N166" s="18">
        <v>46216</v>
      </c>
      <c r="O166" s="7" t="s">
        <v>573</v>
      </c>
      <c r="P166" s="13">
        <v>4</v>
      </c>
      <c r="Q166" s="12">
        <v>24000</v>
      </c>
      <c r="R166" s="7" t="s">
        <v>1371</v>
      </c>
    </row>
    <row r="167" spans="1:18">
      <c r="A167" s="7" t="s">
        <v>620</v>
      </c>
      <c r="B167" s="7" t="s">
        <v>621</v>
      </c>
      <c r="C167" s="7" t="s">
        <v>569</v>
      </c>
      <c r="D167" s="7" t="s">
        <v>599</v>
      </c>
      <c r="E167" s="7">
        <v>1219000546</v>
      </c>
      <c r="F167" s="7" t="s">
        <v>828</v>
      </c>
      <c r="G167" s="7" t="s">
        <v>121</v>
      </c>
      <c r="H167" s="7" t="s">
        <v>357</v>
      </c>
      <c r="I167" s="7" t="s">
        <v>1517</v>
      </c>
      <c r="J167" s="7" t="s">
        <v>1518</v>
      </c>
      <c r="K167" s="7">
        <v>1211077679</v>
      </c>
      <c r="L167" s="7"/>
      <c r="M167" s="7" t="s">
        <v>85</v>
      </c>
      <c r="N167" s="18">
        <v>46216</v>
      </c>
      <c r="O167" s="7" t="s">
        <v>573</v>
      </c>
      <c r="P167" s="13">
        <v>4</v>
      </c>
      <c r="Q167" s="12">
        <v>24000</v>
      </c>
      <c r="R167" s="7" t="s">
        <v>1371</v>
      </c>
    </row>
    <row r="168" spans="1:18">
      <c r="A168" s="7" t="s">
        <v>606</v>
      </c>
      <c r="B168" s="7" t="s">
        <v>607</v>
      </c>
      <c r="C168" s="7" t="s">
        <v>569</v>
      </c>
      <c r="D168" s="7" t="s">
        <v>623</v>
      </c>
      <c r="E168" s="7">
        <v>1219000547</v>
      </c>
      <c r="F168" s="7" t="s">
        <v>828</v>
      </c>
      <c r="G168" s="7" t="s">
        <v>819</v>
      </c>
      <c r="H168" s="7" t="s">
        <v>431</v>
      </c>
      <c r="I168" s="7" t="s">
        <v>1519</v>
      </c>
      <c r="J168" s="7" t="s">
        <v>1520</v>
      </c>
      <c r="K168" s="7">
        <v>1211077683</v>
      </c>
      <c r="L168" s="7"/>
      <c r="M168" s="7" t="s">
        <v>85</v>
      </c>
      <c r="N168" s="18">
        <v>46217</v>
      </c>
      <c r="O168" s="7" t="s">
        <v>573</v>
      </c>
      <c r="P168" s="13">
        <v>4</v>
      </c>
      <c r="Q168" s="12">
        <v>24000</v>
      </c>
      <c r="R168" s="7" t="s">
        <v>1371</v>
      </c>
    </row>
    <row r="169" spans="1:18">
      <c r="A169" s="7" t="s">
        <v>606</v>
      </c>
      <c r="B169" s="7" t="s">
        <v>607</v>
      </c>
      <c r="C169" s="7" t="s">
        <v>569</v>
      </c>
      <c r="D169" s="7" t="s">
        <v>623</v>
      </c>
      <c r="E169" s="7">
        <v>1219000547</v>
      </c>
      <c r="F169" s="7" t="s">
        <v>828</v>
      </c>
      <c r="G169" s="7" t="s">
        <v>624</v>
      </c>
      <c r="H169" s="7" t="s">
        <v>431</v>
      </c>
      <c r="I169" s="7" t="s">
        <v>1519</v>
      </c>
      <c r="J169" s="7" t="s">
        <v>1520</v>
      </c>
      <c r="K169" s="7">
        <v>1211077683</v>
      </c>
      <c r="L169" s="7"/>
      <c r="M169" s="7" t="s">
        <v>85</v>
      </c>
      <c r="N169" s="18">
        <v>46217</v>
      </c>
      <c r="O169" s="7" t="s">
        <v>573</v>
      </c>
      <c r="P169" s="13">
        <v>4</v>
      </c>
      <c r="Q169" s="12">
        <v>24000</v>
      </c>
      <c r="R169" s="7" t="s">
        <v>1371</v>
      </c>
    </row>
    <row r="170" spans="1:18">
      <c r="A170" s="7" t="s">
        <v>758</v>
      </c>
      <c r="B170" s="7" t="s">
        <v>759</v>
      </c>
      <c r="C170" s="7" t="s">
        <v>569</v>
      </c>
      <c r="D170" s="7" t="s">
        <v>577</v>
      </c>
      <c r="E170" s="7">
        <v>1219000754</v>
      </c>
      <c r="F170" s="7" t="s">
        <v>824</v>
      </c>
      <c r="G170" s="7" t="s">
        <v>1411</v>
      </c>
      <c r="H170" s="7" t="s">
        <v>139</v>
      </c>
      <c r="I170" s="7" t="s">
        <v>1521</v>
      </c>
      <c r="J170" s="7" t="s">
        <v>1522</v>
      </c>
      <c r="K170" s="7">
        <v>1211077685</v>
      </c>
      <c r="L170" s="7"/>
      <c r="M170" s="7" t="s">
        <v>85</v>
      </c>
      <c r="N170" s="18">
        <v>46217</v>
      </c>
      <c r="O170" s="7" t="s">
        <v>573</v>
      </c>
      <c r="P170" s="13">
        <v>300</v>
      </c>
      <c r="Q170" s="12">
        <v>292207.78999999998</v>
      </c>
      <c r="R170" s="7" t="s">
        <v>1371</v>
      </c>
    </row>
    <row r="171" spans="1:18">
      <c r="A171" s="7" t="s">
        <v>758</v>
      </c>
      <c r="B171" s="7" t="s">
        <v>759</v>
      </c>
      <c r="C171" s="7" t="s">
        <v>569</v>
      </c>
      <c r="D171" s="7" t="s">
        <v>706</v>
      </c>
      <c r="E171" s="7">
        <v>1219000752</v>
      </c>
      <c r="F171" s="7" t="s">
        <v>824</v>
      </c>
      <c r="G171" s="7" t="s">
        <v>747</v>
      </c>
      <c r="H171" s="7" t="s">
        <v>151</v>
      </c>
      <c r="I171" s="7" t="s">
        <v>1521</v>
      </c>
      <c r="J171" s="7" t="s">
        <v>1522</v>
      </c>
      <c r="K171" s="7">
        <v>1211077685</v>
      </c>
      <c r="L171" s="7"/>
      <c r="M171" s="7" t="s">
        <v>85</v>
      </c>
      <c r="N171" s="18">
        <v>46217</v>
      </c>
      <c r="O171" s="7" t="s">
        <v>573</v>
      </c>
      <c r="P171" s="13">
        <v>800</v>
      </c>
      <c r="Q171" s="12">
        <v>799200.8</v>
      </c>
      <c r="R171" s="7" t="s">
        <v>1371</v>
      </c>
    </row>
    <row r="172" spans="1:18">
      <c r="A172" s="7" t="s">
        <v>758</v>
      </c>
      <c r="B172" s="7" t="s">
        <v>759</v>
      </c>
      <c r="C172" s="7" t="s">
        <v>569</v>
      </c>
      <c r="D172" s="7" t="s">
        <v>603</v>
      </c>
      <c r="E172" s="7">
        <v>1219000758</v>
      </c>
      <c r="F172" s="7" t="s">
        <v>824</v>
      </c>
      <c r="G172" s="7" t="s">
        <v>145</v>
      </c>
      <c r="H172" s="7" t="s">
        <v>144</v>
      </c>
      <c r="I172" s="7" t="s">
        <v>1521</v>
      </c>
      <c r="J172" s="7" t="s">
        <v>1522</v>
      </c>
      <c r="K172" s="7">
        <v>1211077685</v>
      </c>
      <c r="L172" s="7"/>
      <c r="M172" s="7" t="s">
        <v>85</v>
      </c>
      <c r="N172" s="18">
        <v>46217</v>
      </c>
      <c r="O172" s="7" t="s">
        <v>573</v>
      </c>
      <c r="P172" s="13">
        <v>100</v>
      </c>
      <c r="Q172" s="12">
        <v>99900.1</v>
      </c>
      <c r="R172" s="7" t="s">
        <v>1371</v>
      </c>
    </row>
    <row r="173" spans="1:18">
      <c r="A173" s="7" t="s">
        <v>751</v>
      </c>
      <c r="B173" s="7" t="s">
        <v>752</v>
      </c>
      <c r="C173" s="7" t="s">
        <v>752</v>
      </c>
      <c r="D173" s="7" t="s">
        <v>600</v>
      </c>
      <c r="E173" s="7">
        <v>1219001017</v>
      </c>
      <c r="F173" s="7" t="s">
        <v>824</v>
      </c>
      <c r="G173" s="7" t="s">
        <v>349</v>
      </c>
      <c r="H173" s="7" t="s">
        <v>218</v>
      </c>
      <c r="I173" s="7" t="s">
        <v>1523</v>
      </c>
      <c r="J173" s="7" t="s">
        <v>1524</v>
      </c>
      <c r="K173" s="7">
        <v>1211077686</v>
      </c>
      <c r="L173" s="7"/>
      <c r="M173" s="7" t="s">
        <v>85</v>
      </c>
      <c r="N173" s="18">
        <v>46217</v>
      </c>
      <c r="O173" s="7" t="s">
        <v>573</v>
      </c>
      <c r="P173" s="13">
        <v>2768</v>
      </c>
      <c r="Q173" s="12">
        <v>5823872</v>
      </c>
      <c r="R173" s="7" t="s">
        <v>1371</v>
      </c>
    </row>
    <row r="174" spans="1:18">
      <c r="A174" s="7" t="s">
        <v>751</v>
      </c>
      <c r="B174" s="7" t="s">
        <v>752</v>
      </c>
      <c r="C174" s="7" t="s">
        <v>752</v>
      </c>
      <c r="D174" s="7" t="s">
        <v>600</v>
      </c>
      <c r="E174" s="7">
        <v>1219001017</v>
      </c>
      <c r="F174" s="7" t="s">
        <v>824</v>
      </c>
      <c r="G174" s="7" t="s">
        <v>347</v>
      </c>
      <c r="H174" s="7" t="s">
        <v>218</v>
      </c>
      <c r="I174" s="7" t="s">
        <v>1523</v>
      </c>
      <c r="J174" s="7" t="s">
        <v>1524</v>
      </c>
      <c r="K174" s="7">
        <v>1211077686</v>
      </c>
      <c r="L174" s="7"/>
      <c r="M174" s="7" t="s">
        <v>85</v>
      </c>
      <c r="N174" s="18">
        <v>46217</v>
      </c>
      <c r="O174" s="7" t="s">
        <v>573</v>
      </c>
      <c r="P174" s="13">
        <v>2872</v>
      </c>
      <c r="Q174" s="12">
        <v>6042688</v>
      </c>
      <c r="R174" s="7" t="s">
        <v>1371</v>
      </c>
    </row>
    <row r="175" spans="1:18">
      <c r="A175" s="7" t="s">
        <v>807</v>
      </c>
      <c r="B175" s="7" t="s">
        <v>808</v>
      </c>
      <c r="C175" s="7" t="s">
        <v>569</v>
      </c>
      <c r="D175" s="7" t="s">
        <v>658</v>
      </c>
      <c r="E175" s="7">
        <v>1219000799</v>
      </c>
      <c r="F175" s="7" t="s">
        <v>828</v>
      </c>
      <c r="G175" s="7" t="s">
        <v>360</v>
      </c>
      <c r="H175" s="7" t="s">
        <v>332</v>
      </c>
      <c r="I175" s="7" t="s">
        <v>1525</v>
      </c>
      <c r="J175" s="7" t="s">
        <v>1526</v>
      </c>
      <c r="K175" s="7">
        <v>1211077937</v>
      </c>
      <c r="L175" s="7"/>
      <c r="M175" s="7" t="s">
        <v>85</v>
      </c>
      <c r="N175" s="18">
        <v>46218</v>
      </c>
      <c r="O175" s="7" t="s">
        <v>573</v>
      </c>
      <c r="P175" s="13">
        <v>30000</v>
      </c>
      <c r="Q175" s="12">
        <v>1462500</v>
      </c>
      <c r="R175" s="7" t="s">
        <v>1371</v>
      </c>
    </row>
    <row r="176" spans="1:18">
      <c r="A176" s="7" t="s">
        <v>683</v>
      </c>
      <c r="B176" s="7" t="s">
        <v>684</v>
      </c>
      <c r="C176" s="7" t="s">
        <v>569</v>
      </c>
      <c r="D176" s="7" t="s">
        <v>599</v>
      </c>
      <c r="E176" s="7">
        <v>1219000546</v>
      </c>
      <c r="F176" s="7" t="s">
        <v>828</v>
      </c>
      <c r="G176" s="7" t="s">
        <v>121</v>
      </c>
      <c r="H176" s="7" t="s">
        <v>357</v>
      </c>
      <c r="I176" s="7" t="s">
        <v>1527</v>
      </c>
      <c r="J176" s="7" t="s">
        <v>1528</v>
      </c>
      <c r="K176" s="7">
        <v>1211077938</v>
      </c>
      <c r="L176" s="7"/>
      <c r="M176" s="7" t="s">
        <v>85</v>
      </c>
      <c r="N176" s="18">
        <v>46218</v>
      </c>
      <c r="O176" s="7" t="s">
        <v>573</v>
      </c>
      <c r="P176" s="13">
        <v>14</v>
      </c>
      <c r="Q176" s="12">
        <v>77000</v>
      </c>
      <c r="R176" s="7" t="s">
        <v>1371</v>
      </c>
    </row>
    <row r="177" spans="1:18">
      <c r="A177" s="7" t="s">
        <v>683</v>
      </c>
      <c r="B177" s="7" t="s">
        <v>684</v>
      </c>
      <c r="C177" s="7" t="s">
        <v>569</v>
      </c>
      <c r="D177" s="7" t="s">
        <v>665</v>
      </c>
      <c r="E177" s="7">
        <v>1219000551</v>
      </c>
      <c r="F177" s="7" t="s">
        <v>828</v>
      </c>
      <c r="G177" s="7" t="s">
        <v>121</v>
      </c>
      <c r="H177" s="7" t="s">
        <v>120</v>
      </c>
      <c r="I177" s="7" t="s">
        <v>1527</v>
      </c>
      <c r="J177" s="7" t="s">
        <v>1528</v>
      </c>
      <c r="K177" s="7">
        <v>1211077938</v>
      </c>
      <c r="L177" s="7"/>
      <c r="M177" s="7" t="s">
        <v>85</v>
      </c>
      <c r="N177" s="18">
        <v>46218</v>
      </c>
      <c r="O177" s="7" t="s">
        <v>573</v>
      </c>
      <c r="P177" s="13">
        <v>2</v>
      </c>
      <c r="Q177" s="12">
        <v>11000</v>
      </c>
      <c r="R177" s="7" t="s">
        <v>1371</v>
      </c>
    </row>
    <row r="178" spans="1:18">
      <c r="A178" s="7" t="s">
        <v>717</v>
      </c>
      <c r="B178" s="7" t="s">
        <v>718</v>
      </c>
      <c r="C178" s="7" t="s">
        <v>1487</v>
      </c>
      <c r="D178" s="7" t="s">
        <v>756</v>
      </c>
      <c r="E178" s="7">
        <v>1219000578</v>
      </c>
      <c r="F178" s="7" t="s">
        <v>828</v>
      </c>
      <c r="G178" s="7" t="s">
        <v>757</v>
      </c>
      <c r="H178" s="7" t="s">
        <v>406</v>
      </c>
      <c r="I178" s="7" t="s">
        <v>1529</v>
      </c>
      <c r="J178" s="7" t="s">
        <v>1530</v>
      </c>
      <c r="K178" s="7">
        <v>1211077962</v>
      </c>
      <c r="L178" s="7"/>
      <c r="M178" s="7" t="s">
        <v>85</v>
      </c>
      <c r="N178" s="18">
        <v>46219</v>
      </c>
      <c r="O178" s="7" t="s">
        <v>573</v>
      </c>
      <c r="P178" s="13">
        <v>27</v>
      </c>
      <c r="Q178" s="12">
        <v>2565</v>
      </c>
      <c r="R178" s="7" t="s">
        <v>1371</v>
      </c>
    </row>
    <row r="179" spans="1:18">
      <c r="A179" s="7" t="s">
        <v>717</v>
      </c>
      <c r="B179" s="7" t="s">
        <v>718</v>
      </c>
      <c r="C179" s="7" t="s">
        <v>1487</v>
      </c>
      <c r="D179" s="7" t="s">
        <v>756</v>
      </c>
      <c r="E179" s="7">
        <v>1219000578</v>
      </c>
      <c r="F179" s="7" t="s">
        <v>828</v>
      </c>
      <c r="G179" s="7" t="s">
        <v>782</v>
      </c>
      <c r="H179" s="7" t="s">
        <v>406</v>
      </c>
      <c r="I179" s="7" t="s">
        <v>1529</v>
      </c>
      <c r="J179" s="7" t="s">
        <v>1530</v>
      </c>
      <c r="K179" s="7">
        <v>1211077962</v>
      </c>
      <c r="L179" s="7"/>
      <c r="M179" s="7" t="s">
        <v>85</v>
      </c>
      <c r="N179" s="18">
        <v>46219</v>
      </c>
      <c r="O179" s="7" t="s">
        <v>573</v>
      </c>
      <c r="P179" s="13">
        <v>1000</v>
      </c>
      <c r="Q179" s="12">
        <v>95000</v>
      </c>
      <c r="R179" s="7" t="s">
        <v>1371</v>
      </c>
    </row>
    <row r="180" spans="1:18">
      <c r="A180" s="7" t="s">
        <v>717</v>
      </c>
      <c r="B180" s="7" t="s">
        <v>718</v>
      </c>
      <c r="C180" s="7" t="s">
        <v>1487</v>
      </c>
      <c r="D180" s="7" t="s">
        <v>756</v>
      </c>
      <c r="E180" s="7">
        <v>1219000578</v>
      </c>
      <c r="F180" s="7" t="s">
        <v>828</v>
      </c>
      <c r="G180" s="7" t="s">
        <v>804</v>
      </c>
      <c r="H180" s="7" t="s">
        <v>406</v>
      </c>
      <c r="I180" s="7" t="s">
        <v>1529</v>
      </c>
      <c r="J180" s="7" t="s">
        <v>1530</v>
      </c>
      <c r="K180" s="7">
        <v>1211077962</v>
      </c>
      <c r="L180" s="7"/>
      <c r="M180" s="7" t="s">
        <v>85</v>
      </c>
      <c r="N180" s="18">
        <v>46219</v>
      </c>
      <c r="O180" s="7" t="s">
        <v>573</v>
      </c>
      <c r="P180" s="13">
        <v>13973</v>
      </c>
      <c r="Q180" s="12">
        <v>1327435</v>
      </c>
      <c r="R180" s="7" t="s">
        <v>1371</v>
      </c>
    </row>
    <row r="181" spans="1:18">
      <c r="A181" s="7" t="s">
        <v>717</v>
      </c>
      <c r="B181" s="7" t="s">
        <v>718</v>
      </c>
      <c r="C181" s="7" t="s">
        <v>1487</v>
      </c>
      <c r="D181" s="7" t="s">
        <v>673</v>
      </c>
      <c r="E181" s="7">
        <v>1219000579</v>
      </c>
      <c r="F181" s="7" t="s">
        <v>828</v>
      </c>
      <c r="G181" s="7" t="s">
        <v>813</v>
      </c>
      <c r="H181" s="7" t="s">
        <v>410</v>
      </c>
      <c r="I181" s="7" t="s">
        <v>1529</v>
      </c>
      <c r="J181" s="7" t="s">
        <v>1530</v>
      </c>
      <c r="K181" s="7">
        <v>1211077962</v>
      </c>
      <c r="L181" s="7"/>
      <c r="M181" s="7" t="s">
        <v>85</v>
      </c>
      <c r="N181" s="18">
        <v>46219</v>
      </c>
      <c r="O181" s="7" t="s">
        <v>573</v>
      </c>
      <c r="P181" s="13">
        <v>15000</v>
      </c>
      <c r="Q181" s="12">
        <v>1425000</v>
      </c>
      <c r="R181" s="7" t="s">
        <v>1371</v>
      </c>
    </row>
    <row r="182" spans="1:18">
      <c r="A182" s="7" t="s">
        <v>717</v>
      </c>
      <c r="B182" s="7" t="s">
        <v>718</v>
      </c>
      <c r="C182" s="7" t="s">
        <v>1487</v>
      </c>
      <c r="D182" s="7" t="s">
        <v>720</v>
      </c>
      <c r="E182" s="7">
        <v>1219000580</v>
      </c>
      <c r="F182" s="7" t="s">
        <v>828</v>
      </c>
      <c r="G182" s="7" t="s">
        <v>823</v>
      </c>
      <c r="H182" s="7" t="s">
        <v>301</v>
      </c>
      <c r="I182" s="7" t="s">
        <v>1529</v>
      </c>
      <c r="J182" s="7" t="s">
        <v>1530</v>
      </c>
      <c r="K182" s="7">
        <v>1211077962</v>
      </c>
      <c r="L182" s="7"/>
      <c r="M182" s="7" t="s">
        <v>85</v>
      </c>
      <c r="N182" s="18">
        <v>46219</v>
      </c>
      <c r="O182" s="7" t="s">
        <v>573</v>
      </c>
      <c r="P182" s="13">
        <v>493</v>
      </c>
      <c r="Q182" s="12">
        <v>61625</v>
      </c>
      <c r="R182" s="7" t="s">
        <v>1371</v>
      </c>
    </row>
    <row r="183" spans="1:18">
      <c r="A183" s="7" t="s">
        <v>717</v>
      </c>
      <c r="B183" s="7" t="s">
        <v>718</v>
      </c>
      <c r="C183" s="7" t="s">
        <v>1487</v>
      </c>
      <c r="D183" s="7" t="s">
        <v>720</v>
      </c>
      <c r="E183" s="7">
        <v>1219000580</v>
      </c>
      <c r="F183" s="7" t="s">
        <v>828</v>
      </c>
      <c r="G183" s="7" t="s">
        <v>721</v>
      </c>
      <c r="H183" s="7" t="s">
        <v>301</v>
      </c>
      <c r="I183" s="7" t="s">
        <v>1529</v>
      </c>
      <c r="J183" s="7" t="s">
        <v>1530</v>
      </c>
      <c r="K183" s="7">
        <v>1211077962</v>
      </c>
      <c r="L183" s="7"/>
      <c r="M183" s="7" t="s">
        <v>85</v>
      </c>
      <c r="N183" s="18">
        <v>46219</v>
      </c>
      <c r="O183" s="7" t="s">
        <v>573</v>
      </c>
      <c r="P183" s="13">
        <v>92</v>
      </c>
      <c r="Q183" s="12">
        <v>11500</v>
      </c>
      <c r="R183" s="7" t="s">
        <v>1371</v>
      </c>
    </row>
    <row r="184" spans="1:18">
      <c r="A184" s="7" t="s">
        <v>717</v>
      </c>
      <c r="B184" s="7" t="s">
        <v>718</v>
      </c>
      <c r="C184" s="7" t="s">
        <v>1487</v>
      </c>
      <c r="D184" s="7" t="s">
        <v>720</v>
      </c>
      <c r="E184" s="7">
        <v>1219000580</v>
      </c>
      <c r="F184" s="7" t="s">
        <v>828</v>
      </c>
      <c r="G184" s="7" t="s">
        <v>302</v>
      </c>
      <c r="H184" s="7" t="s">
        <v>301</v>
      </c>
      <c r="I184" s="7" t="s">
        <v>1529</v>
      </c>
      <c r="J184" s="7" t="s">
        <v>1530</v>
      </c>
      <c r="K184" s="7">
        <v>1211077962</v>
      </c>
      <c r="L184" s="7"/>
      <c r="M184" s="7" t="s">
        <v>85</v>
      </c>
      <c r="N184" s="18">
        <v>46219</v>
      </c>
      <c r="O184" s="7" t="s">
        <v>573</v>
      </c>
      <c r="P184" s="13">
        <v>14415</v>
      </c>
      <c r="Q184" s="12">
        <v>1801875</v>
      </c>
      <c r="R184" s="7" t="s">
        <v>1371</v>
      </c>
    </row>
    <row r="185" spans="1:18">
      <c r="A185" s="7" t="s">
        <v>1399</v>
      </c>
      <c r="B185" s="7" t="s">
        <v>1400</v>
      </c>
      <c r="C185" s="7" t="s">
        <v>569</v>
      </c>
      <c r="D185" s="7" t="s">
        <v>588</v>
      </c>
      <c r="E185" s="7">
        <v>1219000600</v>
      </c>
      <c r="F185" s="7" t="s">
        <v>1288</v>
      </c>
      <c r="G185" s="7" t="s">
        <v>822</v>
      </c>
      <c r="H185" s="7" t="s">
        <v>589</v>
      </c>
      <c r="I185" s="7" t="s">
        <v>1537</v>
      </c>
      <c r="J185" s="7" t="s">
        <v>1538</v>
      </c>
      <c r="K185" s="7">
        <v>1211077964</v>
      </c>
      <c r="L185" s="7"/>
      <c r="M185" s="7" t="s">
        <v>85</v>
      </c>
      <c r="N185" s="18">
        <v>46219</v>
      </c>
      <c r="O185" s="7" t="s">
        <v>573</v>
      </c>
      <c r="P185" s="13">
        <v>10000</v>
      </c>
      <c r="Q185" s="12">
        <v>319680.32</v>
      </c>
      <c r="R185" s="7" t="s">
        <v>1371</v>
      </c>
    </row>
    <row r="186" spans="1:18">
      <c r="A186" s="7" t="s">
        <v>1401</v>
      </c>
      <c r="B186" s="7" t="s">
        <v>1402</v>
      </c>
      <c r="C186" s="7" t="s">
        <v>569</v>
      </c>
      <c r="D186" s="7" t="s">
        <v>622</v>
      </c>
      <c r="E186" s="7">
        <v>1219000544</v>
      </c>
      <c r="F186" s="7" t="s">
        <v>828</v>
      </c>
      <c r="G186" s="7" t="s">
        <v>121</v>
      </c>
      <c r="H186" s="7" t="s">
        <v>424</v>
      </c>
      <c r="I186" s="7" t="s">
        <v>1539</v>
      </c>
      <c r="J186" s="7" t="s">
        <v>1540</v>
      </c>
      <c r="K186" s="7">
        <v>1211077966</v>
      </c>
      <c r="L186" s="7"/>
      <c r="M186" s="7" t="s">
        <v>85</v>
      </c>
      <c r="N186" s="18">
        <v>46219</v>
      </c>
      <c r="O186" s="7" t="s">
        <v>573</v>
      </c>
      <c r="P186" s="13">
        <v>10</v>
      </c>
      <c r="Q186" s="12">
        <v>60000</v>
      </c>
      <c r="R186" s="7" t="s">
        <v>1371</v>
      </c>
    </row>
    <row r="187" spans="1:18">
      <c r="A187" s="7" t="s">
        <v>1401</v>
      </c>
      <c r="B187" s="7" t="s">
        <v>1402</v>
      </c>
      <c r="C187" s="7" t="s">
        <v>569</v>
      </c>
      <c r="D187" s="7" t="s">
        <v>665</v>
      </c>
      <c r="E187" s="7">
        <v>1219000551</v>
      </c>
      <c r="F187" s="7" t="s">
        <v>828</v>
      </c>
      <c r="G187" s="7" t="s">
        <v>121</v>
      </c>
      <c r="H187" s="7" t="s">
        <v>120</v>
      </c>
      <c r="I187" s="7" t="s">
        <v>1541</v>
      </c>
      <c r="J187" s="7" t="s">
        <v>1542</v>
      </c>
      <c r="K187" s="7">
        <v>1211077967</v>
      </c>
      <c r="L187" s="7"/>
      <c r="M187" s="7" t="s">
        <v>85</v>
      </c>
      <c r="N187" s="18">
        <v>46219</v>
      </c>
      <c r="O187" s="7" t="s">
        <v>573</v>
      </c>
      <c r="P187" s="13">
        <v>2</v>
      </c>
      <c r="Q187" s="12">
        <v>12000</v>
      </c>
      <c r="R187" s="7" t="s">
        <v>1371</v>
      </c>
    </row>
    <row r="188" spans="1:18">
      <c r="A188" s="7" t="s">
        <v>646</v>
      </c>
      <c r="B188" s="7" t="s">
        <v>647</v>
      </c>
      <c r="C188" s="7" t="s">
        <v>569</v>
      </c>
      <c r="D188" s="7" t="s">
        <v>802</v>
      </c>
      <c r="E188" s="7">
        <v>1219000610</v>
      </c>
      <c r="F188" s="7" t="s">
        <v>824</v>
      </c>
      <c r="G188" s="7" t="s">
        <v>1502</v>
      </c>
      <c r="H188" s="7" t="s">
        <v>326</v>
      </c>
      <c r="I188" s="7" t="s">
        <v>1543</v>
      </c>
      <c r="J188" s="7" t="s">
        <v>1544</v>
      </c>
      <c r="K188" s="7">
        <v>1211077968</v>
      </c>
      <c r="L188" s="7"/>
      <c r="M188" s="7" t="s">
        <v>85</v>
      </c>
      <c r="N188" s="18">
        <v>46220</v>
      </c>
      <c r="O188" s="7" t="s">
        <v>573</v>
      </c>
      <c r="P188" s="13">
        <v>288</v>
      </c>
      <c r="Q188" s="12">
        <v>126593.41</v>
      </c>
      <c r="R188" s="7" t="s">
        <v>1371</v>
      </c>
    </row>
    <row r="189" spans="1:18">
      <c r="A189" s="7" t="s">
        <v>646</v>
      </c>
      <c r="B189" s="7" t="s">
        <v>647</v>
      </c>
      <c r="C189" s="7" t="s">
        <v>569</v>
      </c>
      <c r="D189" s="7" t="s">
        <v>603</v>
      </c>
      <c r="E189" s="7">
        <v>1219000758</v>
      </c>
      <c r="F189" s="7" t="s">
        <v>824</v>
      </c>
      <c r="G189" s="7" t="s">
        <v>145</v>
      </c>
      <c r="H189" s="7" t="s">
        <v>144</v>
      </c>
      <c r="I189" s="7" t="s">
        <v>1543</v>
      </c>
      <c r="J189" s="7" t="s">
        <v>1544</v>
      </c>
      <c r="K189" s="7">
        <v>1211077968</v>
      </c>
      <c r="L189" s="7"/>
      <c r="M189" s="7" t="s">
        <v>85</v>
      </c>
      <c r="N189" s="18">
        <v>46220</v>
      </c>
      <c r="O189" s="7" t="s">
        <v>573</v>
      </c>
      <c r="P189" s="13">
        <v>288</v>
      </c>
      <c r="Q189" s="12">
        <v>330869.13</v>
      </c>
      <c r="R189" s="7" t="s">
        <v>1371</v>
      </c>
    </row>
    <row r="190" spans="1:18">
      <c r="A190" s="7" t="s">
        <v>601</v>
      </c>
      <c r="B190" s="7" t="s">
        <v>602</v>
      </c>
      <c r="C190" s="7" t="s">
        <v>569</v>
      </c>
      <c r="D190" s="7" t="s">
        <v>658</v>
      </c>
      <c r="E190" s="7">
        <v>1219000799</v>
      </c>
      <c r="F190" s="7" t="s">
        <v>828</v>
      </c>
      <c r="G190" s="7" t="s">
        <v>360</v>
      </c>
      <c r="H190" s="7" t="s">
        <v>332</v>
      </c>
      <c r="I190" s="7" t="s">
        <v>1545</v>
      </c>
      <c r="J190" s="7" t="s">
        <v>1546</v>
      </c>
      <c r="K190" s="7">
        <v>1211077969</v>
      </c>
      <c r="L190" s="7"/>
      <c r="M190" s="7" t="s">
        <v>85</v>
      </c>
      <c r="N190" s="18">
        <v>46220</v>
      </c>
      <c r="O190" s="7" t="s">
        <v>573</v>
      </c>
      <c r="P190" s="13">
        <v>3000</v>
      </c>
      <c r="Q190" s="12">
        <v>174000</v>
      </c>
      <c r="R190" s="7" t="s">
        <v>1371</v>
      </c>
    </row>
    <row r="191" spans="1:18">
      <c r="A191" s="7" t="s">
        <v>580</v>
      </c>
      <c r="B191" s="7" t="s">
        <v>1547</v>
      </c>
      <c r="C191" s="7" t="s">
        <v>569</v>
      </c>
      <c r="D191" s="7" t="s">
        <v>582</v>
      </c>
      <c r="E191" s="7">
        <v>1219000780</v>
      </c>
      <c r="F191" s="7" t="s">
        <v>1288</v>
      </c>
      <c r="G191" s="7" t="s">
        <v>269</v>
      </c>
      <c r="H191" s="7" t="s">
        <v>115</v>
      </c>
      <c r="I191" s="7" t="s">
        <v>1548</v>
      </c>
      <c r="J191" s="7" t="s">
        <v>1549</v>
      </c>
      <c r="K191" s="7">
        <v>1211077970</v>
      </c>
      <c r="L191" s="7"/>
      <c r="M191" s="7" t="s">
        <v>85</v>
      </c>
      <c r="N191" s="18">
        <v>46220</v>
      </c>
      <c r="O191" s="7" t="s">
        <v>573</v>
      </c>
      <c r="P191" s="13">
        <v>1000</v>
      </c>
      <c r="Q191" s="12">
        <v>600000</v>
      </c>
      <c r="R191" s="7" t="s">
        <v>1371</v>
      </c>
    </row>
    <row r="192" spans="1:18">
      <c r="A192" s="7" t="s">
        <v>1550</v>
      </c>
      <c r="B192" s="7" t="s">
        <v>1551</v>
      </c>
      <c r="C192" s="7" t="s">
        <v>569</v>
      </c>
      <c r="D192" s="7" t="s">
        <v>600</v>
      </c>
      <c r="E192" s="7">
        <v>1219001017</v>
      </c>
      <c r="F192" s="7" t="s">
        <v>824</v>
      </c>
      <c r="G192" s="7" t="s">
        <v>350</v>
      </c>
      <c r="H192" s="7" t="s">
        <v>218</v>
      </c>
      <c r="I192" s="7" t="s">
        <v>1552</v>
      </c>
      <c r="J192" s="7" t="s">
        <v>1553</v>
      </c>
      <c r="K192" s="7">
        <v>1211077971</v>
      </c>
      <c r="L192" s="7"/>
      <c r="M192" s="7" t="s">
        <v>85</v>
      </c>
      <c r="N192" s="18">
        <v>46220</v>
      </c>
      <c r="O192" s="7" t="s">
        <v>573</v>
      </c>
      <c r="P192" s="13">
        <v>117</v>
      </c>
      <c r="Q192" s="12">
        <v>251298.7</v>
      </c>
      <c r="R192" s="7" t="s">
        <v>1371</v>
      </c>
    </row>
    <row r="193" spans="1:18">
      <c r="A193" s="7" t="s">
        <v>1550</v>
      </c>
      <c r="B193" s="7" t="s">
        <v>1551</v>
      </c>
      <c r="C193" s="7" t="s">
        <v>569</v>
      </c>
      <c r="D193" s="7" t="s">
        <v>634</v>
      </c>
      <c r="E193" s="7">
        <v>1013000882</v>
      </c>
      <c r="F193" s="7" t="s">
        <v>824</v>
      </c>
      <c r="G193" s="7" t="s">
        <v>327</v>
      </c>
      <c r="H193" s="7" t="s">
        <v>226</v>
      </c>
      <c r="I193" s="7" t="s">
        <v>1554</v>
      </c>
      <c r="J193" s="7" t="s">
        <v>1555</v>
      </c>
      <c r="K193" s="7">
        <v>1211077972</v>
      </c>
      <c r="L193" s="7"/>
      <c r="M193" s="7" t="s">
        <v>85</v>
      </c>
      <c r="N193" s="18">
        <v>46220</v>
      </c>
      <c r="O193" s="7" t="s">
        <v>573</v>
      </c>
      <c r="P193" s="13">
        <v>170</v>
      </c>
      <c r="Q193" s="12">
        <v>33830.85</v>
      </c>
      <c r="R193" s="7" t="s">
        <v>1371</v>
      </c>
    </row>
    <row r="194" spans="1:18">
      <c r="A194" s="7" t="s">
        <v>1550</v>
      </c>
      <c r="B194" s="7" t="s">
        <v>1551</v>
      </c>
      <c r="C194" s="7" t="s">
        <v>569</v>
      </c>
      <c r="D194" s="7" t="s">
        <v>641</v>
      </c>
      <c r="E194" s="7">
        <v>1219001002</v>
      </c>
      <c r="F194" s="7" t="s">
        <v>824</v>
      </c>
      <c r="G194" s="7" t="s">
        <v>1345</v>
      </c>
      <c r="H194" s="7" t="s">
        <v>187</v>
      </c>
      <c r="I194" s="7" t="s">
        <v>1554</v>
      </c>
      <c r="J194" s="7" t="s">
        <v>1555</v>
      </c>
      <c r="K194" s="7">
        <v>1211077972</v>
      </c>
      <c r="L194" s="7"/>
      <c r="M194" s="7" t="s">
        <v>85</v>
      </c>
      <c r="N194" s="18">
        <v>46220</v>
      </c>
      <c r="O194" s="7" t="s">
        <v>573</v>
      </c>
      <c r="P194" s="13">
        <v>170</v>
      </c>
      <c r="Q194" s="12">
        <v>50746.27</v>
      </c>
      <c r="R194" s="7" t="s">
        <v>1371</v>
      </c>
    </row>
    <row r="195" spans="1:18">
      <c r="A195" s="7" t="s">
        <v>610</v>
      </c>
      <c r="B195" s="7" t="s">
        <v>611</v>
      </c>
      <c r="C195" s="7" t="s">
        <v>569</v>
      </c>
      <c r="D195" s="7" t="s">
        <v>582</v>
      </c>
      <c r="E195" s="7">
        <v>1219000780</v>
      </c>
      <c r="F195" s="7" t="s">
        <v>1288</v>
      </c>
      <c r="G195" s="7" t="s">
        <v>269</v>
      </c>
      <c r="H195" s="7" t="s">
        <v>115</v>
      </c>
      <c r="I195" s="7" t="s">
        <v>1556</v>
      </c>
      <c r="J195" s="7" t="s">
        <v>1557</v>
      </c>
      <c r="K195" s="7">
        <v>1211077974</v>
      </c>
      <c r="L195" s="7"/>
      <c r="M195" s="7" t="s">
        <v>85</v>
      </c>
      <c r="N195" s="18">
        <v>46220</v>
      </c>
      <c r="O195" s="7" t="s">
        <v>573</v>
      </c>
      <c r="P195" s="13">
        <v>1000</v>
      </c>
      <c r="Q195" s="12">
        <v>639360.64</v>
      </c>
      <c r="R195" s="7" t="s">
        <v>1371</v>
      </c>
    </row>
    <row r="196" spans="1:18">
      <c r="A196" s="7" t="s">
        <v>606</v>
      </c>
      <c r="B196" s="7" t="s">
        <v>607</v>
      </c>
      <c r="C196" s="7" t="s">
        <v>569</v>
      </c>
      <c r="D196" s="7" t="s">
        <v>678</v>
      </c>
      <c r="E196" s="7">
        <v>1219000826</v>
      </c>
      <c r="F196" s="7" t="s">
        <v>828</v>
      </c>
      <c r="G196" s="7" t="s">
        <v>675</v>
      </c>
      <c r="H196" s="7" t="s">
        <v>679</v>
      </c>
      <c r="I196" s="7" t="s">
        <v>1558</v>
      </c>
      <c r="J196" s="7" t="s">
        <v>1559</v>
      </c>
      <c r="K196" s="7">
        <v>1211077977</v>
      </c>
      <c r="L196" s="7"/>
      <c r="M196" s="7" t="s">
        <v>85</v>
      </c>
      <c r="N196" s="18">
        <v>46223</v>
      </c>
      <c r="O196" s="7" t="s">
        <v>573</v>
      </c>
      <c r="P196" s="13">
        <v>10</v>
      </c>
      <c r="Q196" s="12">
        <v>63000</v>
      </c>
      <c r="R196" s="7" t="s">
        <v>1371</v>
      </c>
    </row>
    <row r="197" spans="1:18">
      <c r="A197" s="7" t="s">
        <v>793</v>
      </c>
      <c r="B197" s="7" t="s">
        <v>794</v>
      </c>
      <c r="C197" s="7" t="s">
        <v>569</v>
      </c>
      <c r="D197" s="7" t="s">
        <v>590</v>
      </c>
      <c r="E197" s="7">
        <v>1219000741</v>
      </c>
      <c r="F197" s="7" t="s">
        <v>1288</v>
      </c>
      <c r="G197" s="7" t="s">
        <v>591</v>
      </c>
      <c r="H197" s="7" t="s">
        <v>592</v>
      </c>
      <c r="I197" s="7" t="s">
        <v>1560</v>
      </c>
      <c r="J197" s="7" t="s">
        <v>1561</v>
      </c>
      <c r="K197" s="7">
        <v>1211077983</v>
      </c>
      <c r="L197" s="7"/>
      <c r="M197" s="7" t="s">
        <v>85</v>
      </c>
      <c r="N197" s="18">
        <v>46223</v>
      </c>
      <c r="O197" s="7" t="s">
        <v>573</v>
      </c>
      <c r="P197" s="13">
        <v>11000</v>
      </c>
      <c r="Q197" s="12">
        <v>230769.23</v>
      </c>
      <c r="R197" s="7" t="s">
        <v>1371</v>
      </c>
    </row>
    <row r="198" spans="1:18">
      <c r="A198" s="7" t="s">
        <v>777</v>
      </c>
      <c r="B198" s="7" t="s">
        <v>778</v>
      </c>
      <c r="C198" s="7" t="s">
        <v>569</v>
      </c>
      <c r="D198" s="7" t="s">
        <v>1562</v>
      </c>
      <c r="E198" s="7">
        <v>1219000585</v>
      </c>
      <c r="F198" s="7" t="s">
        <v>828</v>
      </c>
      <c r="G198" s="7" t="s">
        <v>1563</v>
      </c>
      <c r="H198" s="7" t="s">
        <v>1564</v>
      </c>
      <c r="I198" s="7" t="s">
        <v>1565</v>
      </c>
      <c r="J198" s="7" t="s">
        <v>1566</v>
      </c>
      <c r="K198" s="7">
        <v>1211078307</v>
      </c>
      <c r="L198" s="7"/>
      <c r="M198" s="7" t="s">
        <v>85</v>
      </c>
      <c r="N198" s="18">
        <v>46224</v>
      </c>
      <c r="O198" s="7" t="s">
        <v>573</v>
      </c>
      <c r="P198" s="13">
        <v>99600</v>
      </c>
      <c r="Q198" s="12">
        <v>2587012.9900000002</v>
      </c>
      <c r="R198" s="7" t="s">
        <v>1371</v>
      </c>
    </row>
    <row r="199" spans="1:18">
      <c r="A199" s="7" t="s">
        <v>653</v>
      </c>
      <c r="B199" s="7" t="s">
        <v>654</v>
      </c>
      <c r="C199" s="7" t="s">
        <v>569</v>
      </c>
      <c r="D199" s="7" t="s">
        <v>802</v>
      </c>
      <c r="E199" s="7">
        <v>1219000610</v>
      </c>
      <c r="F199" s="7" t="s">
        <v>824</v>
      </c>
      <c r="G199" s="7" t="s">
        <v>1502</v>
      </c>
      <c r="H199" s="7" t="s">
        <v>326</v>
      </c>
      <c r="I199" s="7" t="s">
        <v>1567</v>
      </c>
      <c r="J199" s="7" t="s">
        <v>1568</v>
      </c>
      <c r="K199" s="7">
        <v>1211078323</v>
      </c>
      <c r="L199" s="7"/>
      <c r="M199" s="7" t="s">
        <v>85</v>
      </c>
      <c r="N199" s="18">
        <v>46225</v>
      </c>
      <c r="O199" s="7" t="s">
        <v>573</v>
      </c>
      <c r="P199" s="13">
        <v>192</v>
      </c>
      <c r="Q199" s="12">
        <v>92067.93</v>
      </c>
      <c r="R199" s="7" t="s">
        <v>1371</v>
      </c>
    </row>
    <row r="200" spans="1:18">
      <c r="A200" s="7" t="s">
        <v>653</v>
      </c>
      <c r="B200" s="7" t="s">
        <v>654</v>
      </c>
      <c r="C200" s="7" t="s">
        <v>569</v>
      </c>
      <c r="D200" s="7" t="s">
        <v>577</v>
      </c>
      <c r="E200" s="7">
        <v>1219000754</v>
      </c>
      <c r="F200" s="7" t="s">
        <v>824</v>
      </c>
      <c r="G200" s="7" t="s">
        <v>1411</v>
      </c>
      <c r="H200" s="7" t="s">
        <v>139</v>
      </c>
      <c r="I200" s="7" t="s">
        <v>1567</v>
      </c>
      <c r="J200" s="7" t="s">
        <v>1568</v>
      </c>
      <c r="K200" s="7">
        <v>1211078323</v>
      </c>
      <c r="L200" s="7"/>
      <c r="M200" s="7" t="s">
        <v>85</v>
      </c>
      <c r="N200" s="18">
        <v>46225</v>
      </c>
      <c r="O200" s="7" t="s">
        <v>573</v>
      </c>
      <c r="P200" s="13">
        <v>192</v>
      </c>
      <c r="Q200" s="12">
        <v>205234.77</v>
      </c>
      <c r="R200" s="7" t="s">
        <v>1371</v>
      </c>
    </row>
    <row r="201" spans="1:18">
      <c r="A201" s="7" t="s">
        <v>653</v>
      </c>
      <c r="B201" s="7" t="s">
        <v>654</v>
      </c>
      <c r="C201" s="7" t="s">
        <v>569</v>
      </c>
      <c r="D201" s="7" t="s">
        <v>579</v>
      </c>
      <c r="E201" s="7">
        <v>1219000832</v>
      </c>
      <c r="F201" s="7" t="s">
        <v>824</v>
      </c>
      <c r="G201" s="7" t="s">
        <v>164</v>
      </c>
      <c r="H201" s="7" t="s">
        <v>163</v>
      </c>
      <c r="I201" s="7" t="s">
        <v>1567</v>
      </c>
      <c r="J201" s="7" t="s">
        <v>1568</v>
      </c>
      <c r="K201" s="7">
        <v>1211078323</v>
      </c>
      <c r="L201" s="7"/>
      <c r="M201" s="7" t="s">
        <v>85</v>
      </c>
      <c r="N201" s="18">
        <v>46225</v>
      </c>
      <c r="O201" s="7" t="s">
        <v>573</v>
      </c>
      <c r="P201" s="13">
        <v>192</v>
      </c>
      <c r="Q201" s="12">
        <v>23016.98</v>
      </c>
      <c r="R201" s="7" t="s">
        <v>1371</v>
      </c>
    </row>
    <row r="202" spans="1:18">
      <c r="A202" s="7" t="s">
        <v>593</v>
      </c>
      <c r="B202" s="7" t="s">
        <v>594</v>
      </c>
      <c r="C202" s="7" t="s">
        <v>569</v>
      </c>
      <c r="D202" s="7" t="s">
        <v>600</v>
      </c>
      <c r="E202" s="7">
        <v>1219001017</v>
      </c>
      <c r="F202" s="7" t="s">
        <v>824</v>
      </c>
      <c r="G202" s="7" t="s">
        <v>350</v>
      </c>
      <c r="H202" s="7" t="s">
        <v>218</v>
      </c>
      <c r="I202" s="7" t="s">
        <v>1569</v>
      </c>
      <c r="J202" s="7" t="s">
        <v>1570</v>
      </c>
      <c r="K202" s="7">
        <v>1211078325</v>
      </c>
      <c r="L202" s="7"/>
      <c r="M202" s="7" t="s">
        <v>85</v>
      </c>
      <c r="N202" s="18">
        <v>46225</v>
      </c>
      <c r="O202" s="7" t="s">
        <v>573</v>
      </c>
      <c r="P202" s="13">
        <v>198</v>
      </c>
      <c r="Q202" s="12">
        <v>395604.4</v>
      </c>
      <c r="R202" s="7" t="s">
        <v>1371</v>
      </c>
    </row>
    <row r="203" spans="1:18">
      <c r="A203" s="7" t="s">
        <v>593</v>
      </c>
      <c r="B203" s="7" t="s">
        <v>594</v>
      </c>
      <c r="C203" s="7" t="s">
        <v>569</v>
      </c>
      <c r="D203" s="7" t="s">
        <v>600</v>
      </c>
      <c r="E203" s="7">
        <v>1219001017</v>
      </c>
      <c r="F203" s="7" t="s">
        <v>824</v>
      </c>
      <c r="G203" s="7" t="s">
        <v>348</v>
      </c>
      <c r="H203" s="7" t="s">
        <v>218</v>
      </c>
      <c r="I203" s="7" t="s">
        <v>1569</v>
      </c>
      <c r="J203" s="7" t="s">
        <v>1570</v>
      </c>
      <c r="K203" s="7">
        <v>1211078325</v>
      </c>
      <c r="L203" s="7"/>
      <c r="M203" s="7" t="s">
        <v>85</v>
      </c>
      <c r="N203" s="18">
        <v>46225</v>
      </c>
      <c r="O203" s="7" t="s">
        <v>573</v>
      </c>
      <c r="P203" s="13">
        <v>36</v>
      </c>
      <c r="Q203" s="12">
        <v>71928.070000000007</v>
      </c>
      <c r="R203" s="7" t="s">
        <v>1371</v>
      </c>
    </row>
    <row r="204" spans="1:18">
      <c r="A204" s="7" t="s">
        <v>758</v>
      </c>
      <c r="B204" s="7" t="s">
        <v>759</v>
      </c>
      <c r="C204" s="7" t="s">
        <v>569</v>
      </c>
      <c r="D204" s="7" t="s">
        <v>600</v>
      </c>
      <c r="E204" s="7">
        <v>1219001017</v>
      </c>
      <c r="F204" s="7" t="s">
        <v>824</v>
      </c>
      <c r="G204" s="7" t="s">
        <v>348</v>
      </c>
      <c r="H204" s="7" t="s">
        <v>218</v>
      </c>
      <c r="I204" s="7" t="s">
        <v>1571</v>
      </c>
      <c r="J204" s="7" t="s">
        <v>1572</v>
      </c>
      <c r="K204" s="7">
        <v>1211078338</v>
      </c>
      <c r="L204" s="7"/>
      <c r="M204" s="7" t="s">
        <v>85</v>
      </c>
      <c r="N204" s="18">
        <v>46225</v>
      </c>
      <c r="O204" s="7" t="s">
        <v>573</v>
      </c>
      <c r="P204" s="13">
        <v>234</v>
      </c>
      <c r="Q204" s="12">
        <v>485064.94</v>
      </c>
      <c r="R204" s="7" t="s">
        <v>1371</v>
      </c>
    </row>
    <row r="205" spans="1:18">
      <c r="A205" s="7" t="s">
        <v>604</v>
      </c>
      <c r="B205" s="7" t="s">
        <v>605</v>
      </c>
      <c r="C205" s="7" t="s">
        <v>569</v>
      </c>
      <c r="D205" s="7" t="s">
        <v>802</v>
      </c>
      <c r="E205" s="7">
        <v>1219000610</v>
      </c>
      <c r="F205" s="7" t="s">
        <v>824</v>
      </c>
      <c r="G205" s="7" t="s">
        <v>1502</v>
      </c>
      <c r="H205" s="7" t="s">
        <v>326</v>
      </c>
      <c r="I205" s="7" t="s">
        <v>1573</v>
      </c>
      <c r="J205" s="7" t="s">
        <v>1574</v>
      </c>
      <c r="K205" s="7">
        <v>1211078339</v>
      </c>
      <c r="L205" s="7"/>
      <c r="M205" s="7" t="s">
        <v>85</v>
      </c>
      <c r="N205" s="18">
        <v>46225</v>
      </c>
      <c r="O205" s="7" t="s">
        <v>573</v>
      </c>
      <c r="P205" s="13">
        <v>24</v>
      </c>
      <c r="Q205" s="12">
        <v>10560</v>
      </c>
      <c r="R205" s="7" t="s">
        <v>1371</v>
      </c>
    </row>
    <row r="206" spans="1:18">
      <c r="A206" s="7" t="s">
        <v>604</v>
      </c>
      <c r="B206" s="7" t="s">
        <v>605</v>
      </c>
      <c r="C206" s="7" t="s">
        <v>569</v>
      </c>
      <c r="D206" s="7" t="s">
        <v>577</v>
      </c>
      <c r="E206" s="7">
        <v>1219000754</v>
      </c>
      <c r="F206" s="7" t="s">
        <v>824</v>
      </c>
      <c r="G206" s="7" t="s">
        <v>1411</v>
      </c>
      <c r="H206" s="7" t="s">
        <v>139</v>
      </c>
      <c r="I206" s="7" t="s">
        <v>1573</v>
      </c>
      <c r="J206" s="7" t="s">
        <v>1574</v>
      </c>
      <c r="K206" s="7">
        <v>1211078339</v>
      </c>
      <c r="L206" s="7"/>
      <c r="M206" s="7" t="s">
        <v>85</v>
      </c>
      <c r="N206" s="18">
        <v>46225</v>
      </c>
      <c r="O206" s="7" t="s">
        <v>573</v>
      </c>
      <c r="P206" s="13">
        <v>24</v>
      </c>
      <c r="Q206" s="12">
        <v>26400</v>
      </c>
      <c r="R206" s="7" t="s">
        <v>1371</v>
      </c>
    </row>
    <row r="207" spans="1:18">
      <c r="A207" s="7" t="s">
        <v>625</v>
      </c>
      <c r="B207" s="7" t="s">
        <v>626</v>
      </c>
      <c r="C207" s="7" t="s">
        <v>569</v>
      </c>
      <c r="D207" s="7" t="s">
        <v>600</v>
      </c>
      <c r="E207" s="7">
        <v>1219001017</v>
      </c>
      <c r="F207" s="7" t="s">
        <v>824</v>
      </c>
      <c r="G207" s="7" t="s">
        <v>348</v>
      </c>
      <c r="H207" s="7" t="s">
        <v>218</v>
      </c>
      <c r="I207" s="7" t="s">
        <v>1575</v>
      </c>
      <c r="J207" s="7" t="s">
        <v>1576</v>
      </c>
      <c r="K207" s="7">
        <v>1211078354</v>
      </c>
      <c r="L207" s="7"/>
      <c r="M207" s="7" t="s">
        <v>85</v>
      </c>
      <c r="N207" s="18">
        <v>46226</v>
      </c>
      <c r="O207" s="7" t="s">
        <v>573</v>
      </c>
      <c r="P207" s="13">
        <v>600</v>
      </c>
      <c r="Q207" s="12">
        <v>1228771.23</v>
      </c>
      <c r="R207" s="7" t="s">
        <v>1371</v>
      </c>
    </row>
    <row r="208" spans="1:18">
      <c r="A208" s="7" t="s">
        <v>625</v>
      </c>
      <c r="B208" s="7" t="s">
        <v>626</v>
      </c>
      <c r="C208" s="7" t="s">
        <v>569</v>
      </c>
      <c r="D208" s="7" t="s">
        <v>802</v>
      </c>
      <c r="E208" s="7">
        <v>1219000610</v>
      </c>
      <c r="F208" s="7" t="s">
        <v>824</v>
      </c>
      <c r="G208" s="7" t="s">
        <v>1502</v>
      </c>
      <c r="H208" s="7" t="s">
        <v>326</v>
      </c>
      <c r="I208" s="7" t="s">
        <v>1577</v>
      </c>
      <c r="J208" s="7" t="s">
        <v>1578</v>
      </c>
      <c r="K208" s="7">
        <v>1211078355</v>
      </c>
      <c r="L208" s="7"/>
      <c r="M208" s="7" t="s">
        <v>85</v>
      </c>
      <c r="N208" s="18">
        <v>46226</v>
      </c>
      <c r="O208" s="7" t="s">
        <v>573</v>
      </c>
      <c r="P208" s="13">
        <v>3000</v>
      </c>
      <c r="Q208" s="12">
        <v>1378621.38</v>
      </c>
      <c r="R208" s="7" t="s">
        <v>1371</v>
      </c>
    </row>
    <row r="209" spans="1:18">
      <c r="A209" s="7" t="s">
        <v>625</v>
      </c>
      <c r="B209" s="7" t="s">
        <v>626</v>
      </c>
      <c r="C209" s="7" t="s">
        <v>569</v>
      </c>
      <c r="D209" s="7" t="s">
        <v>577</v>
      </c>
      <c r="E209" s="7">
        <v>1219000754</v>
      </c>
      <c r="F209" s="7" t="s">
        <v>824</v>
      </c>
      <c r="G209" s="7" t="s">
        <v>1411</v>
      </c>
      <c r="H209" s="7" t="s">
        <v>139</v>
      </c>
      <c r="I209" s="7" t="s">
        <v>1577</v>
      </c>
      <c r="J209" s="7" t="s">
        <v>1578</v>
      </c>
      <c r="K209" s="7">
        <v>1211078355</v>
      </c>
      <c r="L209" s="7"/>
      <c r="M209" s="7" t="s">
        <v>85</v>
      </c>
      <c r="N209" s="18">
        <v>46226</v>
      </c>
      <c r="O209" s="7" t="s">
        <v>573</v>
      </c>
      <c r="P209" s="13">
        <v>2000</v>
      </c>
      <c r="Q209" s="12">
        <v>2037962.04</v>
      </c>
      <c r="R209" s="7" t="s">
        <v>1371</v>
      </c>
    </row>
    <row r="210" spans="1:18">
      <c r="A210" s="7" t="s">
        <v>625</v>
      </c>
      <c r="B210" s="7" t="s">
        <v>626</v>
      </c>
      <c r="C210" s="7" t="s">
        <v>569</v>
      </c>
      <c r="D210" s="7" t="s">
        <v>619</v>
      </c>
      <c r="E210" s="7">
        <v>1219000753</v>
      </c>
      <c r="F210" s="7" t="s">
        <v>824</v>
      </c>
      <c r="G210" s="7" t="s">
        <v>80</v>
      </c>
      <c r="H210" s="7" t="s">
        <v>78</v>
      </c>
      <c r="I210" s="7" t="s">
        <v>1577</v>
      </c>
      <c r="J210" s="7" t="s">
        <v>1578</v>
      </c>
      <c r="K210" s="7">
        <v>1211078355</v>
      </c>
      <c r="L210" s="7"/>
      <c r="M210" s="7" t="s">
        <v>85</v>
      </c>
      <c r="N210" s="18">
        <v>46226</v>
      </c>
      <c r="O210" s="7" t="s">
        <v>573</v>
      </c>
      <c r="P210" s="13">
        <v>111</v>
      </c>
      <c r="Q210" s="12">
        <v>113106.89</v>
      </c>
      <c r="R210" s="7" t="s">
        <v>1371</v>
      </c>
    </row>
    <row r="211" spans="1:18">
      <c r="A211" s="7" t="s">
        <v>625</v>
      </c>
      <c r="B211" s="7" t="s">
        <v>626</v>
      </c>
      <c r="C211" s="7" t="s">
        <v>569</v>
      </c>
      <c r="D211" s="7" t="s">
        <v>619</v>
      </c>
      <c r="E211" s="7">
        <v>1219000753</v>
      </c>
      <c r="F211" s="7" t="s">
        <v>824</v>
      </c>
      <c r="G211" s="7" t="s">
        <v>1579</v>
      </c>
      <c r="H211" s="7" t="s">
        <v>78</v>
      </c>
      <c r="I211" s="7" t="s">
        <v>1577</v>
      </c>
      <c r="J211" s="7" t="s">
        <v>1578</v>
      </c>
      <c r="K211" s="7">
        <v>1211078355</v>
      </c>
      <c r="L211" s="7"/>
      <c r="M211" s="7" t="s">
        <v>85</v>
      </c>
      <c r="N211" s="18">
        <v>46226</v>
      </c>
      <c r="O211" s="7" t="s">
        <v>573</v>
      </c>
      <c r="P211" s="13">
        <v>889</v>
      </c>
      <c r="Q211" s="12">
        <v>905874.13</v>
      </c>
      <c r="R211" s="7" t="s">
        <v>1371</v>
      </c>
    </row>
    <row r="212" spans="1:18">
      <c r="A212" s="7" t="s">
        <v>625</v>
      </c>
      <c r="B212" s="7" t="s">
        <v>626</v>
      </c>
      <c r="C212" s="7" t="s">
        <v>569</v>
      </c>
      <c r="D212" s="7" t="s">
        <v>614</v>
      </c>
      <c r="E212" s="7">
        <v>1219000833</v>
      </c>
      <c r="F212" s="7" t="s">
        <v>824</v>
      </c>
      <c r="G212" s="7" t="s">
        <v>167</v>
      </c>
      <c r="H212" s="7" t="s">
        <v>166</v>
      </c>
      <c r="I212" s="7" t="s">
        <v>1577</v>
      </c>
      <c r="J212" s="7" t="s">
        <v>1578</v>
      </c>
      <c r="K212" s="7">
        <v>1211078355</v>
      </c>
      <c r="L212" s="7"/>
      <c r="M212" s="7" t="s">
        <v>85</v>
      </c>
      <c r="N212" s="18">
        <v>46226</v>
      </c>
      <c r="O212" s="7" t="s">
        <v>573</v>
      </c>
      <c r="P212" s="13">
        <v>3000</v>
      </c>
      <c r="Q212" s="12">
        <v>344655.34</v>
      </c>
      <c r="R212" s="7" t="s">
        <v>1371</v>
      </c>
    </row>
    <row r="213" spans="1:18">
      <c r="A213" s="7" t="s">
        <v>769</v>
      </c>
      <c r="B213" s="7" t="s">
        <v>770</v>
      </c>
      <c r="C213" s="7" t="s">
        <v>569</v>
      </c>
      <c r="D213" s="7" t="s">
        <v>664</v>
      </c>
      <c r="E213" s="7">
        <v>1219000550</v>
      </c>
      <c r="F213" s="7" t="s">
        <v>828</v>
      </c>
      <c r="G213" s="7" t="s">
        <v>359</v>
      </c>
      <c r="H213" s="7" t="s">
        <v>358</v>
      </c>
      <c r="I213" s="7" t="s">
        <v>1580</v>
      </c>
      <c r="J213" s="7" t="s">
        <v>1581</v>
      </c>
      <c r="K213" s="7">
        <v>1211078356</v>
      </c>
      <c r="L213" s="7"/>
      <c r="M213" s="7" t="s">
        <v>85</v>
      </c>
      <c r="N213" s="18">
        <v>46226</v>
      </c>
      <c r="O213" s="7" t="s">
        <v>573</v>
      </c>
      <c r="P213" s="13">
        <v>48</v>
      </c>
      <c r="Q213" s="12">
        <v>336000</v>
      </c>
      <c r="R213" s="7" t="s">
        <v>1371</v>
      </c>
    </row>
    <row r="214" spans="1:18">
      <c r="A214" s="7" t="s">
        <v>769</v>
      </c>
      <c r="B214" s="7" t="s">
        <v>770</v>
      </c>
      <c r="C214" s="7" t="s">
        <v>569</v>
      </c>
      <c r="D214" s="7" t="s">
        <v>665</v>
      </c>
      <c r="E214" s="7">
        <v>1219000551</v>
      </c>
      <c r="F214" s="7" t="s">
        <v>828</v>
      </c>
      <c r="G214" s="7" t="s">
        <v>121</v>
      </c>
      <c r="H214" s="7" t="s">
        <v>120</v>
      </c>
      <c r="I214" s="7" t="s">
        <v>1580</v>
      </c>
      <c r="J214" s="7" t="s">
        <v>1581</v>
      </c>
      <c r="K214" s="7">
        <v>1211078356</v>
      </c>
      <c r="L214" s="7"/>
      <c r="M214" s="7" t="s">
        <v>85</v>
      </c>
      <c r="N214" s="18">
        <v>46226</v>
      </c>
      <c r="O214" s="7" t="s">
        <v>573</v>
      </c>
      <c r="P214" s="13">
        <v>24</v>
      </c>
      <c r="Q214" s="12">
        <v>168000</v>
      </c>
      <c r="R214" s="7" t="s">
        <v>1371</v>
      </c>
    </row>
    <row r="215" spans="1:18">
      <c r="A215" s="7" t="s">
        <v>769</v>
      </c>
      <c r="B215" s="7" t="s">
        <v>770</v>
      </c>
      <c r="C215" s="7" t="s">
        <v>569</v>
      </c>
      <c r="D215" s="7" t="s">
        <v>672</v>
      </c>
      <c r="E215" s="7">
        <v>1219000552</v>
      </c>
      <c r="F215" s="7" t="s">
        <v>828</v>
      </c>
      <c r="G215" s="7" t="s">
        <v>121</v>
      </c>
      <c r="H215" s="7" t="s">
        <v>271</v>
      </c>
      <c r="I215" s="7" t="s">
        <v>1580</v>
      </c>
      <c r="J215" s="7" t="s">
        <v>1581</v>
      </c>
      <c r="K215" s="7">
        <v>1211078356</v>
      </c>
      <c r="L215" s="7"/>
      <c r="M215" s="7" t="s">
        <v>85</v>
      </c>
      <c r="N215" s="18">
        <v>46226</v>
      </c>
      <c r="O215" s="7" t="s">
        <v>573</v>
      </c>
      <c r="P215" s="13">
        <v>24</v>
      </c>
      <c r="Q215" s="12">
        <v>168000</v>
      </c>
      <c r="R215" s="7" t="s">
        <v>1371</v>
      </c>
    </row>
    <row r="216" spans="1:18">
      <c r="A216" s="7" t="s">
        <v>670</v>
      </c>
      <c r="B216" s="7" t="s">
        <v>671</v>
      </c>
      <c r="C216" s="7" t="s">
        <v>569</v>
      </c>
      <c r="D216" s="7" t="s">
        <v>658</v>
      </c>
      <c r="E216" s="7">
        <v>1219000799</v>
      </c>
      <c r="F216" s="7" t="s">
        <v>828</v>
      </c>
      <c r="G216" s="7" t="s">
        <v>360</v>
      </c>
      <c r="H216" s="7" t="s">
        <v>332</v>
      </c>
      <c r="I216" s="7" t="s">
        <v>1582</v>
      </c>
      <c r="J216" s="7" t="s">
        <v>1583</v>
      </c>
      <c r="K216" s="7">
        <v>1211078359</v>
      </c>
      <c r="L216" s="7"/>
      <c r="M216" s="7" t="s">
        <v>85</v>
      </c>
      <c r="N216" s="18">
        <v>46226</v>
      </c>
      <c r="O216" s="7" t="s">
        <v>573</v>
      </c>
      <c r="P216" s="13">
        <v>1500</v>
      </c>
      <c r="Q216" s="12">
        <v>75000</v>
      </c>
      <c r="R216" s="7" t="s">
        <v>1371</v>
      </c>
    </row>
    <row r="217" spans="1:18">
      <c r="A217" s="7" t="s">
        <v>670</v>
      </c>
      <c r="B217" s="7" t="s">
        <v>671</v>
      </c>
      <c r="C217" s="7" t="s">
        <v>569</v>
      </c>
      <c r="D217" s="7" t="s">
        <v>805</v>
      </c>
      <c r="E217" s="7">
        <v>1219000923</v>
      </c>
      <c r="F217" s="7" t="s">
        <v>828</v>
      </c>
      <c r="G217" s="7" t="s">
        <v>307</v>
      </c>
      <c r="H217" s="7" t="s">
        <v>322</v>
      </c>
      <c r="I217" s="7" t="s">
        <v>1582</v>
      </c>
      <c r="J217" s="7" t="s">
        <v>1583</v>
      </c>
      <c r="K217" s="7">
        <v>1211078359</v>
      </c>
      <c r="L217" s="7"/>
      <c r="M217" s="7" t="s">
        <v>85</v>
      </c>
      <c r="N217" s="18">
        <v>46226</v>
      </c>
      <c r="O217" s="7" t="s">
        <v>573</v>
      </c>
      <c r="P217" s="13">
        <v>250</v>
      </c>
      <c r="Q217" s="12">
        <v>17500</v>
      </c>
      <c r="R217" s="7" t="s">
        <v>1371</v>
      </c>
    </row>
    <row r="218" spans="1:18">
      <c r="A218" s="7" t="s">
        <v>670</v>
      </c>
      <c r="B218" s="7" t="s">
        <v>671</v>
      </c>
      <c r="C218" s="7" t="s">
        <v>569</v>
      </c>
      <c r="D218" s="7" t="s">
        <v>553</v>
      </c>
      <c r="E218" s="7">
        <v>1219000669</v>
      </c>
      <c r="F218" s="7" t="s">
        <v>828</v>
      </c>
      <c r="G218" s="7" t="s">
        <v>686</v>
      </c>
      <c r="H218" s="7" t="s">
        <v>554</v>
      </c>
      <c r="I218" s="7" t="s">
        <v>1584</v>
      </c>
      <c r="J218" s="7" t="s">
        <v>1585</v>
      </c>
      <c r="K218" s="7">
        <v>1211078360</v>
      </c>
      <c r="L218" s="7"/>
      <c r="M218" s="7" t="s">
        <v>85</v>
      </c>
      <c r="N218" s="18">
        <v>46226</v>
      </c>
      <c r="O218" s="7" t="s">
        <v>573</v>
      </c>
      <c r="P218" s="13">
        <v>2770</v>
      </c>
      <c r="Q218" s="12">
        <v>281694.92</v>
      </c>
      <c r="R218" s="7" t="s">
        <v>1371</v>
      </c>
    </row>
    <row r="219" spans="1:18">
      <c r="A219" s="7" t="s">
        <v>817</v>
      </c>
      <c r="B219" s="7" t="s">
        <v>818</v>
      </c>
      <c r="C219" s="7" t="s">
        <v>569</v>
      </c>
      <c r="D219" s="7" t="s">
        <v>619</v>
      </c>
      <c r="E219" s="7">
        <v>1219000753</v>
      </c>
      <c r="F219" s="7" t="s">
        <v>824</v>
      </c>
      <c r="G219" s="7" t="s">
        <v>80</v>
      </c>
      <c r="H219" s="7" t="s">
        <v>78</v>
      </c>
      <c r="I219" s="7" t="s">
        <v>1586</v>
      </c>
      <c r="J219" s="7" t="s">
        <v>1587</v>
      </c>
      <c r="K219" s="7">
        <v>1211078366</v>
      </c>
      <c r="L219" s="7"/>
      <c r="M219" s="7" t="s">
        <v>85</v>
      </c>
      <c r="N219" s="18">
        <v>46226</v>
      </c>
      <c r="O219" s="7" t="s">
        <v>573</v>
      </c>
      <c r="P219" s="13">
        <v>100</v>
      </c>
      <c r="Q219" s="12">
        <v>104000</v>
      </c>
      <c r="R219" s="7" t="s">
        <v>1371</v>
      </c>
    </row>
    <row r="220" spans="1:18">
      <c r="A220" s="7" t="s">
        <v>817</v>
      </c>
      <c r="B220" s="7" t="s">
        <v>818</v>
      </c>
      <c r="C220" s="7" t="s">
        <v>569</v>
      </c>
      <c r="D220" s="7" t="s">
        <v>619</v>
      </c>
      <c r="E220" s="7">
        <v>1219000753</v>
      </c>
      <c r="F220" s="7" t="s">
        <v>824</v>
      </c>
      <c r="G220" s="7" t="s">
        <v>80</v>
      </c>
      <c r="H220" s="7" t="s">
        <v>78</v>
      </c>
      <c r="I220" s="7" t="s">
        <v>1588</v>
      </c>
      <c r="J220" s="7" t="s">
        <v>1589</v>
      </c>
      <c r="K220" s="7">
        <v>1211078367</v>
      </c>
      <c r="L220" s="7"/>
      <c r="M220" s="7" t="s">
        <v>85</v>
      </c>
      <c r="N220" s="18">
        <v>46226</v>
      </c>
      <c r="O220" s="7" t="s">
        <v>573</v>
      </c>
      <c r="P220" s="13">
        <v>48</v>
      </c>
      <c r="Q220" s="12">
        <v>49920</v>
      </c>
      <c r="R220" s="7" t="s">
        <v>1371</v>
      </c>
    </row>
    <row r="221" spans="1:18">
      <c r="A221" s="7" t="s">
        <v>639</v>
      </c>
      <c r="B221" s="7" t="s">
        <v>640</v>
      </c>
      <c r="C221" s="7" t="s">
        <v>569</v>
      </c>
      <c r="D221" s="7" t="s">
        <v>641</v>
      </c>
      <c r="E221" s="7">
        <v>1219001002</v>
      </c>
      <c r="F221" s="7" t="s">
        <v>824</v>
      </c>
      <c r="G221" s="7" t="s">
        <v>1345</v>
      </c>
      <c r="H221" s="7" t="s">
        <v>187</v>
      </c>
      <c r="I221" s="7" t="s">
        <v>1590</v>
      </c>
      <c r="J221" s="7" t="s">
        <v>1591</v>
      </c>
      <c r="K221" s="7">
        <v>1211078368</v>
      </c>
      <c r="L221" s="7"/>
      <c r="M221" s="7" t="s">
        <v>85</v>
      </c>
      <c r="N221" s="18">
        <v>46226</v>
      </c>
      <c r="O221" s="7" t="s">
        <v>573</v>
      </c>
      <c r="P221" s="13">
        <v>100</v>
      </c>
      <c r="Q221" s="12">
        <v>34825.870000000003</v>
      </c>
      <c r="R221" s="7" t="s">
        <v>1371</v>
      </c>
    </row>
    <row r="222" spans="1:18">
      <c r="A222" s="7" t="s">
        <v>763</v>
      </c>
      <c r="B222" s="7" t="s">
        <v>764</v>
      </c>
      <c r="C222" s="7" t="s">
        <v>569</v>
      </c>
      <c r="D222" s="7" t="s">
        <v>600</v>
      </c>
      <c r="E222" s="7">
        <v>1219001017</v>
      </c>
      <c r="F222" s="7" t="s">
        <v>824</v>
      </c>
      <c r="G222" s="7" t="s">
        <v>348</v>
      </c>
      <c r="H222" s="7" t="s">
        <v>218</v>
      </c>
      <c r="I222" s="7" t="s">
        <v>1592</v>
      </c>
      <c r="J222" s="7" t="s">
        <v>1593</v>
      </c>
      <c r="K222" s="7">
        <v>1211078369</v>
      </c>
      <c r="L222" s="7"/>
      <c r="M222" s="7" t="s">
        <v>85</v>
      </c>
      <c r="N222" s="18">
        <v>46226</v>
      </c>
      <c r="O222" s="7" t="s">
        <v>573</v>
      </c>
      <c r="P222" s="13">
        <v>50</v>
      </c>
      <c r="Q222" s="12">
        <v>99900.1</v>
      </c>
      <c r="R222" s="7" t="s">
        <v>1371</v>
      </c>
    </row>
    <row r="223" spans="1:18">
      <c r="A223" s="7" t="s">
        <v>728</v>
      </c>
      <c r="B223" s="7" t="s">
        <v>729</v>
      </c>
      <c r="C223" s="7" t="s">
        <v>569</v>
      </c>
      <c r="D223" s="7" t="s">
        <v>577</v>
      </c>
      <c r="E223" s="7">
        <v>1219000754</v>
      </c>
      <c r="F223" s="7" t="s">
        <v>824</v>
      </c>
      <c r="G223" s="7" t="s">
        <v>1411</v>
      </c>
      <c r="H223" s="7" t="s">
        <v>139</v>
      </c>
      <c r="I223" s="7" t="s">
        <v>1596</v>
      </c>
      <c r="J223" s="7" t="s">
        <v>1597</v>
      </c>
      <c r="K223" s="7">
        <v>1211078530</v>
      </c>
      <c r="L223" s="7"/>
      <c r="M223" s="7" t="s">
        <v>85</v>
      </c>
      <c r="N223" s="18">
        <v>46230</v>
      </c>
      <c r="O223" s="7" t="s">
        <v>573</v>
      </c>
      <c r="P223" s="13">
        <v>120</v>
      </c>
      <c r="Q223" s="12">
        <v>125874.13</v>
      </c>
      <c r="R223" s="7" t="s">
        <v>1371</v>
      </c>
    </row>
    <row r="224" spans="1:18">
      <c r="A224" s="7" t="s">
        <v>740</v>
      </c>
      <c r="B224" s="7" t="s">
        <v>741</v>
      </c>
      <c r="C224" s="7" t="s">
        <v>569</v>
      </c>
      <c r="D224" s="7" t="s">
        <v>600</v>
      </c>
      <c r="E224" s="7">
        <v>1219001017</v>
      </c>
      <c r="F224" s="7" t="s">
        <v>824</v>
      </c>
      <c r="G224" s="7" t="s">
        <v>348</v>
      </c>
      <c r="H224" s="7" t="s">
        <v>218</v>
      </c>
      <c r="I224" s="7" t="s">
        <v>1598</v>
      </c>
      <c r="J224" s="7" t="s">
        <v>1599</v>
      </c>
      <c r="K224" s="7">
        <v>1211078531</v>
      </c>
      <c r="L224" s="7"/>
      <c r="M224" s="7" t="s">
        <v>85</v>
      </c>
      <c r="N224" s="18">
        <v>46230</v>
      </c>
      <c r="O224" s="7" t="s">
        <v>573</v>
      </c>
      <c r="P224" s="13">
        <v>140</v>
      </c>
      <c r="Q224" s="12">
        <v>279723.21000000002</v>
      </c>
      <c r="R224" s="7" t="s">
        <v>1371</v>
      </c>
    </row>
    <row r="225" spans="1:18">
      <c r="A225" s="7" t="s">
        <v>740</v>
      </c>
      <c r="B225" s="7" t="s">
        <v>741</v>
      </c>
      <c r="C225" s="7" t="s">
        <v>569</v>
      </c>
      <c r="D225" s="7" t="s">
        <v>600</v>
      </c>
      <c r="E225" s="7">
        <v>1219001017</v>
      </c>
      <c r="F225" s="7" t="s">
        <v>824</v>
      </c>
      <c r="G225" s="7" t="s">
        <v>345</v>
      </c>
      <c r="H225" s="7" t="s">
        <v>218</v>
      </c>
      <c r="I225" s="7" t="s">
        <v>1598</v>
      </c>
      <c r="J225" s="7" t="s">
        <v>1599</v>
      </c>
      <c r="K225" s="7">
        <v>1211078531</v>
      </c>
      <c r="L225" s="7"/>
      <c r="M225" s="7" t="s">
        <v>85</v>
      </c>
      <c r="N225" s="18">
        <v>46230</v>
      </c>
      <c r="O225" s="7" t="s">
        <v>573</v>
      </c>
      <c r="P225" s="13">
        <v>94</v>
      </c>
      <c r="Q225" s="12">
        <v>187814.15</v>
      </c>
      <c r="R225" s="7" t="s">
        <v>1371</v>
      </c>
    </row>
    <row r="226" spans="1:18">
      <c r="A226" s="7" t="s">
        <v>745</v>
      </c>
      <c r="B226" s="7" t="s">
        <v>746</v>
      </c>
      <c r="C226" s="7" t="s">
        <v>569</v>
      </c>
      <c r="D226" s="7" t="s">
        <v>600</v>
      </c>
      <c r="E226" s="7">
        <v>1219001017</v>
      </c>
      <c r="F226" s="7" t="s">
        <v>824</v>
      </c>
      <c r="G226" s="7" t="s">
        <v>345</v>
      </c>
      <c r="H226" s="7" t="s">
        <v>218</v>
      </c>
      <c r="I226" s="7" t="s">
        <v>1600</v>
      </c>
      <c r="J226" s="7" t="s">
        <v>1601</v>
      </c>
      <c r="K226" s="7">
        <v>1211078532</v>
      </c>
      <c r="L226" s="7"/>
      <c r="M226" s="7" t="s">
        <v>85</v>
      </c>
      <c r="N226" s="18">
        <v>46230</v>
      </c>
      <c r="O226" s="7" t="s">
        <v>573</v>
      </c>
      <c r="P226" s="13">
        <v>117</v>
      </c>
      <c r="Q226" s="12">
        <v>243701.3</v>
      </c>
      <c r="R226" s="7" t="s">
        <v>1371</v>
      </c>
    </row>
    <row r="227" spans="1:18">
      <c r="A227" s="7" t="s">
        <v>809</v>
      </c>
      <c r="B227" s="7" t="s">
        <v>810</v>
      </c>
      <c r="C227" s="7" t="s">
        <v>569</v>
      </c>
      <c r="D227" s="7" t="s">
        <v>600</v>
      </c>
      <c r="E227" s="7">
        <v>1219001017</v>
      </c>
      <c r="F227" s="7" t="s">
        <v>824</v>
      </c>
      <c r="G227" s="7" t="s">
        <v>348</v>
      </c>
      <c r="H227" s="7" t="s">
        <v>218</v>
      </c>
      <c r="I227" s="7" t="s">
        <v>1602</v>
      </c>
      <c r="J227" s="7" t="s">
        <v>1603</v>
      </c>
      <c r="K227" s="7">
        <v>1211078533</v>
      </c>
      <c r="L227" s="7"/>
      <c r="M227" s="7" t="s">
        <v>85</v>
      </c>
      <c r="N227" s="18">
        <v>46230</v>
      </c>
      <c r="O227" s="7" t="s">
        <v>573</v>
      </c>
      <c r="P227" s="13">
        <v>234</v>
      </c>
      <c r="Q227" s="12">
        <v>502599.56</v>
      </c>
      <c r="R227" s="7" t="s">
        <v>1371</v>
      </c>
    </row>
    <row r="228" spans="1:18">
      <c r="A228" s="7" t="s">
        <v>809</v>
      </c>
      <c r="B228" s="7" t="s">
        <v>810</v>
      </c>
      <c r="C228" s="7" t="s">
        <v>569</v>
      </c>
      <c r="D228" s="7" t="s">
        <v>634</v>
      </c>
      <c r="E228" s="7">
        <v>1013000882</v>
      </c>
      <c r="F228" s="7" t="s">
        <v>824</v>
      </c>
      <c r="G228" s="7" t="s">
        <v>327</v>
      </c>
      <c r="H228" s="7" t="s">
        <v>226</v>
      </c>
      <c r="I228" s="7" t="s">
        <v>1604</v>
      </c>
      <c r="J228" s="7" t="s">
        <v>1605</v>
      </c>
      <c r="K228" s="7">
        <v>1211078534</v>
      </c>
      <c r="L228" s="7"/>
      <c r="M228" s="7" t="s">
        <v>85</v>
      </c>
      <c r="N228" s="18">
        <v>46230</v>
      </c>
      <c r="O228" s="7" t="s">
        <v>573</v>
      </c>
      <c r="P228" s="13">
        <v>60</v>
      </c>
      <c r="Q228" s="12">
        <v>11941.79</v>
      </c>
      <c r="R228" s="7" t="s">
        <v>1371</v>
      </c>
    </row>
    <row r="229" spans="1:18">
      <c r="A229" s="7" t="s">
        <v>767</v>
      </c>
      <c r="B229" s="7" t="s">
        <v>768</v>
      </c>
      <c r="C229" s="7" t="s">
        <v>569</v>
      </c>
      <c r="D229" s="7" t="s">
        <v>710</v>
      </c>
      <c r="E229" s="7">
        <v>1219000512</v>
      </c>
      <c r="F229" s="7" t="s">
        <v>1288</v>
      </c>
      <c r="G229" s="7" t="s">
        <v>711</v>
      </c>
      <c r="H229" s="7" t="s">
        <v>712</v>
      </c>
      <c r="I229" s="7" t="s">
        <v>1490</v>
      </c>
      <c r="J229" s="7" t="s">
        <v>1491</v>
      </c>
      <c r="K229" s="7">
        <v>1211078546</v>
      </c>
      <c r="L229" s="7"/>
      <c r="M229" s="7" t="s">
        <v>85</v>
      </c>
      <c r="N229" s="18">
        <v>46212</v>
      </c>
      <c r="O229" s="7" t="s">
        <v>573</v>
      </c>
      <c r="P229" s="13">
        <v>10</v>
      </c>
      <c r="Q229" s="12">
        <v>9000</v>
      </c>
      <c r="R229" s="7" t="s">
        <v>1371</v>
      </c>
    </row>
    <row r="230" spans="1:18">
      <c r="A230" s="7" t="s">
        <v>612</v>
      </c>
      <c r="B230" s="7" t="s">
        <v>613</v>
      </c>
      <c r="C230" s="7" t="s">
        <v>569</v>
      </c>
      <c r="D230" s="7" t="s">
        <v>706</v>
      </c>
      <c r="E230" s="7">
        <v>1219000752</v>
      </c>
      <c r="F230" s="7" t="s">
        <v>824</v>
      </c>
      <c r="G230" s="7" t="s">
        <v>747</v>
      </c>
      <c r="H230" s="7" t="s">
        <v>151</v>
      </c>
      <c r="I230" s="7" t="s">
        <v>1606</v>
      </c>
      <c r="J230" s="7" t="s">
        <v>1607</v>
      </c>
      <c r="K230" s="7">
        <v>1211078547</v>
      </c>
      <c r="L230" s="7"/>
      <c r="M230" s="7" t="s">
        <v>85</v>
      </c>
      <c r="N230" s="18">
        <v>46231</v>
      </c>
      <c r="O230" s="7" t="s">
        <v>573</v>
      </c>
      <c r="P230" s="13">
        <v>2</v>
      </c>
      <c r="Q230" s="12">
        <v>2680.02</v>
      </c>
      <c r="R230" s="7" t="s">
        <v>1371</v>
      </c>
    </row>
    <row r="231" spans="1:18">
      <c r="A231" s="7" t="s">
        <v>612</v>
      </c>
      <c r="B231" s="7" t="s">
        <v>613</v>
      </c>
      <c r="C231" s="7" t="s">
        <v>569</v>
      </c>
      <c r="D231" s="7" t="s">
        <v>614</v>
      </c>
      <c r="E231" s="7">
        <v>1219000833</v>
      </c>
      <c r="F231" s="7" t="s">
        <v>824</v>
      </c>
      <c r="G231" s="7" t="s">
        <v>167</v>
      </c>
      <c r="H231" s="7" t="s">
        <v>166</v>
      </c>
      <c r="I231" s="7" t="s">
        <v>1606</v>
      </c>
      <c r="J231" s="7" t="s">
        <v>1607</v>
      </c>
      <c r="K231" s="7">
        <v>1211078547</v>
      </c>
      <c r="L231" s="7"/>
      <c r="M231" s="7" t="s">
        <v>85</v>
      </c>
      <c r="N231" s="18">
        <v>46231</v>
      </c>
      <c r="O231" s="7" t="s">
        <v>573</v>
      </c>
      <c r="P231" s="13">
        <v>25</v>
      </c>
      <c r="Q231" s="12">
        <v>3000</v>
      </c>
      <c r="R231" s="7" t="s">
        <v>1371</v>
      </c>
    </row>
    <row r="232" spans="1:18">
      <c r="A232" s="7" t="s">
        <v>612</v>
      </c>
      <c r="B232" s="7" t="s">
        <v>613</v>
      </c>
      <c r="C232" s="7" t="s">
        <v>569</v>
      </c>
      <c r="D232" s="7" t="s">
        <v>658</v>
      </c>
      <c r="E232" s="7">
        <v>1219000799</v>
      </c>
      <c r="F232" s="7" t="s">
        <v>828</v>
      </c>
      <c r="G232" s="7" t="s">
        <v>360</v>
      </c>
      <c r="H232" s="7" t="s">
        <v>332</v>
      </c>
      <c r="I232" s="7" t="s">
        <v>1608</v>
      </c>
      <c r="J232" s="7" t="s">
        <v>1609</v>
      </c>
      <c r="K232" s="7">
        <v>1211078548</v>
      </c>
      <c r="L232" s="7"/>
      <c r="M232" s="7" t="s">
        <v>85</v>
      </c>
      <c r="N232" s="18">
        <v>46231</v>
      </c>
      <c r="O232" s="7" t="s">
        <v>573</v>
      </c>
      <c r="P232" s="13">
        <v>2500</v>
      </c>
      <c r="Q232" s="12">
        <v>112500.45</v>
      </c>
      <c r="R232" s="7" t="s">
        <v>1371</v>
      </c>
    </row>
    <row r="233" spans="1:18">
      <c r="A233" s="7" t="s">
        <v>691</v>
      </c>
      <c r="B233" s="7" t="s">
        <v>692</v>
      </c>
      <c r="C233" s="7" t="s">
        <v>569</v>
      </c>
      <c r="D233" s="7" t="s">
        <v>664</v>
      </c>
      <c r="E233" s="7">
        <v>1219000550</v>
      </c>
      <c r="F233" s="7" t="s">
        <v>828</v>
      </c>
      <c r="G233" s="7" t="s">
        <v>359</v>
      </c>
      <c r="H233" s="7" t="s">
        <v>358</v>
      </c>
      <c r="I233" s="7" t="s">
        <v>1610</v>
      </c>
      <c r="J233" s="7" t="s">
        <v>1611</v>
      </c>
      <c r="K233" s="7">
        <v>1211078550</v>
      </c>
      <c r="L233" s="7"/>
      <c r="M233" s="7" t="s">
        <v>85</v>
      </c>
      <c r="N233" s="18">
        <v>46231</v>
      </c>
      <c r="O233" s="7" t="s">
        <v>573</v>
      </c>
      <c r="P233" s="13">
        <v>8</v>
      </c>
      <c r="Q233" s="12">
        <v>43051.5</v>
      </c>
      <c r="R233" s="7" t="s">
        <v>1371</v>
      </c>
    </row>
    <row r="234" spans="1:18">
      <c r="A234" s="7" t="s">
        <v>691</v>
      </c>
      <c r="B234" s="7" t="s">
        <v>692</v>
      </c>
      <c r="C234" s="7" t="s">
        <v>569</v>
      </c>
      <c r="D234" s="7" t="s">
        <v>665</v>
      </c>
      <c r="E234" s="7">
        <v>1219000551</v>
      </c>
      <c r="F234" s="7" t="s">
        <v>828</v>
      </c>
      <c r="G234" s="7" t="s">
        <v>121</v>
      </c>
      <c r="H234" s="7" t="s">
        <v>120</v>
      </c>
      <c r="I234" s="7" t="s">
        <v>1610</v>
      </c>
      <c r="J234" s="7" t="s">
        <v>1611</v>
      </c>
      <c r="K234" s="7">
        <v>1211078550</v>
      </c>
      <c r="L234" s="7"/>
      <c r="M234" s="7" t="s">
        <v>85</v>
      </c>
      <c r="N234" s="18">
        <v>46231</v>
      </c>
      <c r="O234" s="7" t="s">
        <v>573</v>
      </c>
      <c r="P234" s="13">
        <v>4</v>
      </c>
      <c r="Q234" s="12">
        <v>21525.75</v>
      </c>
      <c r="R234" s="7" t="s">
        <v>1371</v>
      </c>
    </row>
    <row r="235" spans="1:18">
      <c r="A235" s="7" t="s">
        <v>691</v>
      </c>
      <c r="B235" s="7" t="s">
        <v>692</v>
      </c>
      <c r="C235" s="7" t="s">
        <v>569</v>
      </c>
      <c r="D235" s="7" t="s">
        <v>698</v>
      </c>
      <c r="E235" s="7">
        <v>1219000553</v>
      </c>
      <c r="F235" s="7" t="s">
        <v>828</v>
      </c>
      <c r="G235" s="7" t="s">
        <v>699</v>
      </c>
      <c r="H235" s="7" t="s">
        <v>441</v>
      </c>
      <c r="I235" s="7" t="s">
        <v>1610</v>
      </c>
      <c r="J235" s="7" t="s">
        <v>1611</v>
      </c>
      <c r="K235" s="7">
        <v>1211078550</v>
      </c>
      <c r="L235" s="7"/>
      <c r="M235" s="7" t="s">
        <v>85</v>
      </c>
      <c r="N235" s="18">
        <v>46231</v>
      </c>
      <c r="O235" s="7" t="s">
        <v>573</v>
      </c>
      <c r="P235" s="13">
        <v>3</v>
      </c>
      <c r="Q235" s="12">
        <v>16144.31</v>
      </c>
      <c r="R235" s="7" t="s">
        <v>1371</v>
      </c>
    </row>
    <row r="236" spans="1:18">
      <c r="A236" s="7" t="s">
        <v>691</v>
      </c>
      <c r="B236" s="7" t="s">
        <v>692</v>
      </c>
      <c r="C236" s="7" t="s">
        <v>569</v>
      </c>
      <c r="D236" s="7" t="s">
        <v>672</v>
      </c>
      <c r="E236" s="7">
        <v>1219000552</v>
      </c>
      <c r="F236" s="7" t="s">
        <v>828</v>
      </c>
      <c r="G236" s="7" t="s">
        <v>121</v>
      </c>
      <c r="H236" s="7" t="s">
        <v>271</v>
      </c>
      <c r="I236" s="7" t="s">
        <v>1610</v>
      </c>
      <c r="J236" s="7" t="s">
        <v>1611</v>
      </c>
      <c r="K236" s="7">
        <v>1211078550</v>
      </c>
      <c r="L236" s="7"/>
      <c r="M236" s="7" t="s">
        <v>85</v>
      </c>
      <c r="N236" s="18">
        <v>46231</v>
      </c>
      <c r="O236" s="7" t="s">
        <v>573</v>
      </c>
      <c r="P236" s="13">
        <v>2</v>
      </c>
      <c r="Q236" s="12">
        <v>10762.87</v>
      </c>
      <c r="R236" s="7" t="s">
        <v>1371</v>
      </c>
    </row>
    <row r="237" spans="1:18">
      <c r="A237" s="7" t="s">
        <v>777</v>
      </c>
      <c r="B237" s="7" t="s">
        <v>778</v>
      </c>
      <c r="C237" s="7" t="s">
        <v>569</v>
      </c>
      <c r="D237" s="7" t="s">
        <v>629</v>
      </c>
      <c r="E237" s="7">
        <v>1219000817</v>
      </c>
      <c r="F237" s="7" t="s">
        <v>828</v>
      </c>
      <c r="G237" s="7" t="s">
        <v>630</v>
      </c>
      <c r="H237" s="7" t="s">
        <v>631</v>
      </c>
      <c r="I237" s="7" t="s">
        <v>1612</v>
      </c>
      <c r="J237" s="7" t="s">
        <v>1613</v>
      </c>
      <c r="K237" s="7">
        <v>1211078551</v>
      </c>
      <c r="L237" s="7"/>
      <c r="M237" s="7" t="s">
        <v>85</v>
      </c>
      <c r="N237" s="18">
        <v>46231</v>
      </c>
      <c r="O237" s="7" t="s">
        <v>573</v>
      </c>
      <c r="P237" s="13">
        <v>750</v>
      </c>
      <c r="Q237" s="12">
        <v>50796.66</v>
      </c>
      <c r="R237" s="7" t="s">
        <v>1371</v>
      </c>
    </row>
    <row r="238" spans="1:18">
      <c r="A238" s="7" t="s">
        <v>777</v>
      </c>
      <c r="B238" s="7" t="s">
        <v>778</v>
      </c>
      <c r="C238" s="7" t="s">
        <v>569</v>
      </c>
      <c r="D238" s="7" t="s">
        <v>629</v>
      </c>
      <c r="E238" s="7">
        <v>1219000817</v>
      </c>
      <c r="F238" s="7" t="s">
        <v>828</v>
      </c>
      <c r="G238" s="7" t="s">
        <v>630</v>
      </c>
      <c r="H238" s="7" t="s">
        <v>631</v>
      </c>
      <c r="I238" s="7" t="s">
        <v>1614</v>
      </c>
      <c r="J238" s="7" t="s">
        <v>1615</v>
      </c>
      <c r="K238" s="7">
        <v>1211078552</v>
      </c>
      <c r="L238" s="7"/>
      <c r="M238" s="7" t="s">
        <v>85</v>
      </c>
      <c r="N238" s="18">
        <v>46231</v>
      </c>
      <c r="O238" s="7" t="s">
        <v>573</v>
      </c>
      <c r="P238" s="13">
        <v>500</v>
      </c>
      <c r="Q238" s="12">
        <v>33864.44</v>
      </c>
      <c r="R238" s="7" t="s">
        <v>1371</v>
      </c>
    </row>
    <row r="239" spans="1:18">
      <c r="A239" s="7" t="s">
        <v>597</v>
      </c>
      <c r="B239" s="7" t="s">
        <v>598</v>
      </c>
      <c r="C239" s="7" t="s">
        <v>569</v>
      </c>
      <c r="D239" s="7" t="s">
        <v>599</v>
      </c>
      <c r="E239" s="7">
        <v>1219000546</v>
      </c>
      <c r="F239" s="7" t="s">
        <v>828</v>
      </c>
      <c r="G239" s="7" t="s">
        <v>121</v>
      </c>
      <c r="H239" s="7" t="s">
        <v>357</v>
      </c>
      <c r="I239" s="7" t="s">
        <v>1616</v>
      </c>
      <c r="J239" s="7" t="s">
        <v>1617</v>
      </c>
      <c r="K239" s="7">
        <v>1211078571</v>
      </c>
      <c r="L239" s="7"/>
      <c r="M239" s="7" t="s">
        <v>85</v>
      </c>
      <c r="N239" s="18">
        <v>46232</v>
      </c>
      <c r="O239" s="7" t="s">
        <v>573</v>
      </c>
      <c r="P239" s="13">
        <v>40</v>
      </c>
      <c r="Q239" s="12">
        <v>203186.64</v>
      </c>
      <c r="R239" s="7" t="s">
        <v>1371</v>
      </c>
    </row>
    <row r="240" spans="1:18">
      <c r="A240" s="7" t="s">
        <v>597</v>
      </c>
      <c r="B240" s="7" t="s">
        <v>598</v>
      </c>
      <c r="C240" s="7" t="s">
        <v>569</v>
      </c>
      <c r="D240" s="7" t="s">
        <v>622</v>
      </c>
      <c r="E240" s="7">
        <v>1219000544</v>
      </c>
      <c r="F240" s="7" t="s">
        <v>828</v>
      </c>
      <c r="G240" s="7" t="s">
        <v>121</v>
      </c>
      <c r="H240" s="7" t="s">
        <v>424</v>
      </c>
      <c r="I240" s="7" t="s">
        <v>1616</v>
      </c>
      <c r="J240" s="7" t="s">
        <v>1617</v>
      </c>
      <c r="K240" s="7">
        <v>1211078571</v>
      </c>
      <c r="L240" s="7"/>
      <c r="M240" s="7" t="s">
        <v>85</v>
      </c>
      <c r="N240" s="18">
        <v>46232</v>
      </c>
      <c r="O240" s="7" t="s">
        <v>573</v>
      </c>
      <c r="P240" s="13">
        <v>20</v>
      </c>
      <c r="Q240" s="12">
        <v>101593.32</v>
      </c>
      <c r="R240" s="7" t="s">
        <v>1371</v>
      </c>
    </row>
    <row r="241" spans="1:18">
      <c r="A241" s="7" t="s">
        <v>597</v>
      </c>
      <c r="B241" s="7" t="s">
        <v>598</v>
      </c>
      <c r="C241" s="7" t="s">
        <v>569</v>
      </c>
      <c r="D241" s="7" t="s">
        <v>623</v>
      </c>
      <c r="E241" s="7">
        <v>1219000547</v>
      </c>
      <c r="F241" s="7" t="s">
        <v>828</v>
      </c>
      <c r="G241" s="7" t="s">
        <v>624</v>
      </c>
      <c r="H241" s="7" t="s">
        <v>431</v>
      </c>
      <c r="I241" s="7" t="s">
        <v>1616</v>
      </c>
      <c r="J241" s="7" t="s">
        <v>1617</v>
      </c>
      <c r="K241" s="7">
        <v>1211078571</v>
      </c>
      <c r="L241" s="7"/>
      <c r="M241" s="7" t="s">
        <v>85</v>
      </c>
      <c r="N241" s="18">
        <v>46232</v>
      </c>
      <c r="O241" s="7" t="s">
        <v>573</v>
      </c>
      <c r="P241" s="13">
        <v>16</v>
      </c>
      <c r="Q241" s="12">
        <v>81274.66</v>
      </c>
      <c r="R241" s="7" t="s">
        <v>1371</v>
      </c>
    </row>
    <row r="242" spans="1:18">
      <c r="A242" s="7" t="s">
        <v>597</v>
      </c>
      <c r="B242" s="7" t="s">
        <v>598</v>
      </c>
      <c r="C242" s="7" t="s">
        <v>569</v>
      </c>
      <c r="D242" s="7" t="s">
        <v>1562</v>
      </c>
      <c r="E242" s="7">
        <v>1219000585</v>
      </c>
      <c r="F242" s="7" t="s">
        <v>828</v>
      </c>
      <c r="G242" s="7" t="s">
        <v>1563</v>
      </c>
      <c r="H242" s="7" t="s">
        <v>1564</v>
      </c>
      <c r="I242" s="7" t="s">
        <v>1616</v>
      </c>
      <c r="J242" s="7" t="s">
        <v>1617</v>
      </c>
      <c r="K242" s="7">
        <v>1211078571</v>
      </c>
      <c r="L242" s="7"/>
      <c r="M242" s="7" t="s">
        <v>85</v>
      </c>
      <c r="N242" s="18">
        <v>46232</v>
      </c>
      <c r="O242" s="7" t="s">
        <v>573</v>
      </c>
      <c r="P242" s="13">
        <v>1500</v>
      </c>
      <c r="Q242" s="12">
        <v>43456.54</v>
      </c>
      <c r="R242" s="7" t="s">
        <v>1371</v>
      </c>
    </row>
    <row r="243" spans="1:18">
      <c r="A243" s="7" t="s">
        <v>670</v>
      </c>
      <c r="B243" s="7" t="s">
        <v>671</v>
      </c>
      <c r="C243" s="7" t="s">
        <v>569</v>
      </c>
      <c r="D243" s="7" t="s">
        <v>622</v>
      </c>
      <c r="E243" s="7">
        <v>1219000544</v>
      </c>
      <c r="F243" s="7" t="s">
        <v>828</v>
      </c>
      <c r="G243" s="7" t="s">
        <v>121</v>
      </c>
      <c r="H243" s="7" t="s">
        <v>424</v>
      </c>
      <c r="I243" s="7" t="s">
        <v>1618</v>
      </c>
      <c r="J243" s="7" t="s">
        <v>1619</v>
      </c>
      <c r="K243" s="7">
        <v>1211078578</v>
      </c>
      <c r="L243" s="7"/>
      <c r="M243" s="7" t="s">
        <v>85</v>
      </c>
      <c r="N243" s="18">
        <v>46232</v>
      </c>
      <c r="O243" s="7" t="s">
        <v>573</v>
      </c>
      <c r="P243" s="13">
        <v>8</v>
      </c>
      <c r="Q243" s="12">
        <v>44067.8</v>
      </c>
      <c r="R243" s="7" t="s">
        <v>1371</v>
      </c>
    </row>
    <row r="244" spans="1:18">
      <c r="A244" s="7" t="s">
        <v>656</v>
      </c>
      <c r="B244" s="7" t="s">
        <v>657</v>
      </c>
      <c r="C244" s="7" t="s">
        <v>569</v>
      </c>
      <c r="D244" s="7" t="s">
        <v>658</v>
      </c>
      <c r="E244" s="7">
        <v>1219000799</v>
      </c>
      <c r="F244" s="7" t="s">
        <v>828</v>
      </c>
      <c r="G244" s="7" t="s">
        <v>360</v>
      </c>
      <c r="H244" s="7" t="s">
        <v>332</v>
      </c>
      <c r="I244" s="7" t="s">
        <v>1620</v>
      </c>
      <c r="J244" s="7" t="s">
        <v>1621</v>
      </c>
      <c r="K244" s="7">
        <v>1211078579</v>
      </c>
      <c r="L244" s="7"/>
      <c r="M244" s="7" t="s">
        <v>85</v>
      </c>
      <c r="N244" s="18">
        <v>46232</v>
      </c>
      <c r="O244" s="7" t="s">
        <v>573</v>
      </c>
      <c r="P244" s="13">
        <v>2000</v>
      </c>
      <c r="Q244" s="12">
        <v>99900.1</v>
      </c>
      <c r="R244" s="7" t="s">
        <v>1371</v>
      </c>
    </row>
    <row r="245" spans="1:18">
      <c r="A245" s="7" t="s">
        <v>724</v>
      </c>
      <c r="B245" s="7" t="s">
        <v>725</v>
      </c>
      <c r="C245" s="7" t="s">
        <v>569</v>
      </c>
      <c r="D245" s="7" t="s">
        <v>599</v>
      </c>
      <c r="E245" s="7">
        <v>1219000546</v>
      </c>
      <c r="F245" s="7" t="s">
        <v>828</v>
      </c>
      <c r="G245" s="7" t="s">
        <v>121</v>
      </c>
      <c r="H245" s="7" t="s">
        <v>357</v>
      </c>
      <c r="I245" s="7" t="s">
        <v>1622</v>
      </c>
      <c r="J245" s="7" t="s">
        <v>1623</v>
      </c>
      <c r="K245" s="7">
        <v>1211078580</v>
      </c>
      <c r="L245" s="7"/>
      <c r="M245" s="7" t="s">
        <v>85</v>
      </c>
      <c r="N245" s="18">
        <v>46232</v>
      </c>
      <c r="O245" s="7" t="s">
        <v>573</v>
      </c>
      <c r="P245" s="13">
        <v>16</v>
      </c>
      <c r="Q245" s="12">
        <v>96000</v>
      </c>
      <c r="R245" s="7" t="s">
        <v>1371</v>
      </c>
    </row>
    <row r="246" spans="1:18">
      <c r="A246" s="7" t="s">
        <v>724</v>
      </c>
      <c r="B246" s="7" t="s">
        <v>725</v>
      </c>
      <c r="C246" s="7" t="s">
        <v>569</v>
      </c>
      <c r="D246" s="7" t="s">
        <v>658</v>
      </c>
      <c r="E246" s="7">
        <v>1219000799</v>
      </c>
      <c r="F246" s="7" t="s">
        <v>828</v>
      </c>
      <c r="G246" s="7" t="s">
        <v>360</v>
      </c>
      <c r="H246" s="7" t="s">
        <v>332</v>
      </c>
      <c r="I246" s="7" t="s">
        <v>1622</v>
      </c>
      <c r="J246" s="7" t="s">
        <v>1623</v>
      </c>
      <c r="K246" s="7">
        <v>1211078580</v>
      </c>
      <c r="L246" s="7"/>
      <c r="M246" s="7" t="s">
        <v>85</v>
      </c>
      <c r="N246" s="18">
        <v>46232</v>
      </c>
      <c r="O246" s="7" t="s">
        <v>573</v>
      </c>
      <c r="P246" s="13">
        <v>25</v>
      </c>
      <c r="Q246" s="12">
        <v>1375.01</v>
      </c>
      <c r="R246" s="7" t="s">
        <v>1371</v>
      </c>
    </row>
    <row r="247" spans="1:18">
      <c r="A247" s="7" t="s">
        <v>635</v>
      </c>
      <c r="B247" s="7" t="s">
        <v>636</v>
      </c>
      <c r="C247" s="7" t="s">
        <v>569</v>
      </c>
      <c r="D247" s="7" t="s">
        <v>577</v>
      </c>
      <c r="E247" s="7">
        <v>1219000754</v>
      </c>
      <c r="F247" s="7" t="s">
        <v>824</v>
      </c>
      <c r="G247" s="7" t="s">
        <v>1411</v>
      </c>
      <c r="H247" s="7" t="s">
        <v>139</v>
      </c>
      <c r="I247" s="7" t="s">
        <v>1624</v>
      </c>
      <c r="J247" s="7" t="s">
        <v>1625</v>
      </c>
      <c r="K247" s="7">
        <v>1211078581</v>
      </c>
      <c r="L247" s="7"/>
      <c r="M247" s="7" t="s">
        <v>85</v>
      </c>
      <c r="N247" s="18">
        <v>46232</v>
      </c>
      <c r="O247" s="7" t="s">
        <v>573</v>
      </c>
      <c r="P247" s="13">
        <v>1248</v>
      </c>
      <c r="Q247" s="12">
        <v>1309090.9099999999</v>
      </c>
      <c r="R247" s="7" t="s">
        <v>1371</v>
      </c>
    </row>
    <row r="248" spans="1:18">
      <c r="A248" s="7" t="s">
        <v>635</v>
      </c>
      <c r="B248" s="7" t="s">
        <v>636</v>
      </c>
      <c r="C248" s="7" t="s">
        <v>569</v>
      </c>
      <c r="D248" s="7" t="s">
        <v>600</v>
      </c>
      <c r="E248" s="7">
        <v>1219001017</v>
      </c>
      <c r="F248" s="7" t="s">
        <v>824</v>
      </c>
      <c r="G248" s="7" t="s">
        <v>345</v>
      </c>
      <c r="H248" s="7" t="s">
        <v>218</v>
      </c>
      <c r="I248" s="7" t="s">
        <v>1626</v>
      </c>
      <c r="J248" s="7" t="s">
        <v>1627</v>
      </c>
      <c r="K248" s="7">
        <v>1211078582</v>
      </c>
      <c r="L248" s="7"/>
      <c r="M248" s="7" t="s">
        <v>85</v>
      </c>
      <c r="N248" s="18">
        <v>46232</v>
      </c>
      <c r="O248" s="7" t="s">
        <v>573</v>
      </c>
      <c r="P248" s="13">
        <v>20</v>
      </c>
      <c r="Q248" s="12">
        <v>43456.54</v>
      </c>
      <c r="R248" s="7" t="s">
        <v>1371</v>
      </c>
    </row>
    <row r="249" spans="1:18">
      <c r="A249" s="7" t="s">
        <v>760</v>
      </c>
      <c r="B249" s="7" t="s">
        <v>761</v>
      </c>
      <c r="C249" s="7" t="s">
        <v>569</v>
      </c>
      <c r="D249" s="7" t="s">
        <v>599</v>
      </c>
      <c r="E249" s="7">
        <v>1219000546</v>
      </c>
      <c r="F249" s="7" t="s">
        <v>828</v>
      </c>
      <c r="G249" s="7" t="s">
        <v>121</v>
      </c>
      <c r="H249" s="7" t="s">
        <v>357</v>
      </c>
      <c r="I249" s="7" t="s">
        <v>1628</v>
      </c>
      <c r="J249" s="7" t="s">
        <v>1629</v>
      </c>
      <c r="K249" s="7">
        <v>1211078584</v>
      </c>
      <c r="L249" s="7"/>
      <c r="M249" s="7" t="s">
        <v>85</v>
      </c>
      <c r="N249" s="18">
        <v>46232</v>
      </c>
      <c r="O249" s="7" t="s">
        <v>573</v>
      </c>
      <c r="P249" s="13">
        <v>16</v>
      </c>
      <c r="Q249" s="12">
        <v>87125.99</v>
      </c>
      <c r="R249" s="7" t="s">
        <v>1371</v>
      </c>
    </row>
    <row r="250" spans="1:18">
      <c r="A250" s="7" t="s">
        <v>637</v>
      </c>
      <c r="B250" s="7" t="s">
        <v>607</v>
      </c>
      <c r="C250" s="7" t="s">
        <v>569</v>
      </c>
      <c r="D250" s="7" t="s">
        <v>599</v>
      </c>
      <c r="E250" s="7">
        <v>1219000546</v>
      </c>
      <c r="F250" s="7" t="s">
        <v>828</v>
      </c>
      <c r="G250" s="7" t="s">
        <v>121</v>
      </c>
      <c r="H250" s="7" t="s">
        <v>357</v>
      </c>
      <c r="I250" s="7" t="s">
        <v>1630</v>
      </c>
      <c r="J250" s="7" t="s">
        <v>1631</v>
      </c>
      <c r="K250" s="7">
        <v>1211078590</v>
      </c>
      <c r="L250" s="7"/>
      <c r="M250" s="7" t="s">
        <v>85</v>
      </c>
      <c r="N250" s="18">
        <v>46232</v>
      </c>
      <c r="O250" s="7" t="s">
        <v>573</v>
      </c>
      <c r="P250" s="13">
        <v>68</v>
      </c>
      <c r="Q250" s="12">
        <v>408000</v>
      </c>
      <c r="R250" s="7" t="s">
        <v>1371</v>
      </c>
    </row>
    <row r="251" spans="1:18">
      <c r="A251" s="7" t="s">
        <v>637</v>
      </c>
      <c r="B251" s="7" t="s">
        <v>607</v>
      </c>
      <c r="C251" s="7" t="s">
        <v>569</v>
      </c>
      <c r="D251" s="7" t="s">
        <v>623</v>
      </c>
      <c r="E251" s="7">
        <v>1219000547</v>
      </c>
      <c r="F251" s="7" t="s">
        <v>828</v>
      </c>
      <c r="G251" s="7" t="s">
        <v>624</v>
      </c>
      <c r="H251" s="7" t="s">
        <v>431</v>
      </c>
      <c r="I251" s="7" t="s">
        <v>1630</v>
      </c>
      <c r="J251" s="7" t="s">
        <v>1631</v>
      </c>
      <c r="K251" s="7">
        <v>1211078590</v>
      </c>
      <c r="L251" s="7"/>
      <c r="M251" s="7" t="s">
        <v>85</v>
      </c>
      <c r="N251" s="18">
        <v>46232</v>
      </c>
      <c r="O251" s="7" t="s">
        <v>573</v>
      </c>
      <c r="P251" s="13">
        <v>8</v>
      </c>
      <c r="Q251" s="12">
        <v>48000</v>
      </c>
      <c r="R251" s="7" t="s">
        <v>1371</v>
      </c>
    </row>
    <row r="252" spans="1:18">
      <c r="A252" s="7" t="s">
        <v>637</v>
      </c>
      <c r="B252" s="7" t="s">
        <v>607</v>
      </c>
      <c r="C252" s="7" t="s">
        <v>569</v>
      </c>
      <c r="D252" s="7" t="s">
        <v>622</v>
      </c>
      <c r="E252" s="7">
        <v>1219000544</v>
      </c>
      <c r="F252" s="7" t="s">
        <v>828</v>
      </c>
      <c r="G252" s="7" t="s">
        <v>121</v>
      </c>
      <c r="H252" s="7" t="s">
        <v>424</v>
      </c>
      <c r="I252" s="7" t="s">
        <v>1630</v>
      </c>
      <c r="J252" s="7" t="s">
        <v>1631</v>
      </c>
      <c r="K252" s="7">
        <v>1211078590</v>
      </c>
      <c r="L252" s="7"/>
      <c r="M252" s="7" t="s">
        <v>85</v>
      </c>
      <c r="N252" s="18">
        <v>46232</v>
      </c>
      <c r="O252" s="7" t="s">
        <v>573</v>
      </c>
      <c r="P252" s="13">
        <v>60</v>
      </c>
      <c r="Q252" s="12">
        <v>360000</v>
      </c>
      <c r="R252" s="7" t="s">
        <v>1371</v>
      </c>
    </row>
    <row r="253" spans="1:18">
      <c r="A253" s="7" t="s">
        <v>659</v>
      </c>
      <c r="B253" s="7" t="s">
        <v>660</v>
      </c>
      <c r="C253" s="7" t="s">
        <v>569</v>
      </c>
      <c r="D253" s="7" t="s">
        <v>658</v>
      </c>
      <c r="E253" s="7">
        <v>1219000799</v>
      </c>
      <c r="F253" s="7" t="s">
        <v>828</v>
      </c>
      <c r="G253" s="7" t="s">
        <v>360</v>
      </c>
      <c r="H253" s="7" t="s">
        <v>332</v>
      </c>
      <c r="I253" s="7" t="s">
        <v>1531</v>
      </c>
      <c r="J253" s="7" t="s">
        <v>1532</v>
      </c>
      <c r="K253" s="7">
        <v>1211078595</v>
      </c>
      <c r="L253" s="7"/>
      <c r="M253" s="7" t="s">
        <v>85</v>
      </c>
      <c r="N253" s="18">
        <v>46233</v>
      </c>
      <c r="O253" s="7" t="s">
        <v>573</v>
      </c>
      <c r="P253" s="13">
        <v>40000</v>
      </c>
      <c r="Q253" s="12">
        <v>1878121.88</v>
      </c>
      <c r="R253" s="7" t="s">
        <v>1371</v>
      </c>
    </row>
    <row r="254" spans="1:18">
      <c r="A254" s="7" t="s">
        <v>753</v>
      </c>
      <c r="B254" s="7" t="s">
        <v>754</v>
      </c>
      <c r="C254" s="7" t="s">
        <v>569</v>
      </c>
      <c r="D254" s="7" t="s">
        <v>708</v>
      </c>
      <c r="E254" s="7">
        <v>1219000822</v>
      </c>
      <c r="F254" s="7" t="s">
        <v>828</v>
      </c>
      <c r="G254" s="7" t="s">
        <v>644</v>
      </c>
      <c r="H254" s="7" t="s">
        <v>709</v>
      </c>
      <c r="I254" s="7" t="s">
        <v>1632</v>
      </c>
      <c r="J254" s="7" t="s">
        <v>1633</v>
      </c>
      <c r="K254" s="7">
        <v>1211078869</v>
      </c>
      <c r="L254" s="7"/>
      <c r="M254" s="7" t="s">
        <v>85</v>
      </c>
      <c r="N254" s="18">
        <v>46233</v>
      </c>
      <c r="O254" s="7" t="s">
        <v>573</v>
      </c>
      <c r="P254" s="13">
        <v>20</v>
      </c>
      <c r="Q254" s="12">
        <v>27091.55</v>
      </c>
      <c r="R254" s="7" t="s">
        <v>1371</v>
      </c>
    </row>
    <row r="255" spans="1:18">
      <c r="A255" s="7" t="s">
        <v>753</v>
      </c>
      <c r="B255" s="7" t="s">
        <v>754</v>
      </c>
      <c r="C255" s="7" t="s">
        <v>569</v>
      </c>
      <c r="D255" s="7" t="s">
        <v>693</v>
      </c>
      <c r="E255" s="7">
        <v>1219000823</v>
      </c>
      <c r="F255" s="7" t="s">
        <v>828</v>
      </c>
      <c r="G255" s="7" t="s">
        <v>644</v>
      </c>
      <c r="H255" s="7" t="s">
        <v>694</v>
      </c>
      <c r="I255" s="7" t="s">
        <v>1632</v>
      </c>
      <c r="J255" s="7" t="s">
        <v>1633</v>
      </c>
      <c r="K255" s="7">
        <v>1211078869</v>
      </c>
      <c r="L255" s="7"/>
      <c r="M255" s="7" t="s">
        <v>85</v>
      </c>
      <c r="N255" s="18">
        <v>46233</v>
      </c>
      <c r="O255" s="7" t="s">
        <v>573</v>
      </c>
      <c r="P255" s="13">
        <v>40</v>
      </c>
      <c r="Q255" s="12">
        <v>86117.27</v>
      </c>
      <c r="R255" s="7" t="s">
        <v>1371</v>
      </c>
    </row>
    <row r="256" spans="1:18">
      <c r="A256" s="7" t="s">
        <v>753</v>
      </c>
      <c r="B256" s="7" t="s">
        <v>754</v>
      </c>
      <c r="C256" s="7" t="s">
        <v>569</v>
      </c>
      <c r="D256" s="7" t="s">
        <v>695</v>
      </c>
      <c r="E256" s="7">
        <v>1219000824</v>
      </c>
      <c r="F256" s="7" t="s">
        <v>828</v>
      </c>
      <c r="G256" s="7" t="s">
        <v>644</v>
      </c>
      <c r="H256" s="7" t="s">
        <v>696</v>
      </c>
      <c r="I256" s="7" t="s">
        <v>1632</v>
      </c>
      <c r="J256" s="7" t="s">
        <v>1633</v>
      </c>
      <c r="K256" s="7">
        <v>1211078869</v>
      </c>
      <c r="L256" s="7"/>
      <c r="M256" s="7" t="s">
        <v>85</v>
      </c>
      <c r="N256" s="18">
        <v>46233</v>
      </c>
      <c r="O256" s="7" t="s">
        <v>573</v>
      </c>
      <c r="P256" s="13">
        <v>20</v>
      </c>
      <c r="Q256" s="12">
        <v>57061.59</v>
      </c>
      <c r="R256" s="7" t="s">
        <v>1371</v>
      </c>
    </row>
    <row r="257" spans="1:18">
      <c r="A257" s="7" t="s">
        <v>753</v>
      </c>
      <c r="B257" s="7" t="s">
        <v>754</v>
      </c>
      <c r="C257" s="7" t="s">
        <v>569</v>
      </c>
      <c r="D257" s="7" t="s">
        <v>678</v>
      </c>
      <c r="E257" s="7">
        <v>1219000826</v>
      </c>
      <c r="F257" s="7" t="s">
        <v>828</v>
      </c>
      <c r="G257" s="7" t="s">
        <v>675</v>
      </c>
      <c r="H257" s="7" t="s">
        <v>679</v>
      </c>
      <c r="I257" s="7" t="s">
        <v>1632</v>
      </c>
      <c r="J257" s="7" t="s">
        <v>1633</v>
      </c>
      <c r="K257" s="7">
        <v>1211078869</v>
      </c>
      <c r="L257" s="7"/>
      <c r="M257" s="7" t="s">
        <v>85</v>
      </c>
      <c r="N257" s="18">
        <v>46233</v>
      </c>
      <c r="O257" s="7" t="s">
        <v>573</v>
      </c>
      <c r="P257" s="13">
        <v>3</v>
      </c>
      <c r="Q257" s="12">
        <v>17194.669999999998</v>
      </c>
      <c r="R257" s="7" t="s">
        <v>1371</v>
      </c>
    </row>
    <row r="258" spans="1:18">
      <c r="A258" s="7" t="s">
        <v>777</v>
      </c>
      <c r="B258" s="7" t="s">
        <v>778</v>
      </c>
      <c r="C258" s="7" t="s">
        <v>569</v>
      </c>
      <c r="D258" s="7" t="s">
        <v>600</v>
      </c>
      <c r="E258" s="7">
        <v>1219001017</v>
      </c>
      <c r="F258" s="7" t="s">
        <v>824</v>
      </c>
      <c r="G258" s="7" t="s">
        <v>345</v>
      </c>
      <c r="H258" s="7" t="s">
        <v>218</v>
      </c>
      <c r="I258" s="7" t="s">
        <v>1634</v>
      </c>
      <c r="J258" s="7" t="s">
        <v>1635</v>
      </c>
      <c r="K258" s="7">
        <v>1211078891</v>
      </c>
      <c r="L258" s="7"/>
      <c r="M258" s="7" t="s">
        <v>85</v>
      </c>
      <c r="N258" s="18">
        <v>46234</v>
      </c>
      <c r="O258" s="7" t="s">
        <v>573</v>
      </c>
      <c r="P258" s="13">
        <v>117</v>
      </c>
      <c r="Q258" s="12">
        <v>249091.95</v>
      </c>
      <c r="R258" s="7" t="s">
        <v>1371</v>
      </c>
    </row>
    <row r="259" spans="1:18">
      <c r="A259" s="7" t="s">
        <v>798</v>
      </c>
      <c r="B259" s="7" t="s">
        <v>799</v>
      </c>
      <c r="C259" s="7" t="s">
        <v>1487</v>
      </c>
      <c r="D259" s="7" t="s">
        <v>617</v>
      </c>
      <c r="E259" s="7">
        <v>1219000660</v>
      </c>
      <c r="F259" s="7" t="s">
        <v>1288</v>
      </c>
      <c r="G259" s="7" t="s">
        <v>627</v>
      </c>
      <c r="H259" s="7" t="s">
        <v>110</v>
      </c>
      <c r="I259" s="7" t="s">
        <v>1636</v>
      </c>
      <c r="J259" s="7" t="s">
        <v>1637</v>
      </c>
      <c r="K259" s="7">
        <v>1211078900</v>
      </c>
      <c r="L259" s="7"/>
      <c r="M259" s="7" t="s">
        <v>85</v>
      </c>
      <c r="N259" s="18">
        <v>46234</v>
      </c>
      <c r="O259" s="7" t="s">
        <v>573</v>
      </c>
      <c r="P259" s="13">
        <v>3000</v>
      </c>
      <c r="Q259" s="12">
        <v>285000</v>
      </c>
      <c r="R259" s="7" t="s">
        <v>1371</v>
      </c>
    </row>
    <row r="260" spans="1:18">
      <c r="A260" s="7" t="s">
        <v>798</v>
      </c>
      <c r="B260" s="7" t="s">
        <v>799</v>
      </c>
      <c r="C260" s="7" t="s">
        <v>1487</v>
      </c>
      <c r="D260" s="7" t="s">
        <v>617</v>
      </c>
      <c r="E260" s="7">
        <v>1219000660</v>
      </c>
      <c r="F260" s="7" t="s">
        <v>1288</v>
      </c>
      <c r="G260" s="7" t="s">
        <v>1403</v>
      </c>
      <c r="H260" s="7" t="s">
        <v>110</v>
      </c>
      <c r="I260" s="7" t="s">
        <v>1636</v>
      </c>
      <c r="J260" s="7" t="s">
        <v>1637</v>
      </c>
      <c r="K260" s="7">
        <v>1211078900</v>
      </c>
      <c r="L260" s="7"/>
      <c r="M260" s="7" t="s">
        <v>85</v>
      </c>
      <c r="N260" s="18">
        <v>46234</v>
      </c>
      <c r="O260" s="7" t="s">
        <v>573</v>
      </c>
      <c r="P260" s="13">
        <v>3000</v>
      </c>
      <c r="Q260" s="12">
        <v>285000</v>
      </c>
      <c r="R260" s="7" t="s">
        <v>1371</v>
      </c>
    </row>
    <row r="261" spans="1:18">
      <c r="A261" s="7" t="s">
        <v>608</v>
      </c>
      <c r="B261" s="7" t="s">
        <v>609</v>
      </c>
      <c r="C261" s="7" t="s">
        <v>569</v>
      </c>
      <c r="D261" s="7" t="s">
        <v>582</v>
      </c>
      <c r="E261" s="7">
        <v>1219000780</v>
      </c>
      <c r="F261" s="7" t="s">
        <v>1288</v>
      </c>
      <c r="G261" s="7" t="s">
        <v>269</v>
      </c>
      <c r="H261" s="7" t="s">
        <v>115</v>
      </c>
      <c r="I261" s="7" t="s">
        <v>1638</v>
      </c>
      <c r="J261" s="7" t="s">
        <v>1639</v>
      </c>
      <c r="K261" s="7">
        <v>1211078902</v>
      </c>
      <c r="L261" s="7"/>
      <c r="M261" s="7" t="s">
        <v>85</v>
      </c>
      <c r="N261" s="18">
        <v>46234</v>
      </c>
      <c r="O261" s="7" t="s">
        <v>573</v>
      </c>
      <c r="P261" s="13">
        <v>1000</v>
      </c>
      <c r="Q261" s="12">
        <v>649350.65</v>
      </c>
      <c r="R261" s="7" t="s">
        <v>1371</v>
      </c>
    </row>
    <row r="262" spans="1:18">
      <c r="A262" s="7" t="s">
        <v>670</v>
      </c>
      <c r="B262" s="7" t="s">
        <v>671</v>
      </c>
      <c r="C262" s="7" t="s">
        <v>569</v>
      </c>
      <c r="D262" s="7" t="s">
        <v>1640</v>
      </c>
      <c r="E262" s="7">
        <v>1219000584</v>
      </c>
      <c r="F262" s="7" t="s">
        <v>828</v>
      </c>
      <c r="G262" s="7" t="s">
        <v>1641</v>
      </c>
      <c r="H262" s="7" t="s">
        <v>1642</v>
      </c>
      <c r="I262" s="7" t="s">
        <v>1643</v>
      </c>
      <c r="J262" s="7" t="s">
        <v>1644</v>
      </c>
      <c r="K262" s="7">
        <v>1211078903</v>
      </c>
      <c r="L262" s="7"/>
      <c r="M262" s="7" t="s">
        <v>85</v>
      </c>
      <c r="N262" s="18">
        <v>46234</v>
      </c>
      <c r="O262" s="7" t="s">
        <v>573</v>
      </c>
      <c r="P262" s="13">
        <v>1500</v>
      </c>
      <c r="Q262" s="12">
        <v>75000</v>
      </c>
      <c r="R262" s="7" t="s">
        <v>1371</v>
      </c>
    </row>
    <row r="263" spans="1:18">
      <c r="A263" s="7" t="s">
        <v>575</v>
      </c>
      <c r="B263" s="7" t="s">
        <v>576</v>
      </c>
      <c r="C263" s="7" t="s">
        <v>569</v>
      </c>
      <c r="D263" s="7" t="s">
        <v>802</v>
      </c>
      <c r="E263" s="7">
        <v>1219000610</v>
      </c>
      <c r="F263" s="7" t="s">
        <v>824</v>
      </c>
      <c r="G263" s="7" t="s">
        <v>1645</v>
      </c>
      <c r="H263" s="7" t="s">
        <v>326</v>
      </c>
      <c r="I263" s="7" t="s">
        <v>1646</v>
      </c>
      <c r="J263" s="7" t="s">
        <v>1647</v>
      </c>
      <c r="K263" s="7">
        <v>1211078904</v>
      </c>
      <c r="L263" s="7"/>
      <c r="M263" s="7" t="s">
        <v>85</v>
      </c>
      <c r="N263" s="18">
        <v>46234</v>
      </c>
      <c r="O263" s="7" t="s">
        <v>573</v>
      </c>
      <c r="P263" s="13">
        <v>1000</v>
      </c>
      <c r="Q263" s="12">
        <v>435000</v>
      </c>
      <c r="R263" s="7" t="s">
        <v>1371</v>
      </c>
    </row>
    <row r="264" spans="1:18">
      <c r="A264" s="7" t="s">
        <v>575</v>
      </c>
      <c r="B264" s="7" t="s">
        <v>576</v>
      </c>
      <c r="C264" s="7" t="s">
        <v>569</v>
      </c>
      <c r="D264" s="7" t="s">
        <v>577</v>
      </c>
      <c r="E264" s="7">
        <v>1219000754</v>
      </c>
      <c r="F264" s="7" t="s">
        <v>824</v>
      </c>
      <c r="G264" s="7" t="s">
        <v>1411</v>
      </c>
      <c r="H264" s="7" t="s">
        <v>139</v>
      </c>
      <c r="I264" s="7" t="s">
        <v>1646</v>
      </c>
      <c r="J264" s="7" t="s">
        <v>1647</v>
      </c>
      <c r="K264" s="7">
        <v>1211078904</v>
      </c>
      <c r="L264" s="7"/>
      <c r="M264" s="7" t="s">
        <v>85</v>
      </c>
      <c r="N264" s="18">
        <v>46234</v>
      </c>
      <c r="O264" s="7" t="s">
        <v>573</v>
      </c>
      <c r="P264" s="13">
        <v>1000</v>
      </c>
      <c r="Q264" s="12">
        <v>1050000</v>
      </c>
      <c r="R264" s="7" t="s">
        <v>1371</v>
      </c>
    </row>
    <row r="265" spans="1:18">
      <c r="A265" s="7" t="s">
        <v>575</v>
      </c>
      <c r="B265" s="7" t="s">
        <v>576</v>
      </c>
      <c r="C265" s="7" t="s">
        <v>569</v>
      </c>
      <c r="D265" s="7" t="s">
        <v>579</v>
      </c>
      <c r="E265" s="7">
        <v>1219000832</v>
      </c>
      <c r="F265" s="7" t="s">
        <v>824</v>
      </c>
      <c r="G265" s="7" t="s">
        <v>164</v>
      </c>
      <c r="H265" s="7" t="s">
        <v>163</v>
      </c>
      <c r="I265" s="7" t="s">
        <v>1646</v>
      </c>
      <c r="J265" s="7" t="s">
        <v>1647</v>
      </c>
      <c r="K265" s="7">
        <v>1211078904</v>
      </c>
      <c r="L265" s="7"/>
      <c r="M265" s="7" t="s">
        <v>85</v>
      </c>
      <c r="N265" s="18">
        <v>46234</v>
      </c>
      <c r="O265" s="7" t="s">
        <v>573</v>
      </c>
      <c r="P265" s="13">
        <v>1000</v>
      </c>
      <c r="Q265" s="12">
        <v>115000</v>
      </c>
      <c r="R265" s="7" t="s">
        <v>1371</v>
      </c>
    </row>
    <row r="266" spans="1:18">
      <c r="A266" s="7" t="s">
        <v>820</v>
      </c>
      <c r="B266" s="7" t="s">
        <v>821</v>
      </c>
      <c r="C266" s="7" t="s">
        <v>569</v>
      </c>
      <c r="D266" s="7" t="s">
        <v>658</v>
      </c>
      <c r="E266" s="7">
        <v>1219000799</v>
      </c>
      <c r="F266" s="7" t="s">
        <v>828</v>
      </c>
      <c r="G266" s="7" t="s">
        <v>360</v>
      </c>
      <c r="H266" s="7" t="s">
        <v>332</v>
      </c>
      <c r="I266" s="7" t="s">
        <v>1648</v>
      </c>
      <c r="J266" s="7" t="s">
        <v>1649</v>
      </c>
      <c r="K266" s="7">
        <v>1211078905</v>
      </c>
      <c r="L266" s="7"/>
      <c r="M266" s="7" t="s">
        <v>85</v>
      </c>
      <c r="N266" s="18">
        <v>46234</v>
      </c>
      <c r="O266" s="7" t="s">
        <v>573</v>
      </c>
      <c r="P266" s="13">
        <v>5000</v>
      </c>
      <c r="Q266" s="12">
        <v>235000</v>
      </c>
      <c r="R266" s="7" t="s">
        <v>1371</v>
      </c>
    </row>
    <row r="267" spans="1:18">
      <c r="A267" s="7" t="s">
        <v>637</v>
      </c>
      <c r="B267" s="7" t="s">
        <v>607</v>
      </c>
      <c r="C267" s="7" t="s">
        <v>569</v>
      </c>
      <c r="D267" s="7" t="s">
        <v>665</v>
      </c>
      <c r="E267" s="7">
        <v>1219000551</v>
      </c>
      <c r="F267" s="7" t="s">
        <v>828</v>
      </c>
      <c r="G267" s="7" t="s">
        <v>121</v>
      </c>
      <c r="H267" s="7" t="s">
        <v>120</v>
      </c>
      <c r="I267" s="7" t="s">
        <v>1650</v>
      </c>
      <c r="J267" s="7" t="s">
        <v>1651</v>
      </c>
      <c r="K267" s="7">
        <v>1211078906</v>
      </c>
      <c r="L267" s="7"/>
      <c r="M267" s="7" t="s">
        <v>85</v>
      </c>
      <c r="N267" s="18">
        <v>46234</v>
      </c>
      <c r="O267" s="7" t="s">
        <v>573</v>
      </c>
      <c r="P267" s="13">
        <v>108</v>
      </c>
      <c r="Q267" s="12">
        <v>648000</v>
      </c>
      <c r="R267" s="7" t="s">
        <v>1371</v>
      </c>
    </row>
    <row r="268" spans="1:18">
      <c r="A268" s="7" t="s">
        <v>736</v>
      </c>
      <c r="B268" s="7" t="s">
        <v>737</v>
      </c>
      <c r="C268" s="7" t="s">
        <v>569</v>
      </c>
      <c r="D268" s="7" t="s">
        <v>802</v>
      </c>
      <c r="E268" s="7">
        <v>1219000610</v>
      </c>
      <c r="F268" s="7" t="s">
        <v>824</v>
      </c>
      <c r="G268" s="7" t="s">
        <v>1654</v>
      </c>
      <c r="H268" s="7" t="s">
        <v>326</v>
      </c>
      <c r="I268" s="7" t="s">
        <v>1655</v>
      </c>
      <c r="J268" s="7" t="s">
        <v>1656</v>
      </c>
      <c r="K268" s="7">
        <v>1211078908</v>
      </c>
      <c r="L268" s="7"/>
      <c r="M268" s="7" t="s">
        <v>85</v>
      </c>
      <c r="N268" s="18">
        <v>46234</v>
      </c>
      <c r="O268" s="7" t="s">
        <v>573</v>
      </c>
      <c r="P268" s="13">
        <v>300</v>
      </c>
      <c r="Q268" s="12">
        <v>138000</v>
      </c>
      <c r="R268" s="7" t="s">
        <v>1371</v>
      </c>
    </row>
    <row r="269" spans="1:18">
      <c r="A269" s="7" t="s">
        <v>736</v>
      </c>
      <c r="B269" s="7" t="s">
        <v>737</v>
      </c>
      <c r="C269" s="7" t="s">
        <v>569</v>
      </c>
      <c r="D269" s="7" t="s">
        <v>577</v>
      </c>
      <c r="E269" s="7">
        <v>1219000754</v>
      </c>
      <c r="F269" s="7" t="s">
        <v>824</v>
      </c>
      <c r="G269" s="7" t="s">
        <v>1411</v>
      </c>
      <c r="H269" s="7" t="s">
        <v>139</v>
      </c>
      <c r="I269" s="7" t="s">
        <v>1655</v>
      </c>
      <c r="J269" s="7" t="s">
        <v>1656</v>
      </c>
      <c r="K269" s="7">
        <v>1211078908</v>
      </c>
      <c r="L269" s="7"/>
      <c r="M269" s="7" t="s">
        <v>85</v>
      </c>
      <c r="N269" s="18">
        <v>46234</v>
      </c>
      <c r="O269" s="7" t="s">
        <v>573</v>
      </c>
      <c r="P269" s="13">
        <v>300</v>
      </c>
      <c r="Q269" s="12">
        <v>366000</v>
      </c>
      <c r="R269" s="7" t="s">
        <v>1371</v>
      </c>
    </row>
    <row r="270" spans="1:18">
      <c r="A270" s="7" t="s">
        <v>736</v>
      </c>
      <c r="B270" s="7" t="s">
        <v>737</v>
      </c>
      <c r="C270" s="7" t="s">
        <v>569</v>
      </c>
      <c r="D270" s="7" t="s">
        <v>579</v>
      </c>
      <c r="E270" s="7">
        <v>1219000832</v>
      </c>
      <c r="F270" s="7" t="s">
        <v>824</v>
      </c>
      <c r="G270" s="7" t="s">
        <v>164</v>
      </c>
      <c r="H270" s="7" t="s">
        <v>163</v>
      </c>
      <c r="I270" s="7" t="s">
        <v>1655</v>
      </c>
      <c r="J270" s="7" t="s">
        <v>1656</v>
      </c>
      <c r="K270" s="7">
        <v>1211078908</v>
      </c>
      <c r="L270" s="7"/>
      <c r="M270" s="7" t="s">
        <v>85</v>
      </c>
      <c r="N270" s="18">
        <v>46234</v>
      </c>
      <c r="O270" s="7" t="s">
        <v>573</v>
      </c>
      <c r="P270" s="13">
        <v>200</v>
      </c>
      <c r="Q270" s="12">
        <v>23000</v>
      </c>
      <c r="R270" s="7" t="s">
        <v>1371</v>
      </c>
    </row>
    <row r="271" spans="1:18">
      <c r="A271" s="7" t="s">
        <v>1297</v>
      </c>
      <c r="B271" s="7" t="s">
        <v>1298</v>
      </c>
      <c r="C271" s="7" t="s">
        <v>569</v>
      </c>
      <c r="D271" s="7" t="s">
        <v>548</v>
      </c>
      <c r="E271" s="7">
        <v>1219000668</v>
      </c>
      <c r="F271" s="7" t="s">
        <v>828</v>
      </c>
      <c r="G271" s="7" t="s">
        <v>685</v>
      </c>
      <c r="H271" s="7" t="s">
        <v>549</v>
      </c>
      <c r="I271" s="7" t="s">
        <v>1657</v>
      </c>
      <c r="J271" s="7" t="s">
        <v>1658</v>
      </c>
      <c r="K271" s="7">
        <v>1211078909</v>
      </c>
      <c r="L271" s="7"/>
      <c r="M271" s="7" t="s">
        <v>85</v>
      </c>
      <c r="N271" s="18">
        <v>46234</v>
      </c>
      <c r="O271" s="7" t="s">
        <v>573</v>
      </c>
      <c r="P271" s="13">
        <v>3000</v>
      </c>
      <c r="Q271" s="12">
        <v>161593.22</v>
      </c>
      <c r="R271" s="7" t="s">
        <v>1371</v>
      </c>
    </row>
    <row r="272" spans="1:18">
      <c r="A272" s="7" t="s">
        <v>1297</v>
      </c>
      <c r="B272" s="7" t="s">
        <v>1298</v>
      </c>
      <c r="C272" s="7" t="s">
        <v>569</v>
      </c>
      <c r="D272" s="7" t="s">
        <v>658</v>
      </c>
      <c r="E272" s="7">
        <v>1219000799</v>
      </c>
      <c r="F272" s="7" t="s">
        <v>828</v>
      </c>
      <c r="G272" s="7" t="s">
        <v>360</v>
      </c>
      <c r="H272" s="7" t="s">
        <v>332</v>
      </c>
      <c r="I272" s="7" t="s">
        <v>1657</v>
      </c>
      <c r="J272" s="7" t="s">
        <v>1658</v>
      </c>
      <c r="K272" s="7">
        <v>1211078909</v>
      </c>
      <c r="L272" s="7"/>
      <c r="M272" s="7" t="s">
        <v>85</v>
      </c>
      <c r="N272" s="18">
        <v>46234</v>
      </c>
      <c r="O272" s="7" t="s">
        <v>573</v>
      </c>
      <c r="P272" s="13">
        <v>6500</v>
      </c>
      <c r="Q272" s="12">
        <v>318500</v>
      </c>
      <c r="R272" s="7" t="s">
        <v>1371</v>
      </c>
    </row>
    <row r="273" spans="1:18">
      <c r="A273" s="7" t="s">
        <v>1297</v>
      </c>
      <c r="B273" s="7" t="s">
        <v>1298</v>
      </c>
      <c r="C273" s="7" t="s">
        <v>569</v>
      </c>
      <c r="D273" s="7" t="s">
        <v>805</v>
      </c>
      <c r="E273" s="7">
        <v>1219000923</v>
      </c>
      <c r="F273" s="7" t="s">
        <v>828</v>
      </c>
      <c r="G273" s="7" t="s">
        <v>307</v>
      </c>
      <c r="H273" s="7" t="s">
        <v>322</v>
      </c>
      <c r="I273" s="7" t="s">
        <v>1657</v>
      </c>
      <c r="J273" s="7" t="s">
        <v>1658</v>
      </c>
      <c r="K273" s="7">
        <v>1211078909</v>
      </c>
      <c r="L273" s="7"/>
      <c r="M273" s="7" t="s">
        <v>85</v>
      </c>
      <c r="N273" s="18">
        <v>46234</v>
      </c>
      <c r="O273" s="7" t="s">
        <v>573</v>
      </c>
      <c r="P273" s="13">
        <v>500</v>
      </c>
      <c r="Q273" s="12">
        <v>37500</v>
      </c>
      <c r="R273" s="7" t="s">
        <v>1371</v>
      </c>
    </row>
    <row r="274" spans="1:18">
      <c r="A274" s="7" t="s">
        <v>653</v>
      </c>
      <c r="B274" s="7" t="s">
        <v>654</v>
      </c>
      <c r="C274" s="7" t="s">
        <v>569</v>
      </c>
      <c r="D274" s="7" t="s">
        <v>581</v>
      </c>
      <c r="E274" s="7">
        <v>1219000509</v>
      </c>
      <c r="F274" s="7" t="s">
        <v>1288</v>
      </c>
      <c r="G274" s="7" t="s">
        <v>1447</v>
      </c>
      <c r="H274" s="7" t="s">
        <v>171</v>
      </c>
      <c r="I274" s="7" t="s">
        <v>1533</v>
      </c>
      <c r="J274" s="7" t="s">
        <v>1534</v>
      </c>
      <c r="K274" s="7">
        <v>1211078910</v>
      </c>
      <c r="L274" s="7"/>
      <c r="M274" s="7" t="s">
        <v>85</v>
      </c>
      <c r="N274" s="18">
        <v>46234</v>
      </c>
      <c r="O274" s="7" t="s">
        <v>573</v>
      </c>
      <c r="P274" s="13">
        <v>1765</v>
      </c>
      <c r="Q274" s="12">
        <v>440827.53</v>
      </c>
      <c r="R274" s="7" t="s">
        <v>1371</v>
      </c>
    </row>
    <row r="275" spans="1:18">
      <c r="A275" s="7" t="s">
        <v>653</v>
      </c>
      <c r="B275" s="7" t="s">
        <v>654</v>
      </c>
      <c r="C275" s="7" t="s">
        <v>569</v>
      </c>
      <c r="D275" s="7" t="s">
        <v>582</v>
      </c>
      <c r="E275" s="7">
        <v>1219000780</v>
      </c>
      <c r="F275" s="7" t="s">
        <v>1288</v>
      </c>
      <c r="G275" s="7" t="s">
        <v>269</v>
      </c>
      <c r="H275" s="7" t="s">
        <v>115</v>
      </c>
      <c r="I275" s="7" t="s">
        <v>1533</v>
      </c>
      <c r="J275" s="7" t="s">
        <v>1534</v>
      </c>
      <c r="K275" s="7">
        <v>1211078910</v>
      </c>
      <c r="L275" s="7"/>
      <c r="M275" s="7" t="s">
        <v>85</v>
      </c>
      <c r="N275" s="18">
        <v>46234</v>
      </c>
      <c r="O275" s="7" t="s">
        <v>573</v>
      </c>
      <c r="P275" s="13">
        <v>500</v>
      </c>
      <c r="Q275" s="12">
        <v>324675.32</v>
      </c>
      <c r="R275" s="7" t="s">
        <v>1371</v>
      </c>
    </row>
    <row r="276" spans="1:18">
      <c r="A276" s="7" t="s">
        <v>653</v>
      </c>
      <c r="B276" s="7" t="s">
        <v>654</v>
      </c>
      <c r="C276" s="7" t="s">
        <v>569</v>
      </c>
      <c r="D276" s="7" t="s">
        <v>774</v>
      </c>
      <c r="E276" s="7">
        <v>1219001022</v>
      </c>
      <c r="F276" s="7" t="s">
        <v>1288</v>
      </c>
      <c r="G276" s="7" t="s">
        <v>265</v>
      </c>
      <c r="H276" s="7" t="s">
        <v>238</v>
      </c>
      <c r="I276" s="7" t="s">
        <v>1533</v>
      </c>
      <c r="J276" s="7" t="s">
        <v>1534</v>
      </c>
      <c r="K276" s="7">
        <v>1211078910</v>
      </c>
      <c r="L276" s="7"/>
      <c r="M276" s="7" t="s">
        <v>85</v>
      </c>
      <c r="N276" s="18">
        <v>46234</v>
      </c>
      <c r="O276" s="7" t="s">
        <v>573</v>
      </c>
      <c r="P276" s="13">
        <v>2000</v>
      </c>
      <c r="Q276" s="12">
        <v>109890.11</v>
      </c>
      <c r="R276" s="7" t="s">
        <v>1371</v>
      </c>
    </row>
    <row r="277" spans="1:18">
      <c r="A277" s="7" t="s">
        <v>601</v>
      </c>
      <c r="B277" s="7" t="s">
        <v>602</v>
      </c>
      <c r="C277" s="7" t="s">
        <v>569</v>
      </c>
      <c r="D277" s="7" t="s">
        <v>658</v>
      </c>
      <c r="E277" s="7">
        <v>1219000799</v>
      </c>
      <c r="F277" s="7" t="s">
        <v>828</v>
      </c>
      <c r="G277" s="7" t="s">
        <v>360</v>
      </c>
      <c r="H277" s="7" t="s">
        <v>332</v>
      </c>
      <c r="I277" s="7" t="s">
        <v>1731</v>
      </c>
      <c r="J277" s="7" t="s">
        <v>1732</v>
      </c>
      <c r="K277" s="7">
        <v>1211078914</v>
      </c>
      <c r="L277" s="7"/>
      <c r="M277" s="7" t="s">
        <v>85</v>
      </c>
      <c r="N277" s="18">
        <v>46238</v>
      </c>
      <c r="O277" s="7" t="s">
        <v>573</v>
      </c>
      <c r="P277" s="13">
        <v>5000</v>
      </c>
      <c r="Q277" s="12">
        <v>290000</v>
      </c>
      <c r="R277" s="7" t="s">
        <v>1371</v>
      </c>
    </row>
    <row r="278" spans="1:18">
      <c r="A278" s="7" t="s">
        <v>646</v>
      </c>
      <c r="B278" s="7" t="s">
        <v>647</v>
      </c>
      <c r="C278" s="7" t="s">
        <v>569</v>
      </c>
      <c r="D278" s="7" t="s">
        <v>603</v>
      </c>
      <c r="E278" s="7">
        <v>1219000758</v>
      </c>
      <c r="F278" s="7" t="s">
        <v>824</v>
      </c>
      <c r="G278" s="7" t="s">
        <v>145</v>
      </c>
      <c r="H278" s="7" t="s">
        <v>144</v>
      </c>
      <c r="I278" s="7" t="s">
        <v>1738</v>
      </c>
      <c r="J278" s="7" t="s">
        <v>1739</v>
      </c>
      <c r="K278" s="7">
        <v>1211078924</v>
      </c>
      <c r="L278" s="7"/>
      <c r="M278" s="7" t="s">
        <v>85</v>
      </c>
      <c r="N278" s="18">
        <v>46239</v>
      </c>
      <c r="O278" s="7" t="s">
        <v>573</v>
      </c>
      <c r="P278" s="13">
        <v>200</v>
      </c>
      <c r="Q278" s="12">
        <v>229770.23</v>
      </c>
      <c r="R278" s="7" t="s">
        <v>1371</v>
      </c>
    </row>
    <row r="279" spans="1:18">
      <c r="A279" s="7" t="s">
        <v>646</v>
      </c>
      <c r="B279" s="7" t="s">
        <v>647</v>
      </c>
      <c r="C279" s="7" t="s">
        <v>569</v>
      </c>
      <c r="D279" s="7" t="s">
        <v>802</v>
      </c>
      <c r="E279" s="7">
        <v>1219000610</v>
      </c>
      <c r="F279" s="7" t="s">
        <v>824</v>
      </c>
      <c r="G279" s="7" t="s">
        <v>1691</v>
      </c>
      <c r="H279" s="7" t="s">
        <v>326</v>
      </c>
      <c r="I279" s="7" t="s">
        <v>1738</v>
      </c>
      <c r="J279" s="7" t="s">
        <v>1739</v>
      </c>
      <c r="K279" s="7">
        <v>1211078924</v>
      </c>
      <c r="L279" s="7"/>
      <c r="M279" s="7" t="s">
        <v>85</v>
      </c>
      <c r="N279" s="18">
        <v>46239</v>
      </c>
      <c r="O279" s="7" t="s">
        <v>573</v>
      </c>
      <c r="P279" s="13">
        <v>100</v>
      </c>
      <c r="Q279" s="12">
        <v>43956.05</v>
      </c>
      <c r="R279" s="7" t="s">
        <v>1371</v>
      </c>
    </row>
    <row r="280" spans="1:18">
      <c r="A280" s="7" t="s">
        <v>646</v>
      </c>
      <c r="B280" s="7" t="s">
        <v>647</v>
      </c>
      <c r="C280" s="7" t="s">
        <v>569</v>
      </c>
      <c r="D280" s="7" t="s">
        <v>802</v>
      </c>
      <c r="E280" s="7">
        <v>1219000610</v>
      </c>
      <c r="F280" s="7" t="s">
        <v>824</v>
      </c>
      <c r="G280" s="7" t="s">
        <v>1502</v>
      </c>
      <c r="H280" s="7" t="s">
        <v>326</v>
      </c>
      <c r="I280" s="7" t="s">
        <v>1738</v>
      </c>
      <c r="J280" s="7" t="s">
        <v>1739</v>
      </c>
      <c r="K280" s="7">
        <v>1211078924</v>
      </c>
      <c r="L280" s="7"/>
      <c r="M280" s="7" t="s">
        <v>85</v>
      </c>
      <c r="N280" s="18">
        <v>46239</v>
      </c>
      <c r="O280" s="7" t="s">
        <v>573</v>
      </c>
      <c r="P280" s="13">
        <v>120</v>
      </c>
      <c r="Q280" s="12">
        <v>52747.25</v>
      </c>
      <c r="R280" s="7" t="s">
        <v>1371</v>
      </c>
    </row>
    <row r="281" spans="1:18">
      <c r="A281" s="7" t="s">
        <v>646</v>
      </c>
      <c r="B281" s="7" t="s">
        <v>647</v>
      </c>
      <c r="C281" s="7" t="s">
        <v>569</v>
      </c>
      <c r="D281" s="7" t="s">
        <v>577</v>
      </c>
      <c r="E281" s="7">
        <v>1219000754</v>
      </c>
      <c r="F281" s="7" t="s">
        <v>824</v>
      </c>
      <c r="G281" s="7" t="s">
        <v>1411</v>
      </c>
      <c r="H281" s="7" t="s">
        <v>139</v>
      </c>
      <c r="I281" s="7" t="s">
        <v>1738</v>
      </c>
      <c r="J281" s="7" t="s">
        <v>1739</v>
      </c>
      <c r="K281" s="7">
        <v>1211078924</v>
      </c>
      <c r="L281" s="7"/>
      <c r="M281" s="7" t="s">
        <v>85</v>
      </c>
      <c r="N281" s="18">
        <v>46239</v>
      </c>
      <c r="O281" s="7" t="s">
        <v>573</v>
      </c>
      <c r="P281" s="13">
        <v>20</v>
      </c>
      <c r="Q281" s="12">
        <v>20979.02</v>
      </c>
      <c r="R281" s="7" t="s">
        <v>1371</v>
      </c>
    </row>
    <row r="282" spans="1:18">
      <c r="A282" s="7" t="s">
        <v>646</v>
      </c>
      <c r="B282" s="7" t="s">
        <v>647</v>
      </c>
      <c r="C282" s="7" t="s">
        <v>569</v>
      </c>
      <c r="D282" s="7" t="s">
        <v>614</v>
      </c>
      <c r="E282" s="7">
        <v>1219000833</v>
      </c>
      <c r="F282" s="7" t="s">
        <v>824</v>
      </c>
      <c r="G282" s="7" t="s">
        <v>167</v>
      </c>
      <c r="H282" s="7" t="s">
        <v>166</v>
      </c>
      <c r="I282" s="7" t="s">
        <v>1740</v>
      </c>
      <c r="J282" s="7" t="s">
        <v>1741</v>
      </c>
      <c r="K282" s="7">
        <v>1211078925</v>
      </c>
      <c r="L282" s="7"/>
      <c r="M282" s="7" t="s">
        <v>85</v>
      </c>
      <c r="N282" s="18">
        <v>46239</v>
      </c>
      <c r="O282" s="7" t="s">
        <v>573</v>
      </c>
      <c r="P282" s="13">
        <v>60</v>
      </c>
      <c r="Q282" s="12">
        <v>6593.41</v>
      </c>
      <c r="R282" s="7" t="s">
        <v>1371</v>
      </c>
    </row>
    <row r="283" spans="1:18">
      <c r="A283" s="7" t="s">
        <v>646</v>
      </c>
      <c r="B283" s="7" t="s">
        <v>647</v>
      </c>
      <c r="C283" s="7" t="s">
        <v>569</v>
      </c>
      <c r="D283" s="7" t="s">
        <v>802</v>
      </c>
      <c r="E283" s="7">
        <v>1219000610</v>
      </c>
      <c r="F283" s="7" t="s">
        <v>824</v>
      </c>
      <c r="G283" s="7" t="s">
        <v>1502</v>
      </c>
      <c r="H283" s="7" t="s">
        <v>326</v>
      </c>
      <c r="I283" s="7" t="s">
        <v>1740</v>
      </c>
      <c r="J283" s="7" t="s">
        <v>1741</v>
      </c>
      <c r="K283" s="7">
        <v>1211078925</v>
      </c>
      <c r="L283" s="7"/>
      <c r="M283" s="7" t="s">
        <v>85</v>
      </c>
      <c r="N283" s="18">
        <v>46239</v>
      </c>
      <c r="O283" s="7" t="s">
        <v>573</v>
      </c>
      <c r="P283" s="13">
        <v>48</v>
      </c>
      <c r="Q283" s="12">
        <v>22057.94</v>
      </c>
      <c r="R283" s="7" t="s">
        <v>1371</v>
      </c>
    </row>
    <row r="284" spans="1:18">
      <c r="A284" s="7" t="s">
        <v>646</v>
      </c>
      <c r="B284" s="7" t="s">
        <v>647</v>
      </c>
      <c r="C284" s="7" t="s">
        <v>569</v>
      </c>
      <c r="D284" s="7" t="s">
        <v>577</v>
      </c>
      <c r="E284" s="7">
        <v>1219000754</v>
      </c>
      <c r="F284" s="7" t="s">
        <v>824</v>
      </c>
      <c r="G284" s="7" t="s">
        <v>1411</v>
      </c>
      <c r="H284" s="7" t="s">
        <v>139</v>
      </c>
      <c r="I284" s="7" t="s">
        <v>1740</v>
      </c>
      <c r="J284" s="7" t="s">
        <v>1741</v>
      </c>
      <c r="K284" s="7">
        <v>1211078925</v>
      </c>
      <c r="L284" s="7"/>
      <c r="M284" s="7" t="s">
        <v>85</v>
      </c>
      <c r="N284" s="18">
        <v>46239</v>
      </c>
      <c r="O284" s="7" t="s">
        <v>573</v>
      </c>
      <c r="P284" s="13">
        <v>48</v>
      </c>
      <c r="Q284" s="12">
        <v>52267.73</v>
      </c>
      <c r="R284" s="7" t="s">
        <v>1371</v>
      </c>
    </row>
    <row r="285" spans="1:18">
      <c r="A285" s="7" t="s">
        <v>680</v>
      </c>
      <c r="B285" s="7" t="s">
        <v>681</v>
      </c>
      <c r="C285" s="7" t="s">
        <v>569</v>
      </c>
      <c r="D285" s="7" t="s">
        <v>577</v>
      </c>
      <c r="E285" s="7">
        <v>1219000754</v>
      </c>
      <c r="F285" s="7" t="s">
        <v>824</v>
      </c>
      <c r="G285" s="7" t="s">
        <v>1411</v>
      </c>
      <c r="H285" s="7" t="s">
        <v>139</v>
      </c>
      <c r="I285" s="7" t="s">
        <v>1742</v>
      </c>
      <c r="J285" s="7" t="s">
        <v>1743</v>
      </c>
      <c r="K285" s="7">
        <v>1211078926</v>
      </c>
      <c r="L285" s="7"/>
      <c r="M285" s="7" t="s">
        <v>85</v>
      </c>
      <c r="N285" s="18">
        <v>46239</v>
      </c>
      <c r="O285" s="7" t="s">
        <v>573</v>
      </c>
      <c r="P285" s="13">
        <v>480</v>
      </c>
      <c r="Q285" s="12">
        <v>600000</v>
      </c>
      <c r="R285" s="7" t="s">
        <v>1371</v>
      </c>
    </row>
    <row r="286" spans="1:18">
      <c r="A286" s="7" t="s">
        <v>653</v>
      </c>
      <c r="B286" s="7" t="s">
        <v>654</v>
      </c>
      <c r="C286" s="7" t="s">
        <v>569</v>
      </c>
      <c r="D286" s="7" t="s">
        <v>581</v>
      </c>
      <c r="E286" s="7">
        <v>1219000509</v>
      </c>
      <c r="F286" s="7" t="s">
        <v>1288</v>
      </c>
      <c r="G286" s="7" t="s">
        <v>1447</v>
      </c>
      <c r="H286" s="7" t="s">
        <v>171</v>
      </c>
      <c r="I286" s="7" t="s">
        <v>1744</v>
      </c>
      <c r="J286" s="7" t="s">
        <v>1745</v>
      </c>
      <c r="K286" s="7">
        <v>1211078927</v>
      </c>
      <c r="L286" s="7"/>
      <c r="M286" s="7" t="s">
        <v>85</v>
      </c>
      <c r="N286" s="18">
        <v>46239</v>
      </c>
      <c r="O286" s="7" t="s">
        <v>573</v>
      </c>
      <c r="P286" s="13">
        <v>3000</v>
      </c>
      <c r="Q286" s="12">
        <v>749250.75</v>
      </c>
      <c r="R286" s="7" t="s">
        <v>1371</v>
      </c>
    </row>
    <row r="287" spans="1:18">
      <c r="A287" s="7" t="s">
        <v>738</v>
      </c>
      <c r="B287" s="7" t="s">
        <v>739</v>
      </c>
      <c r="C287" s="7" t="s">
        <v>569</v>
      </c>
      <c r="D287" s="7" t="s">
        <v>600</v>
      </c>
      <c r="E287" s="7">
        <v>1219001017</v>
      </c>
      <c r="F287" s="7" t="s">
        <v>824</v>
      </c>
      <c r="G287" s="7" t="s">
        <v>345</v>
      </c>
      <c r="H287" s="7" t="s">
        <v>218</v>
      </c>
      <c r="I287" s="7" t="s">
        <v>1746</v>
      </c>
      <c r="J287" s="7" t="s">
        <v>1747</v>
      </c>
      <c r="K287" s="7">
        <v>1211078928</v>
      </c>
      <c r="L287" s="7"/>
      <c r="M287" s="7" t="s">
        <v>85</v>
      </c>
      <c r="N287" s="18">
        <v>46239</v>
      </c>
      <c r="O287" s="7" t="s">
        <v>573</v>
      </c>
      <c r="P287" s="13">
        <v>234</v>
      </c>
      <c r="Q287" s="12">
        <v>486486.51</v>
      </c>
      <c r="R287" s="7" t="s">
        <v>1371</v>
      </c>
    </row>
    <row r="288" spans="1:18">
      <c r="A288" s="7" t="s">
        <v>817</v>
      </c>
      <c r="B288" s="7" t="s">
        <v>818</v>
      </c>
      <c r="C288" s="7" t="s">
        <v>569</v>
      </c>
      <c r="D288" s="7" t="s">
        <v>577</v>
      </c>
      <c r="E288" s="7">
        <v>1219000754</v>
      </c>
      <c r="F288" s="7" t="s">
        <v>824</v>
      </c>
      <c r="G288" s="7" t="s">
        <v>1411</v>
      </c>
      <c r="H288" s="7" t="s">
        <v>139</v>
      </c>
      <c r="I288" s="7" t="s">
        <v>1748</v>
      </c>
      <c r="J288" s="7" t="s">
        <v>1749</v>
      </c>
      <c r="K288" s="7">
        <v>1211078935</v>
      </c>
      <c r="L288" s="7"/>
      <c r="M288" s="7" t="s">
        <v>85</v>
      </c>
      <c r="N288" s="18">
        <v>46239</v>
      </c>
      <c r="O288" s="7" t="s">
        <v>573</v>
      </c>
      <c r="P288" s="13">
        <v>480</v>
      </c>
      <c r="Q288" s="12">
        <v>499200</v>
      </c>
      <c r="R288" s="7" t="s">
        <v>1371</v>
      </c>
    </row>
    <row r="289" spans="1:18">
      <c r="A289" s="7" t="s">
        <v>1750</v>
      </c>
      <c r="B289" s="7" t="s">
        <v>707</v>
      </c>
      <c r="C289" s="7" t="s">
        <v>569</v>
      </c>
      <c r="D289" s="7" t="s">
        <v>582</v>
      </c>
      <c r="E289" s="7">
        <v>1219000780</v>
      </c>
      <c r="F289" s="7" t="s">
        <v>1288</v>
      </c>
      <c r="G289" s="7" t="s">
        <v>269</v>
      </c>
      <c r="H289" s="7" t="s">
        <v>115</v>
      </c>
      <c r="I289" s="7" t="s">
        <v>1751</v>
      </c>
      <c r="J289" s="7" t="s">
        <v>1752</v>
      </c>
      <c r="K289" s="7">
        <v>1211079284</v>
      </c>
      <c r="L289" s="7"/>
      <c r="M289" s="7" t="s">
        <v>85</v>
      </c>
      <c r="N289" s="18">
        <v>46240</v>
      </c>
      <c r="O289" s="7" t="s">
        <v>573</v>
      </c>
      <c r="P289" s="13">
        <v>1500</v>
      </c>
      <c r="Q289" s="12">
        <v>1026473.53</v>
      </c>
      <c r="R289" s="7" t="s">
        <v>1371</v>
      </c>
    </row>
    <row r="290" spans="1:18">
      <c r="A290" s="7" t="s">
        <v>1753</v>
      </c>
      <c r="B290" s="7" t="s">
        <v>803</v>
      </c>
      <c r="C290" s="7" t="s">
        <v>1487</v>
      </c>
      <c r="D290" s="7" t="s">
        <v>577</v>
      </c>
      <c r="E290" s="7">
        <v>1219000754</v>
      </c>
      <c r="F290" s="7" t="s">
        <v>824</v>
      </c>
      <c r="G290" s="7" t="s">
        <v>1411</v>
      </c>
      <c r="H290" s="7" t="s">
        <v>139</v>
      </c>
      <c r="I290" s="7" t="s">
        <v>1754</v>
      </c>
      <c r="J290" s="7" t="s">
        <v>1755</v>
      </c>
      <c r="K290" s="7">
        <v>1211079286</v>
      </c>
      <c r="L290" s="7"/>
      <c r="M290" s="7" t="s">
        <v>85</v>
      </c>
      <c r="N290" s="18">
        <v>46241</v>
      </c>
      <c r="O290" s="7" t="s">
        <v>573</v>
      </c>
      <c r="P290" s="13">
        <v>8000</v>
      </c>
      <c r="Q290" s="12">
        <v>9240000</v>
      </c>
      <c r="R290" s="7" t="s">
        <v>1371</v>
      </c>
    </row>
    <row r="291" spans="1:18">
      <c r="A291" s="7" t="s">
        <v>722</v>
      </c>
      <c r="B291" s="7" t="s">
        <v>723</v>
      </c>
      <c r="C291" s="7" t="s">
        <v>569</v>
      </c>
      <c r="D291" s="7" t="s">
        <v>600</v>
      </c>
      <c r="E291" s="7">
        <v>1219001017</v>
      </c>
      <c r="F291" s="7" t="s">
        <v>824</v>
      </c>
      <c r="G291" s="7" t="s">
        <v>345</v>
      </c>
      <c r="H291" s="7" t="s">
        <v>218</v>
      </c>
      <c r="I291" s="7" t="s">
        <v>1756</v>
      </c>
      <c r="J291" s="7" t="s">
        <v>1757</v>
      </c>
      <c r="K291" s="7">
        <v>1211079287</v>
      </c>
      <c r="L291" s="7"/>
      <c r="M291" s="7" t="s">
        <v>85</v>
      </c>
      <c r="N291" s="18">
        <v>46241</v>
      </c>
      <c r="O291" s="7" t="s">
        <v>573</v>
      </c>
      <c r="P291" s="13">
        <v>226</v>
      </c>
      <c r="Q291" s="12">
        <v>481151.92</v>
      </c>
      <c r="R291" s="7" t="s">
        <v>1371</v>
      </c>
    </row>
    <row r="292" spans="1:18">
      <c r="A292" s="7" t="s">
        <v>722</v>
      </c>
      <c r="B292" s="7" t="s">
        <v>723</v>
      </c>
      <c r="C292" s="7" t="s">
        <v>569</v>
      </c>
      <c r="D292" s="7" t="s">
        <v>600</v>
      </c>
      <c r="E292" s="7">
        <v>1219001017</v>
      </c>
      <c r="F292" s="7" t="s">
        <v>824</v>
      </c>
      <c r="G292" s="7" t="s">
        <v>346</v>
      </c>
      <c r="H292" s="7" t="s">
        <v>218</v>
      </c>
      <c r="I292" s="7" t="s">
        <v>1756</v>
      </c>
      <c r="J292" s="7" t="s">
        <v>1757</v>
      </c>
      <c r="K292" s="7">
        <v>1211079287</v>
      </c>
      <c r="L292" s="7"/>
      <c r="M292" s="7" t="s">
        <v>85</v>
      </c>
      <c r="N292" s="18">
        <v>46241</v>
      </c>
      <c r="O292" s="7" t="s">
        <v>573</v>
      </c>
      <c r="P292" s="13">
        <v>8</v>
      </c>
      <c r="Q292" s="12">
        <v>17031.919999999998</v>
      </c>
      <c r="R292" s="7" t="s">
        <v>1371</v>
      </c>
    </row>
    <row r="293" spans="1:18">
      <c r="A293" s="7" t="s">
        <v>659</v>
      </c>
      <c r="B293" s="7" t="s">
        <v>660</v>
      </c>
      <c r="C293" s="7" t="s">
        <v>569</v>
      </c>
      <c r="D293" s="7" t="s">
        <v>658</v>
      </c>
      <c r="E293" s="7">
        <v>1219000799</v>
      </c>
      <c r="F293" s="7" t="s">
        <v>828</v>
      </c>
      <c r="G293" s="7" t="s">
        <v>360</v>
      </c>
      <c r="H293" s="7" t="s">
        <v>332</v>
      </c>
      <c r="I293" s="7" t="s">
        <v>1713</v>
      </c>
      <c r="J293" s="7" t="s">
        <v>1714</v>
      </c>
      <c r="K293" s="7">
        <v>1211079288</v>
      </c>
      <c r="L293" s="7"/>
      <c r="M293" s="7" t="s">
        <v>85</v>
      </c>
      <c r="N293" s="18">
        <v>46241</v>
      </c>
      <c r="O293" s="7" t="s">
        <v>573</v>
      </c>
      <c r="P293" s="13">
        <v>5000</v>
      </c>
      <c r="Q293" s="12">
        <v>239760.24</v>
      </c>
      <c r="R293" s="7" t="s">
        <v>1371</v>
      </c>
    </row>
    <row r="294" spans="1:18">
      <c r="A294" s="7" t="s">
        <v>604</v>
      </c>
      <c r="B294" s="7" t="s">
        <v>605</v>
      </c>
      <c r="C294" s="7" t="s">
        <v>569</v>
      </c>
      <c r="D294" s="7" t="s">
        <v>802</v>
      </c>
      <c r="E294" s="7">
        <v>1219000610</v>
      </c>
      <c r="F294" s="7" t="s">
        <v>824</v>
      </c>
      <c r="G294" s="7" t="s">
        <v>1502</v>
      </c>
      <c r="H294" s="7" t="s">
        <v>326</v>
      </c>
      <c r="I294" s="7" t="s">
        <v>1758</v>
      </c>
      <c r="J294" s="7" t="s">
        <v>1759</v>
      </c>
      <c r="K294" s="7">
        <v>1211079289</v>
      </c>
      <c r="L294" s="7"/>
      <c r="M294" s="7" t="s">
        <v>85</v>
      </c>
      <c r="N294" s="18">
        <v>46241</v>
      </c>
      <c r="O294" s="7" t="s">
        <v>573</v>
      </c>
      <c r="P294" s="13">
        <v>48</v>
      </c>
      <c r="Q294" s="12">
        <v>21120</v>
      </c>
      <c r="R294" s="7" t="s">
        <v>1371</v>
      </c>
    </row>
    <row r="295" spans="1:18">
      <c r="A295" s="7" t="s">
        <v>604</v>
      </c>
      <c r="B295" s="7" t="s">
        <v>605</v>
      </c>
      <c r="C295" s="7" t="s">
        <v>569</v>
      </c>
      <c r="D295" s="7" t="s">
        <v>577</v>
      </c>
      <c r="E295" s="7">
        <v>1219000754</v>
      </c>
      <c r="F295" s="7" t="s">
        <v>824</v>
      </c>
      <c r="G295" s="7" t="s">
        <v>1411</v>
      </c>
      <c r="H295" s="7" t="s">
        <v>139</v>
      </c>
      <c r="I295" s="7" t="s">
        <v>1758</v>
      </c>
      <c r="J295" s="7" t="s">
        <v>1759</v>
      </c>
      <c r="K295" s="7">
        <v>1211079289</v>
      </c>
      <c r="L295" s="7"/>
      <c r="M295" s="7" t="s">
        <v>85</v>
      </c>
      <c r="N295" s="18">
        <v>46241</v>
      </c>
      <c r="O295" s="7" t="s">
        <v>573</v>
      </c>
      <c r="P295" s="13">
        <v>48</v>
      </c>
      <c r="Q295" s="12">
        <v>52800</v>
      </c>
      <c r="R295" s="7" t="s">
        <v>1371</v>
      </c>
    </row>
    <row r="296" spans="1:18">
      <c r="A296" s="7" t="s">
        <v>1760</v>
      </c>
      <c r="B296" s="7" t="s">
        <v>615</v>
      </c>
      <c r="C296" s="7" t="s">
        <v>569</v>
      </c>
      <c r="D296" s="7" t="s">
        <v>634</v>
      </c>
      <c r="E296" s="7">
        <v>1013000882</v>
      </c>
      <c r="F296" s="7" t="s">
        <v>824</v>
      </c>
      <c r="G296" s="7" t="s">
        <v>1761</v>
      </c>
      <c r="H296" s="7" t="s">
        <v>226</v>
      </c>
      <c r="I296" s="7" t="s">
        <v>1762</v>
      </c>
      <c r="J296" s="7" t="s">
        <v>1763</v>
      </c>
      <c r="K296" s="7">
        <v>1211079290</v>
      </c>
      <c r="L296" s="7"/>
      <c r="M296" s="7" t="s">
        <v>85</v>
      </c>
      <c r="N296" s="18">
        <v>46242</v>
      </c>
      <c r="O296" s="7" t="s">
        <v>573</v>
      </c>
      <c r="P296" s="13">
        <v>60</v>
      </c>
      <c r="Q296" s="12">
        <v>11940.3</v>
      </c>
      <c r="R296" s="7" t="s">
        <v>1371</v>
      </c>
    </row>
    <row r="297" spans="1:18">
      <c r="A297" s="7" t="s">
        <v>1750</v>
      </c>
      <c r="B297" s="7" t="s">
        <v>707</v>
      </c>
      <c r="C297" s="7" t="s">
        <v>569</v>
      </c>
      <c r="D297" s="7" t="s">
        <v>1764</v>
      </c>
      <c r="E297" s="7">
        <v>1219000510</v>
      </c>
      <c r="F297" s="7" t="s">
        <v>1288</v>
      </c>
      <c r="G297" s="7" t="s">
        <v>229</v>
      </c>
      <c r="H297" s="7" t="s">
        <v>103</v>
      </c>
      <c r="I297" s="7" t="s">
        <v>1765</v>
      </c>
      <c r="J297" s="7" t="s">
        <v>1752</v>
      </c>
      <c r="K297" s="7">
        <v>1211079291</v>
      </c>
      <c r="L297" s="7"/>
      <c r="M297" s="7" t="s">
        <v>85</v>
      </c>
      <c r="N297" s="18">
        <v>46244</v>
      </c>
      <c r="O297" s="7" t="s">
        <v>573</v>
      </c>
      <c r="P297" s="13">
        <v>900</v>
      </c>
      <c r="Q297" s="12">
        <v>463036.96</v>
      </c>
      <c r="R297" s="7" t="s">
        <v>1371</v>
      </c>
    </row>
    <row r="298" spans="1:18">
      <c r="A298" s="7" t="s">
        <v>670</v>
      </c>
      <c r="B298" s="7" t="s">
        <v>671</v>
      </c>
      <c r="C298" s="7" t="s">
        <v>569</v>
      </c>
      <c r="D298" s="7" t="s">
        <v>599</v>
      </c>
      <c r="E298" s="7">
        <v>1219000546</v>
      </c>
      <c r="F298" s="7" t="s">
        <v>828</v>
      </c>
      <c r="G298" s="7" t="s">
        <v>121</v>
      </c>
      <c r="H298" s="7" t="s">
        <v>357</v>
      </c>
      <c r="I298" s="7" t="s">
        <v>1766</v>
      </c>
      <c r="J298" s="7" t="s">
        <v>1767</v>
      </c>
      <c r="K298" s="7">
        <v>1211079300</v>
      </c>
      <c r="L298" s="7"/>
      <c r="M298" s="7" t="s">
        <v>85</v>
      </c>
      <c r="N298" s="18">
        <v>46244</v>
      </c>
      <c r="O298" s="7" t="s">
        <v>573</v>
      </c>
      <c r="P298" s="13">
        <v>8</v>
      </c>
      <c r="Q298" s="12">
        <v>44067.8</v>
      </c>
      <c r="R298" s="7" t="s">
        <v>1371</v>
      </c>
    </row>
    <row r="299" spans="1:18">
      <c r="A299" s="7" t="s">
        <v>1768</v>
      </c>
      <c r="B299" s="7" t="s">
        <v>715</v>
      </c>
      <c r="C299" s="7" t="s">
        <v>569</v>
      </c>
      <c r="D299" s="7" t="s">
        <v>641</v>
      </c>
      <c r="E299" s="7">
        <v>1219001002</v>
      </c>
      <c r="F299" s="7" t="s">
        <v>824</v>
      </c>
      <c r="G299" s="7" t="s">
        <v>1345</v>
      </c>
      <c r="H299" s="7" t="s">
        <v>187</v>
      </c>
      <c r="I299" s="7" t="s">
        <v>1769</v>
      </c>
      <c r="J299" s="7" t="s">
        <v>1770</v>
      </c>
      <c r="K299" s="7">
        <v>1211079301</v>
      </c>
      <c r="L299" s="7"/>
      <c r="M299" s="7" t="s">
        <v>85</v>
      </c>
      <c r="N299" s="18">
        <v>46244</v>
      </c>
      <c r="O299" s="7" t="s">
        <v>573</v>
      </c>
      <c r="P299" s="13">
        <v>150</v>
      </c>
      <c r="Q299" s="12">
        <v>52238.81</v>
      </c>
      <c r="R299" s="7" t="s">
        <v>1371</v>
      </c>
    </row>
    <row r="300" spans="1:18">
      <c r="A300" s="7" t="s">
        <v>1768</v>
      </c>
      <c r="B300" s="7" t="s">
        <v>715</v>
      </c>
      <c r="C300" s="7" t="s">
        <v>569</v>
      </c>
      <c r="D300" s="7" t="s">
        <v>634</v>
      </c>
      <c r="E300" s="7">
        <v>1013000882</v>
      </c>
      <c r="F300" s="7" t="s">
        <v>824</v>
      </c>
      <c r="G300" s="7" t="s">
        <v>327</v>
      </c>
      <c r="H300" s="7" t="s">
        <v>226</v>
      </c>
      <c r="I300" s="7" t="s">
        <v>1769</v>
      </c>
      <c r="J300" s="7" t="s">
        <v>1770</v>
      </c>
      <c r="K300" s="7">
        <v>1211079301</v>
      </c>
      <c r="L300" s="7"/>
      <c r="M300" s="7" t="s">
        <v>85</v>
      </c>
      <c r="N300" s="18">
        <v>46244</v>
      </c>
      <c r="O300" s="7" t="s">
        <v>573</v>
      </c>
      <c r="P300" s="13">
        <v>100</v>
      </c>
      <c r="Q300" s="12">
        <v>21393.03</v>
      </c>
      <c r="R300" s="7" t="s">
        <v>1371</v>
      </c>
    </row>
    <row r="301" spans="1:18">
      <c r="A301" s="7" t="s">
        <v>1771</v>
      </c>
      <c r="B301" s="7" t="s">
        <v>618</v>
      </c>
      <c r="C301" s="7" t="s">
        <v>1487</v>
      </c>
      <c r="D301" s="7" t="s">
        <v>1764</v>
      </c>
      <c r="E301" s="7">
        <v>1219000510</v>
      </c>
      <c r="F301" s="7" t="s">
        <v>1288</v>
      </c>
      <c r="G301" s="7" t="s">
        <v>229</v>
      </c>
      <c r="H301" s="7" t="s">
        <v>103</v>
      </c>
      <c r="I301" s="7" t="s">
        <v>1772</v>
      </c>
      <c r="J301" s="7" t="s">
        <v>1773</v>
      </c>
      <c r="K301" s="7">
        <v>1211079441</v>
      </c>
      <c r="L301" s="7"/>
      <c r="M301" s="7" t="s">
        <v>85</v>
      </c>
      <c r="N301" s="18">
        <v>46244</v>
      </c>
      <c r="O301" s="7" t="s">
        <v>573</v>
      </c>
      <c r="P301" s="13">
        <v>3000</v>
      </c>
      <c r="Q301" s="12">
        <v>1950000</v>
      </c>
      <c r="R301" s="7" t="s">
        <v>1371</v>
      </c>
    </row>
    <row r="302" spans="1:18">
      <c r="A302" s="7" t="s">
        <v>1774</v>
      </c>
      <c r="B302" s="7" t="s">
        <v>1398</v>
      </c>
      <c r="C302" s="7" t="s">
        <v>569</v>
      </c>
      <c r="D302" s="7" t="s">
        <v>577</v>
      </c>
      <c r="E302" s="7">
        <v>1219000754</v>
      </c>
      <c r="F302" s="7" t="s">
        <v>824</v>
      </c>
      <c r="G302" s="7" t="s">
        <v>1411</v>
      </c>
      <c r="H302" s="7" t="s">
        <v>139</v>
      </c>
      <c r="I302" s="7" t="s">
        <v>1775</v>
      </c>
      <c r="J302" s="7" t="s">
        <v>1776</v>
      </c>
      <c r="K302" s="7">
        <v>1211079442</v>
      </c>
      <c r="L302" s="7"/>
      <c r="M302" s="7" t="s">
        <v>85</v>
      </c>
      <c r="N302" s="18">
        <v>46244</v>
      </c>
      <c r="O302" s="7" t="s">
        <v>573</v>
      </c>
      <c r="P302" s="13">
        <v>550</v>
      </c>
      <c r="Q302" s="12">
        <v>566500</v>
      </c>
      <c r="R302" s="7" t="s">
        <v>1371</v>
      </c>
    </row>
    <row r="303" spans="1:18">
      <c r="A303" s="7" t="s">
        <v>1774</v>
      </c>
      <c r="B303" s="7" t="s">
        <v>1398</v>
      </c>
      <c r="C303" s="7" t="s">
        <v>569</v>
      </c>
      <c r="D303" s="7" t="s">
        <v>579</v>
      </c>
      <c r="E303" s="7">
        <v>1219000832</v>
      </c>
      <c r="F303" s="7" t="s">
        <v>824</v>
      </c>
      <c r="G303" s="7" t="s">
        <v>164</v>
      </c>
      <c r="H303" s="7" t="s">
        <v>163</v>
      </c>
      <c r="I303" s="7" t="s">
        <v>1775</v>
      </c>
      <c r="J303" s="7" t="s">
        <v>1776</v>
      </c>
      <c r="K303" s="7">
        <v>1211079442</v>
      </c>
      <c r="L303" s="7"/>
      <c r="M303" s="7" t="s">
        <v>85</v>
      </c>
      <c r="N303" s="18">
        <v>46244</v>
      </c>
      <c r="O303" s="7" t="s">
        <v>573</v>
      </c>
      <c r="P303" s="13">
        <v>550</v>
      </c>
      <c r="Q303" s="12">
        <v>60500</v>
      </c>
      <c r="R303" s="7" t="s">
        <v>1371</v>
      </c>
    </row>
    <row r="304" spans="1:18">
      <c r="A304" s="7" t="s">
        <v>1774</v>
      </c>
      <c r="B304" s="7" t="s">
        <v>1398</v>
      </c>
      <c r="C304" s="7" t="s">
        <v>569</v>
      </c>
      <c r="D304" s="7" t="s">
        <v>802</v>
      </c>
      <c r="E304" s="7">
        <v>1219000610</v>
      </c>
      <c r="F304" s="7" t="s">
        <v>824</v>
      </c>
      <c r="G304" s="7" t="s">
        <v>1502</v>
      </c>
      <c r="H304" s="7" t="s">
        <v>326</v>
      </c>
      <c r="I304" s="7" t="s">
        <v>1775</v>
      </c>
      <c r="J304" s="7" t="s">
        <v>1776</v>
      </c>
      <c r="K304" s="7">
        <v>1211079442</v>
      </c>
      <c r="L304" s="7"/>
      <c r="M304" s="7" t="s">
        <v>85</v>
      </c>
      <c r="N304" s="18">
        <v>46244</v>
      </c>
      <c r="O304" s="7" t="s">
        <v>573</v>
      </c>
      <c r="P304" s="13">
        <v>550</v>
      </c>
      <c r="Q304" s="12">
        <v>253000</v>
      </c>
      <c r="R304" s="7" t="s">
        <v>1371</v>
      </c>
    </row>
    <row r="305" spans="1:18">
      <c r="A305" s="7" t="s">
        <v>670</v>
      </c>
      <c r="B305" s="7" t="s">
        <v>671</v>
      </c>
      <c r="C305" s="7" t="s">
        <v>569</v>
      </c>
      <c r="D305" s="7" t="s">
        <v>599</v>
      </c>
      <c r="E305" s="7">
        <v>1219000546</v>
      </c>
      <c r="F305" s="7" t="s">
        <v>828</v>
      </c>
      <c r="G305" s="7" t="s">
        <v>121</v>
      </c>
      <c r="H305" s="7" t="s">
        <v>357</v>
      </c>
      <c r="I305" s="7" t="s">
        <v>1777</v>
      </c>
      <c r="J305" s="7" t="s">
        <v>1778</v>
      </c>
      <c r="K305" s="7">
        <v>1211079443</v>
      </c>
      <c r="L305" s="7"/>
      <c r="M305" s="7" t="s">
        <v>85</v>
      </c>
      <c r="N305" s="18">
        <v>46245</v>
      </c>
      <c r="O305" s="7" t="s">
        <v>573</v>
      </c>
      <c r="P305" s="13">
        <v>8</v>
      </c>
      <c r="Q305" s="12">
        <v>44067.8</v>
      </c>
      <c r="R305" s="7" t="s">
        <v>1371</v>
      </c>
    </row>
    <row r="306" spans="1:18">
      <c r="A306" s="7" t="s">
        <v>670</v>
      </c>
      <c r="B306" s="7" t="s">
        <v>671</v>
      </c>
      <c r="C306" s="7" t="s">
        <v>569</v>
      </c>
      <c r="D306" s="7" t="s">
        <v>1640</v>
      </c>
      <c r="E306" s="7">
        <v>1219000584</v>
      </c>
      <c r="F306" s="7" t="s">
        <v>828</v>
      </c>
      <c r="G306" s="7" t="s">
        <v>1641</v>
      </c>
      <c r="H306" s="7" t="s">
        <v>1642</v>
      </c>
      <c r="I306" s="7" t="s">
        <v>1777</v>
      </c>
      <c r="J306" s="7" t="s">
        <v>1778</v>
      </c>
      <c r="K306" s="7">
        <v>1211079443</v>
      </c>
      <c r="L306" s="7"/>
      <c r="M306" s="7" t="s">
        <v>85</v>
      </c>
      <c r="N306" s="18">
        <v>46245</v>
      </c>
      <c r="O306" s="7" t="s">
        <v>573</v>
      </c>
      <c r="P306" s="13">
        <v>1000</v>
      </c>
      <c r="Q306" s="12">
        <v>50000</v>
      </c>
      <c r="R306" s="7" t="s">
        <v>1371</v>
      </c>
    </row>
    <row r="307" spans="1:18">
      <c r="A307" s="7" t="s">
        <v>733</v>
      </c>
      <c r="B307" s="7" t="s">
        <v>734</v>
      </c>
      <c r="C307" s="7" t="s">
        <v>569</v>
      </c>
      <c r="D307" s="7" t="s">
        <v>1640</v>
      </c>
      <c r="E307" s="7">
        <v>1219000584</v>
      </c>
      <c r="F307" s="7" t="s">
        <v>828</v>
      </c>
      <c r="G307" s="7" t="s">
        <v>1641</v>
      </c>
      <c r="H307" s="7" t="s">
        <v>1642</v>
      </c>
      <c r="I307" s="7" t="s">
        <v>1779</v>
      </c>
      <c r="J307" s="7" t="s">
        <v>1780</v>
      </c>
      <c r="K307" s="7">
        <v>1211079461</v>
      </c>
      <c r="L307" s="7"/>
      <c r="M307" s="7" t="s">
        <v>85</v>
      </c>
      <c r="N307" s="18">
        <v>46245</v>
      </c>
      <c r="O307" s="7" t="s">
        <v>573</v>
      </c>
      <c r="P307" s="13">
        <v>12000</v>
      </c>
      <c r="Q307" s="12">
        <v>311688.31</v>
      </c>
      <c r="R307" s="7" t="s">
        <v>1371</v>
      </c>
    </row>
    <row r="308" spans="1:18">
      <c r="A308" s="7" t="s">
        <v>733</v>
      </c>
      <c r="B308" s="7" t="s">
        <v>734</v>
      </c>
      <c r="C308" s="7" t="s">
        <v>569</v>
      </c>
      <c r="D308" s="7" t="s">
        <v>599</v>
      </c>
      <c r="E308" s="7">
        <v>1219000546</v>
      </c>
      <c r="F308" s="7" t="s">
        <v>828</v>
      </c>
      <c r="G308" s="7" t="s">
        <v>121</v>
      </c>
      <c r="H308" s="7" t="s">
        <v>357</v>
      </c>
      <c r="I308" s="7" t="s">
        <v>1781</v>
      </c>
      <c r="J308" s="7" t="s">
        <v>1782</v>
      </c>
      <c r="K308" s="7">
        <v>1211079462</v>
      </c>
      <c r="L308" s="7"/>
      <c r="M308" s="7" t="s">
        <v>85</v>
      </c>
      <c r="N308" s="18">
        <v>46245</v>
      </c>
      <c r="O308" s="7" t="s">
        <v>573</v>
      </c>
      <c r="P308" s="13">
        <v>24</v>
      </c>
      <c r="Q308" s="12">
        <v>132071.32</v>
      </c>
      <c r="R308" s="7" t="s">
        <v>1371</v>
      </c>
    </row>
    <row r="309" spans="1:18">
      <c r="A309" s="7" t="s">
        <v>635</v>
      </c>
      <c r="B309" s="7" t="s">
        <v>636</v>
      </c>
      <c r="C309" s="7" t="s">
        <v>569</v>
      </c>
      <c r="D309" s="7" t="s">
        <v>577</v>
      </c>
      <c r="E309" s="7">
        <v>1219000754</v>
      </c>
      <c r="F309" s="7" t="s">
        <v>824</v>
      </c>
      <c r="G309" s="7" t="s">
        <v>1411</v>
      </c>
      <c r="H309" s="7" t="s">
        <v>139</v>
      </c>
      <c r="I309" s="7" t="s">
        <v>1783</v>
      </c>
      <c r="J309" s="7" t="s">
        <v>1784</v>
      </c>
      <c r="K309" s="7">
        <v>1211079463</v>
      </c>
      <c r="L309" s="7"/>
      <c r="M309" s="7" t="s">
        <v>85</v>
      </c>
      <c r="N309" s="18">
        <v>46245</v>
      </c>
      <c r="O309" s="7" t="s">
        <v>573</v>
      </c>
      <c r="P309" s="13">
        <v>3</v>
      </c>
      <c r="Q309" s="12">
        <v>3146.85</v>
      </c>
      <c r="R309" s="7" t="s">
        <v>1371</v>
      </c>
    </row>
    <row r="310" spans="1:18">
      <c r="A310" s="7" t="s">
        <v>635</v>
      </c>
      <c r="B310" s="7" t="s">
        <v>636</v>
      </c>
      <c r="C310" s="7" t="s">
        <v>569</v>
      </c>
      <c r="D310" s="7" t="s">
        <v>619</v>
      </c>
      <c r="E310" s="7">
        <v>1219000753</v>
      </c>
      <c r="F310" s="7" t="s">
        <v>824</v>
      </c>
      <c r="G310" s="7" t="s">
        <v>1579</v>
      </c>
      <c r="H310" s="7" t="s">
        <v>78</v>
      </c>
      <c r="I310" s="7" t="s">
        <v>1783</v>
      </c>
      <c r="J310" s="7" t="s">
        <v>1784</v>
      </c>
      <c r="K310" s="7">
        <v>1211079463</v>
      </c>
      <c r="L310" s="7"/>
      <c r="M310" s="7" t="s">
        <v>85</v>
      </c>
      <c r="N310" s="18">
        <v>46245</v>
      </c>
      <c r="O310" s="7" t="s">
        <v>573</v>
      </c>
      <c r="P310" s="13">
        <v>3</v>
      </c>
      <c r="Q310" s="12">
        <v>3146.86</v>
      </c>
      <c r="R310" s="7" t="s">
        <v>1371</v>
      </c>
    </row>
    <row r="311" spans="1:18">
      <c r="A311" s="7" t="s">
        <v>745</v>
      </c>
      <c r="B311" s="7" t="s">
        <v>746</v>
      </c>
      <c r="C311" s="7" t="s">
        <v>569</v>
      </c>
      <c r="D311" s="7" t="s">
        <v>634</v>
      </c>
      <c r="E311" s="7">
        <v>1013000882</v>
      </c>
      <c r="F311" s="7" t="s">
        <v>824</v>
      </c>
      <c r="G311" s="7" t="s">
        <v>327</v>
      </c>
      <c r="H311" s="7" t="s">
        <v>226</v>
      </c>
      <c r="I311" s="7" t="s">
        <v>1785</v>
      </c>
      <c r="J311" s="7" t="s">
        <v>1786</v>
      </c>
      <c r="K311" s="7">
        <v>1211079464</v>
      </c>
      <c r="L311" s="7"/>
      <c r="M311" s="7" t="s">
        <v>85</v>
      </c>
      <c r="N311" s="18">
        <v>46245</v>
      </c>
      <c r="O311" s="7" t="s">
        <v>573</v>
      </c>
      <c r="P311" s="13">
        <v>24</v>
      </c>
      <c r="Q311" s="12">
        <v>4776.12</v>
      </c>
      <c r="R311" s="7" t="s">
        <v>1371</v>
      </c>
    </row>
    <row r="312" spans="1:18">
      <c r="A312" s="7" t="s">
        <v>745</v>
      </c>
      <c r="B312" s="7" t="s">
        <v>746</v>
      </c>
      <c r="C312" s="7" t="s">
        <v>569</v>
      </c>
      <c r="D312" s="7" t="s">
        <v>634</v>
      </c>
      <c r="E312" s="7">
        <v>1013000882</v>
      </c>
      <c r="F312" s="7" t="s">
        <v>824</v>
      </c>
      <c r="G312" s="7" t="s">
        <v>1761</v>
      </c>
      <c r="H312" s="7" t="s">
        <v>226</v>
      </c>
      <c r="I312" s="7" t="s">
        <v>1785</v>
      </c>
      <c r="J312" s="7" t="s">
        <v>1786</v>
      </c>
      <c r="K312" s="7">
        <v>1211079464</v>
      </c>
      <c r="L312" s="7"/>
      <c r="M312" s="7" t="s">
        <v>85</v>
      </c>
      <c r="N312" s="18">
        <v>46245</v>
      </c>
      <c r="O312" s="7" t="s">
        <v>573</v>
      </c>
      <c r="P312" s="13">
        <v>76</v>
      </c>
      <c r="Q312" s="12">
        <v>15124.38</v>
      </c>
      <c r="R312" s="7" t="s">
        <v>1371</v>
      </c>
    </row>
    <row r="313" spans="1:18">
      <c r="A313" s="7" t="s">
        <v>1787</v>
      </c>
      <c r="B313" s="7" t="s">
        <v>744</v>
      </c>
      <c r="C313" s="7" t="s">
        <v>569</v>
      </c>
      <c r="D313" s="7" t="s">
        <v>802</v>
      </c>
      <c r="E313" s="7">
        <v>1219000610</v>
      </c>
      <c r="F313" s="7" t="s">
        <v>824</v>
      </c>
      <c r="G313" s="7" t="s">
        <v>1502</v>
      </c>
      <c r="H313" s="7" t="s">
        <v>326</v>
      </c>
      <c r="I313" s="7" t="s">
        <v>1788</v>
      </c>
      <c r="J313" s="7" t="s">
        <v>1789</v>
      </c>
      <c r="K313" s="7">
        <v>1211079466</v>
      </c>
      <c r="L313" s="7"/>
      <c r="M313" s="7" t="s">
        <v>85</v>
      </c>
      <c r="N313" s="18">
        <v>46245</v>
      </c>
      <c r="O313" s="7" t="s">
        <v>573</v>
      </c>
      <c r="P313" s="13">
        <v>120</v>
      </c>
      <c r="Q313" s="12">
        <v>53400</v>
      </c>
      <c r="R313" s="7" t="s">
        <v>1371</v>
      </c>
    </row>
    <row r="314" spans="1:18">
      <c r="A314" s="7" t="s">
        <v>1787</v>
      </c>
      <c r="B314" s="7" t="s">
        <v>744</v>
      </c>
      <c r="C314" s="7" t="s">
        <v>569</v>
      </c>
      <c r="D314" s="7" t="s">
        <v>577</v>
      </c>
      <c r="E314" s="7">
        <v>1219000754</v>
      </c>
      <c r="F314" s="7" t="s">
        <v>824</v>
      </c>
      <c r="G314" s="7" t="s">
        <v>1411</v>
      </c>
      <c r="H314" s="7" t="s">
        <v>139</v>
      </c>
      <c r="I314" s="7" t="s">
        <v>1788</v>
      </c>
      <c r="J314" s="7" t="s">
        <v>1789</v>
      </c>
      <c r="K314" s="7">
        <v>1211079466</v>
      </c>
      <c r="L314" s="7"/>
      <c r="M314" s="7" t="s">
        <v>85</v>
      </c>
      <c r="N314" s="18">
        <v>46245</v>
      </c>
      <c r="O314" s="7" t="s">
        <v>573</v>
      </c>
      <c r="P314" s="13">
        <v>120</v>
      </c>
      <c r="Q314" s="12">
        <v>147000</v>
      </c>
      <c r="R314" s="7" t="s">
        <v>1371</v>
      </c>
    </row>
    <row r="315" spans="1:18">
      <c r="A315" s="7" t="s">
        <v>1787</v>
      </c>
      <c r="B315" s="7" t="s">
        <v>744</v>
      </c>
      <c r="C315" s="7" t="s">
        <v>569</v>
      </c>
      <c r="D315" s="7" t="s">
        <v>579</v>
      </c>
      <c r="E315" s="7">
        <v>1219000832</v>
      </c>
      <c r="F315" s="7" t="s">
        <v>824</v>
      </c>
      <c r="G315" s="7" t="s">
        <v>164</v>
      </c>
      <c r="H315" s="7" t="s">
        <v>163</v>
      </c>
      <c r="I315" s="7" t="s">
        <v>1788</v>
      </c>
      <c r="J315" s="7" t="s">
        <v>1789</v>
      </c>
      <c r="K315" s="7">
        <v>1211079466</v>
      </c>
      <c r="L315" s="7"/>
      <c r="M315" s="7" t="s">
        <v>85</v>
      </c>
      <c r="N315" s="18">
        <v>46245</v>
      </c>
      <c r="O315" s="7" t="s">
        <v>573</v>
      </c>
      <c r="P315" s="13">
        <v>100</v>
      </c>
      <c r="Q315" s="12">
        <v>10000</v>
      </c>
      <c r="R315" s="7" t="s">
        <v>1371</v>
      </c>
    </row>
    <row r="316" spans="1:18">
      <c r="A316" s="7" t="s">
        <v>1787</v>
      </c>
      <c r="B316" s="7" t="s">
        <v>744</v>
      </c>
      <c r="C316" s="7" t="s">
        <v>569</v>
      </c>
      <c r="D316" s="7" t="s">
        <v>614</v>
      </c>
      <c r="E316" s="7">
        <v>1219000833</v>
      </c>
      <c r="F316" s="7" t="s">
        <v>824</v>
      </c>
      <c r="G316" s="7" t="s">
        <v>167</v>
      </c>
      <c r="H316" s="7" t="s">
        <v>166</v>
      </c>
      <c r="I316" s="7" t="s">
        <v>1788</v>
      </c>
      <c r="J316" s="7" t="s">
        <v>1789</v>
      </c>
      <c r="K316" s="7">
        <v>1211079466</v>
      </c>
      <c r="L316" s="7"/>
      <c r="M316" s="7" t="s">
        <v>85</v>
      </c>
      <c r="N316" s="18">
        <v>46245</v>
      </c>
      <c r="O316" s="7" t="s">
        <v>573</v>
      </c>
      <c r="P316" s="13">
        <v>50</v>
      </c>
      <c r="Q316" s="12">
        <v>5000</v>
      </c>
      <c r="R316" s="7" t="s">
        <v>1371</v>
      </c>
    </row>
    <row r="317" spans="1:18">
      <c r="A317" s="7" t="s">
        <v>722</v>
      </c>
      <c r="B317" s="7" t="s">
        <v>723</v>
      </c>
      <c r="C317" s="7" t="s">
        <v>569</v>
      </c>
      <c r="D317" s="7" t="s">
        <v>641</v>
      </c>
      <c r="E317" s="7">
        <v>1219001002</v>
      </c>
      <c r="F317" s="7" t="s">
        <v>824</v>
      </c>
      <c r="G317" s="7" t="s">
        <v>1345</v>
      </c>
      <c r="H317" s="7" t="s">
        <v>187</v>
      </c>
      <c r="I317" s="7" t="s">
        <v>1715</v>
      </c>
      <c r="J317" s="7" t="s">
        <v>1716</v>
      </c>
      <c r="K317" s="7">
        <v>1211079467</v>
      </c>
      <c r="L317" s="7"/>
      <c r="M317" s="7" t="s">
        <v>85</v>
      </c>
      <c r="N317" s="18">
        <v>46246</v>
      </c>
      <c r="O317" s="7" t="s">
        <v>573</v>
      </c>
      <c r="P317" s="13">
        <v>1190</v>
      </c>
      <c r="Q317" s="12">
        <v>284179.09999999998</v>
      </c>
      <c r="R317" s="7" t="s">
        <v>1371</v>
      </c>
    </row>
    <row r="318" spans="1:18">
      <c r="A318" s="7" t="s">
        <v>777</v>
      </c>
      <c r="B318" s="7" t="s">
        <v>778</v>
      </c>
      <c r="C318" s="7" t="s">
        <v>569</v>
      </c>
      <c r="D318" s="7" t="s">
        <v>577</v>
      </c>
      <c r="E318" s="7">
        <v>1219000754</v>
      </c>
      <c r="F318" s="7" t="s">
        <v>824</v>
      </c>
      <c r="G318" s="7" t="s">
        <v>1411</v>
      </c>
      <c r="H318" s="7" t="s">
        <v>139</v>
      </c>
      <c r="I318" s="7" t="s">
        <v>1717</v>
      </c>
      <c r="J318" s="7" t="s">
        <v>1718</v>
      </c>
      <c r="K318" s="7">
        <v>1211079468</v>
      </c>
      <c r="L318" s="7"/>
      <c r="M318" s="7" t="s">
        <v>85</v>
      </c>
      <c r="N318" s="18">
        <v>46246</v>
      </c>
      <c r="O318" s="7" t="s">
        <v>573</v>
      </c>
      <c r="P318" s="13">
        <v>480</v>
      </c>
      <c r="Q318" s="12">
        <v>503496.5</v>
      </c>
      <c r="R318" s="7" t="s">
        <v>1371</v>
      </c>
    </row>
    <row r="319" spans="1:18">
      <c r="A319" s="7" t="s">
        <v>777</v>
      </c>
      <c r="B319" s="7" t="s">
        <v>778</v>
      </c>
      <c r="C319" s="7" t="s">
        <v>569</v>
      </c>
      <c r="D319" s="7" t="s">
        <v>619</v>
      </c>
      <c r="E319" s="7">
        <v>1219000753</v>
      </c>
      <c r="F319" s="7" t="s">
        <v>824</v>
      </c>
      <c r="G319" s="7" t="s">
        <v>1579</v>
      </c>
      <c r="H319" s="7" t="s">
        <v>78</v>
      </c>
      <c r="I319" s="7" t="s">
        <v>1717</v>
      </c>
      <c r="J319" s="7" t="s">
        <v>1718</v>
      </c>
      <c r="K319" s="7">
        <v>1211079468</v>
      </c>
      <c r="L319" s="7"/>
      <c r="M319" s="7" t="s">
        <v>85</v>
      </c>
      <c r="N319" s="18">
        <v>46246</v>
      </c>
      <c r="O319" s="7" t="s">
        <v>573</v>
      </c>
      <c r="P319" s="13">
        <v>480</v>
      </c>
      <c r="Q319" s="12">
        <v>503496.5</v>
      </c>
      <c r="R319" s="7" t="s">
        <v>1371</v>
      </c>
    </row>
    <row r="320" spans="1:18">
      <c r="A320" s="7" t="s">
        <v>1719</v>
      </c>
      <c r="B320" s="7" t="s">
        <v>1720</v>
      </c>
      <c r="C320" s="7" t="s">
        <v>569</v>
      </c>
      <c r="D320" s="7" t="s">
        <v>664</v>
      </c>
      <c r="E320" s="7">
        <v>1219000550</v>
      </c>
      <c r="F320" s="7" t="s">
        <v>828</v>
      </c>
      <c r="G320" s="7" t="s">
        <v>359</v>
      </c>
      <c r="H320" s="7" t="s">
        <v>358</v>
      </c>
      <c r="I320" s="7" t="s">
        <v>1721</v>
      </c>
      <c r="J320" s="7" t="s">
        <v>1722</v>
      </c>
      <c r="K320" s="7">
        <v>1211079469</v>
      </c>
      <c r="L320" s="7"/>
      <c r="M320" s="7" t="s">
        <v>85</v>
      </c>
      <c r="N320" s="18">
        <v>46246</v>
      </c>
      <c r="O320" s="7" t="s">
        <v>573</v>
      </c>
      <c r="P320" s="13">
        <v>8</v>
      </c>
      <c r="Q320" s="12">
        <v>42580.37</v>
      </c>
      <c r="R320" s="7" t="s">
        <v>1371</v>
      </c>
    </row>
    <row r="321" spans="1:18">
      <c r="A321" s="7" t="s">
        <v>1719</v>
      </c>
      <c r="B321" s="7" t="s">
        <v>1720</v>
      </c>
      <c r="C321" s="7" t="s">
        <v>569</v>
      </c>
      <c r="D321" s="7" t="s">
        <v>665</v>
      </c>
      <c r="E321" s="7">
        <v>1219000551</v>
      </c>
      <c r="F321" s="7" t="s">
        <v>828</v>
      </c>
      <c r="G321" s="7" t="s">
        <v>121</v>
      </c>
      <c r="H321" s="7" t="s">
        <v>120</v>
      </c>
      <c r="I321" s="7" t="s">
        <v>1721</v>
      </c>
      <c r="J321" s="7" t="s">
        <v>1722</v>
      </c>
      <c r="K321" s="7">
        <v>1211079469</v>
      </c>
      <c r="L321" s="7"/>
      <c r="M321" s="7" t="s">
        <v>85</v>
      </c>
      <c r="N321" s="18">
        <v>46246</v>
      </c>
      <c r="O321" s="7" t="s">
        <v>573</v>
      </c>
      <c r="P321" s="13">
        <v>8</v>
      </c>
      <c r="Q321" s="12">
        <v>42580.37</v>
      </c>
      <c r="R321" s="7" t="s">
        <v>1371</v>
      </c>
    </row>
    <row r="322" spans="1:18">
      <c r="A322" s="7" t="s">
        <v>1719</v>
      </c>
      <c r="B322" s="7" t="s">
        <v>1720</v>
      </c>
      <c r="C322" s="7" t="s">
        <v>569</v>
      </c>
      <c r="D322" s="7" t="s">
        <v>672</v>
      </c>
      <c r="E322" s="7">
        <v>1219000552</v>
      </c>
      <c r="F322" s="7" t="s">
        <v>828</v>
      </c>
      <c r="G322" s="7" t="s">
        <v>121</v>
      </c>
      <c r="H322" s="7" t="s">
        <v>271</v>
      </c>
      <c r="I322" s="7" t="s">
        <v>1721</v>
      </c>
      <c r="J322" s="7" t="s">
        <v>1722</v>
      </c>
      <c r="K322" s="7">
        <v>1211079469</v>
      </c>
      <c r="L322" s="7"/>
      <c r="M322" s="7" t="s">
        <v>85</v>
      </c>
      <c r="N322" s="18">
        <v>46246</v>
      </c>
      <c r="O322" s="7" t="s">
        <v>573</v>
      </c>
      <c r="P322" s="13">
        <v>8</v>
      </c>
      <c r="Q322" s="12">
        <v>42580.37</v>
      </c>
      <c r="R322" s="7" t="s">
        <v>1371</v>
      </c>
    </row>
    <row r="323" spans="1:18">
      <c r="A323" s="7" t="s">
        <v>1719</v>
      </c>
      <c r="B323" s="7" t="s">
        <v>1720</v>
      </c>
      <c r="C323" s="7" t="s">
        <v>569</v>
      </c>
      <c r="D323" s="7" t="s">
        <v>698</v>
      </c>
      <c r="E323" s="7">
        <v>1219000553</v>
      </c>
      <c r="F323" s="7" t="s">
        <v>828</v>
      </c>
      <c r="G323" s="7" t="s">
        <v>699</v>
      </c>
      <c r="H323" s="7" t="s">
        <v>441</v>
      </c>
      <c r="I323" s="7" t="s">
        <v>1721</v>
      </c>
      <c r="J323" s="7" t="s">
        <v>1722</v>
      </c>
      <c r="K323" s="7">
        <v>1211079469</v>
      </c>
      <c r="L323" s="7"/>
      <c r="M323" s="7" t="s">
        <v>85</v>
      </c>
      <c r="N323" s="18">
        <v>46246</v>
      </c>
      <c r="O323" s="7" t="s">
        <v>573</v>
      </c>
      <c r="P323" s="13">
        <v>8</v>
      </c>
      <c r="Q323" s="12">
        <v>42580.37</v>
      </c>
      <c r="R323" s="7" t="s">
        <v>1371</v>
      </c>
    </row>
    <row r="324" spans="1:18">
      <c r="A324" s="7" t="s">
        <v>683</v>
      </c>
      <c r="B324" s="7" t="s">
        <v>684</v>
      </c>
      <c r="C324" s="7" t="s">
        <v>569</v>
      </c>
      <c r="D324" s="7" t="s">
        <v>622</v>
      </c>
      <c r="E324" s="7">
        <v>1219000544</v>
      </c>
      <c r="F324" s="7" t="s">
        <v>828</v>
      </c>
      <c r="G324" s="7" t="s">
        <v>121</v>
      </c>
      <c r="H324" s="7" t="s">
        <v>424</v>
      </c>
      <c r="I324" s="7" t="s">
        <v>1790</v>
      </c>
      <c r="J324" s="7" t="s">
        <v>1791</v>
      </c>
      <c r="K324" s="7">
        <v>1211079470</v>
      </c>
      <c r="L324" s="7"/>
      <c r="M324" s="7" t="s">
        <v>85</v>
      </c>
      <c r="N324" s="18">
        <v>46246</v>
      </c>
      <c r="O324" s="7" t="s">
        <v>573</v>
      </c>
      <c r="P324" s="13">
        <v>6</v>
      </c>
      <c r="Q324" s="12">
        <v>33000</v>
      </c>
      <c r="R324" s="7" t="s">
        <v>1371</v>
      </c>
    </row>
    <row r="325" spans="1:18">
      <c r="A325" s="7" t="s">
        <v>1401</v>
      </c>
      <c r="B325" s="7" t="s">
        <v>1402</v>
      </c>
      <c r="C325" s="7" t="s">
        <v>569</v>
      </c>
      <c r="D325" s="7" t="s">
        <v>622</v>
      </c>
      <c r="E325" s="7">
        <v>1219000544</v>
      </c>
      <c r="F325" s="7" t="s">
        <v>828</v>
      </c>
      <c r="G325" s="7" t="s">
        <v>121</v>
      </c>
      <c r="H325" s="7" t="s">
        <v>424</v>
      </c>
      <c r="I325" s="7" t="s">
        <v>1792</v>
      </c>
      <c r="J325" s="7" t="s">
        <v>1793</v>
      </c>
      <c r="K325" s="7">
        <v>1211079577</v>
      </c>
      <c r="L325" s="7"/>
      <c r="M325" s="7" t="s">
        <v>85</v>
      </c>
      <c r="N325" s="18">
        <v>46247</v>
      </c>
      <c r="O325" s="7" t="s">
        <v>573</v>
      </c>
      <c r="P325" s="13">
        <v>40</v>
      </c>
      <c r="Q325" s="12">
        <v>240000</v>
      </c>
      <c r="R325" s="7" t="s">
        <v>1371</v>
      </c>
    </row>
    <row r="326" spans="1:18">
      <c r="A326" s="7" t="s">
        <v>1401</v>
      </c>
      <c r="B326" s="7" t="s">
        <v>1402</v>
      </c>
      <c r="C326" s="7" t="s">
        <v>569</v>
      </c>
      <c r="D326" s="7" t="s">
        <v>665</v>
      </c>
      <c r="E326" s="7">
        <v>1219000551</v>
      </c>
      <c r="F326" s="7" t="s">
        <v>828</v>
      </c>
      <c r="G326" s="7" t="s">
        <v>121</v>
      </c>
      <c r="H326" s="7" t="s">
        <v>120</v>
      </c>
      <c r="I326" s="7" t="s">
        <v>1794</v>
      </c>
      <c r="J326" s="7" t="s">
        <v>1795</v>
      </c>
      <c r="K326" s="7">
        <v>1211079578</v>
      </c>
      <c r="L326" s="7"/>
      <c r="M326" s="7" t="s">
        <v>85</v>
      </c>
      <c r="N326" s="18">
        <v>46247</v>
      </c>
      <c r="O326" s="7" t="s">
        <v>573</v>
      </c>
      <c r="P326" s="13">
        <v>43</v>
      </c>
      <c r="Q326" s="12">
        <v>258000</v>
      </c>
      <c r="R326" s="7" t="s">
        <v>1371</v>
      </c>
    </row>
    <row r="327" spans="1:18">
      <c r="A327" s="7" t="s">
        <v>646</v>
      </c>
      <c r="B327" s="7" t="s">
        <v>647</v>
      </c>
      <c r="C327" s="7" t="s">
        <v>569</v>
      </c>
      <c r="D327" s="7" t="s">
        <v>802</v>
      </c>
      <c r="E327" s="7">
        <v>1219000610</v>
      </c>
      <c r="F327" s="7" t="s">
        <v>824</v>
      </c>
      <c r="G327" s="7" t="s">
        <v>1502</v>
      </c>
      <c r="H327" s="7" t="s">
        <v>326</v>
      </c>
      <c r="I327" s="7" t="s">
        <v>1723</v>
      </c>
      <c r="J327" s="7" t="s">
        <v>1724</v>
      </c>
      <c r="K327" s="7">
        <v>1211079579</v>
      </c>
      <c r="L327" s="7"/>
      <c r="M327" s="7" t="s">
        <v>85</v>
      </c>
      <c r="N327" s="18">
        <v>46247</v>
      </c>
      <c r="O327" s="7" t="s">
        <v>573</v>
      </c>
      <c r="P327" s="13">
        <v>72</v>
      </c>
      <c r="Q327" s="12">
        <v>33086.910000000003</v>
      </c>
      <c r="R327" s="7" t="s">
        <v>1371</v>
      </c>
    </row>
    <row r="328" spans="1:18">
      <c r="A328" s="7" t="s">
        <v>646</v>
      </c>
      <c r="B328" s="7" t="s">
        <v>647</v>
      </c>
      <c r="C328" s="7" t="s">
        <v>569</v>
      </c>
      <c r="D328" s="7" t="s">
        <v>577</v>
      </c>
      <c r="E328" s="7">
        <v>1219000754</v>
      </c>
      <c r="F328" s="7" t="s">
        <v>824</v>
      </c>
      <c r="G328" s="7" t="s">
        <v>1411</v>
      </c>
      <c r="H328" s="7" t="s">
        <v>139</v>
      </c>
      <c r="I328" s="7" t="s">
        <v>1723</v>
      </c>
      <c r="J328" s="7" t="s">
        <v>1724</v>
      </c>
      <c r="K328" s="7">
        <v>1211079579</v>
      </c>
      <c r="L328" s="7"/>
      <c r="M328" s="7" t="s">
        <v>85</v>
      </c>
      <c r="N328" s="18">
        <v>46247</v>
      </c>
      <c r="O328" s="7" t="s">
        <v>573</v>
      </c>
      <c r="P328" s="13">
        <v>72</v>
      </c>
      <c r="Q328" s="12">
        <v>78401.600000000006</v>
      </c>
      <c r="R328" s="7" t="s">
        <v>1371</v>
      </c>
    </row>
    <row r="329" spans="1:18">
      <c r="A329" s="7" t="s">
        <v>606</v>
      </c>
      <c r="B329" s="7" t="s">
        <v>607</v>
      </c>
      <c r="C329" s="7" t="s">
        <v>569</v>
      </c>
      <c r="D329" s="7" t="s">
        <v>695</v>
      </c>
      <c r="E329" s="7">
        <v>1219000824</v>
      </c>
      <c r="F329" s="7" t="s">
        <v>828</v>
      </c>
      <c r="G329" s="7" t="s">
        <v>644</v>
      </c>
      <c r="H329" s="7" t="s">
        <v>696</v>
      </c>
      <c r="I329" s="7" t="s">
        <v>1796</v>
      </c>
      <c r="J329" s="7" t="s">
        <v>1797</v>
      </c>
      <c r="K329" s="7">
        <v>1211079580</v>
      </c>
      <c r="L329" s="7"/>
      <c r="M329" s="7" t="s">
        <v>85</v>
      </c>
      <c r="N329" s="18">
        <v>46247</v>
      </c>
      <c r="O329" s="7" t="s">
        <v>573</v>
      </c>
      <c r="P329" s="13">
        <v>1</v>
      </c>
      <c r="Q329" s="12">
        <v>3200</v>
      </c>
      <c r="R329" s="7" t="s">
        <v>1371</v>
      </c>
    </row>
    <row r="330" spans="1:18">
      <c r="A330" s="7" t="s">
        <v>606</v>
      </c>
      <c r="B330" s="7" t="s">
        <v>607</v>
      </c>
      <c r="C330" s="7" t="s">
        <v>569</v>
      </c>
      <c r="D330" s="7" t="s">
        <v>678</v>
      </c>
      <c r="E330" s="7">
        <v>1219000826</v>
      </c>
      <c r="F330" s="7" t="s">
        <v>828</v>
      </c>
      <c r="G330" s="7" t="s">
        <v>675</v>
      </c>
      <c r="H330" s="7" t="s">
        <v>679</v>
      </c>
      <c r="I330" s="7" t="s">
        <v>1796</v>
      </c>
      <c r="J330" s="7" t="s">
        <v>1797</v>
      </c>
      <c r="K330" s="7">
        <v>1211079580</v>
      </c>
      <c r="L330" s="7"/>
      <c r="M330" s="7" t="s">
        <v>85</v>
      </c>
      <c r="N330" s="18">
        <v>46247</v>
      </c>
      <c r="O330" s="7" t="s">
        <v>573</v>
      </c>
      <c r="P330" s="13">
        <v>1</v>
      </c>
      <c r="Q330" s="12">
        <v>6300</v>
      </c>
      <c r="R330" s="7" t="s">
        <v>1371</v>
      </c>
    </row>
    <row r="331" spans="1:18">
      <c r="A331" s="7" t="s">
        <v>1725</v>
      </c>
      <c r="B331" s="7" t="s">
        <v>628</v>
      </c>
      <c r="C331" s="7" t="s">
        <v>569</v>
      </c>
      <c r="D331" s="7" t="s">
        <v>599</v>
      </c>
      <c r="E331" s="7">
        <v>1219000546</v>
      </c>
      <c r="F331" s="7" t="s">
        <v>828</v>
      </c>
      <c r="G331" s="7" t="s">
        <v>121</v>
      </c>
      <c r="H331" s="7" t="s">
        <v>357</v>
      </c>
      <c r="I331" s="7" t="s">
        <v>1726</v>
      </c>
      <c r="J331" s="7" t="s">
        <v>1727</v>
      </c>
      <c r="K331" s="7">
        <v>1211079584</v>
      </c>
      <c r="L331" s="7"/>
      <c r="M331" s="7" t="s">
        <v>85</v>
      </c>
      <c r="N331" s="18">
        <v>46247</v>
      </c>
      <c r="O331" s="7" t="s">
        <v>573</v>
      </c>
      <c r="P331" s="13">
        <v>200</v>
      </c>
      <c r="Q331" s="12">
        <v>1015933.22</v>
      </c>
      <c r="R331" s="7" t="s">
        <v>1371</v>
      </c>
    </row>
    <row r="332" spans="1:18">
      <c r="A332" s="7" t="s">
        <v>1725</v>
      </c>
      <c r="B332" s="7" t="s">
        <v>628</v>
      </c>
      <c r="C332" s="7" t="s">
        <v>569</v>
      </c>
      <c r="D332" s="7" t="s">
        <v>623</v>
      </c>
      <c r="E332" s="7">
        <v>1219000547</v>
      </c>
      <c r="F332" s="7" t="s">
        <v>828</v>
      </c>
      <c r="G332" s="7" t="s">
        <v>1728</v>
      </c>
      <c r="H332" s="7" t="s">
        <v>431</v>
      </c>
      <c r="I332" s="7" t="s">
        <v>1726</v>
      </c>
      <c r="J332" s="7" t="s">
        <v>1727</v>
      </c>
      <c r="K332" s="7">
        <v>1211079584</v>
      </c>
      <c r="L332" s="7"/>
      <c r="M332" s="7" t="s">
        <v>85</v>
      </c>
      <c r="N332" s="18">
        <v>46247</v>
      </c>
      <c r="O332" s="7" t="s">
        <v>573</v>
      </c>
      <c r="P332" s="13">
        <v>100</v>
      </c>
      <c r="Q332" s="12">
        <v>507966.61</v>
      </c>
      <c r="R332" s="7" t="s">
        <v>1371</v>
      </c>
    </row>
    <row r="333" spans="1:18">
      <c r="A333" s="7" t="s">
        <v>1725</v>
      </c>
      <c r="B333" s="7" t="s">
        <v>628</v>
      </c>
      <c r="C333" s="7" t="s">
        <v>569</v>
      </c>
      <c r="D333" s="7" t="s">
        <v>665</v>
      </c>
      <c r="E333" s="7">
        <v>1219000551</v>
      </c>
      <c r="F333" s="7" t="s">
        <v>828</v>
      </c>
      <c r="G333" s="7" t="s">
        <v>359</v>
      </c>
      <c r="H333" s="7" t="s">
        <v>120</v>
      </c>
      <c r="I333" s="7" t="s">
        <v>1726</v>
      </c>
      <c r="J333" s="7" t="s">
        <v>1727</v>
      </c>
      <c r="K333" s="7">
        <v>1211079584</v>
      </c>
      <c r="L333" s="7"/>
      <c r="M333" s="7" t="s">
        <v>85</v>
      </c>
      <c r="N333" s="18">
        <v>46247</v>
      </c>
      <c r="O333" s="7" t="s">
        <v>573</v>
      </c>
      <c r="P333" s="13">
        <v>200</v>
      </c>
      <c r="Q333" s="12">
        <v>1015933.22</v>
      </c>
      <c r="R333" s="7" t="s">
        <v>1371</v>
      </c>
    </row>
    <row r="334" spans="1:18">
      <c r="A334" s="7" t="s">
        <v>745</v>
      </c>
      <c r="B334" s="7" t="s">
        <v>746</v>
      </c>
      <c r="C334" s="7" t="s">
        <v>569</v>
      </c>
      <c r="D334" s="7" t="s">
        <v>600</v>
      </c>
      <c r="E334" s="7">
        <v>1219001017</v>
      </c>
      <c r="F334" s="7" t="s">
        <v>824</v>
      </c>
      <c r="G334" s="7" t="s">
        <v>346</v>
      </c>
      <c r="H334" s="7" t="s">
        <v>218</v>
      </c>
      <c r="I334" s="7" t="s">
        <v>1729</v>
      </c>
      <c r="J334" s="7" t="s">
        <v>1730</v>
      </c>
      <c r="K334" s="7">
        <v>1211079585</v>
      </c>
      <c r="L334" s="7"/>
      <c r="M334" s="7" t="s">
        <v>85</v>
      </c>
      <c r="N334" s="18">
        <v>46247</v>
      </c>
      <c r="O334" s="7" t="s">
        <v>573</v>
      </c>
      <c r="P334" s="13">
        <v>117</v>
      </c>
      <c r="Q334" s="12">
        <v>239610.39</v>
      </c>
      <c r="R334" s="7" t="s">
        <v>1371</v>
      </c>
    </row>
    <row r="335" spans="1:18">
      <c r="A335" s="7" t="s">
        <v>610</v>
      </c>
      <c r="B335" s="7" t="s">
        <v>611</v>
      </c>
      <c r="C335" s="7" t="s">
        <v>569</v>
      </c>
      <c r="D335" s="7" t="s">
        <v>617</v>
      </c>
      <c r="E335" s="7">
        <v>1219000660</v>
      </c>
      <c r="F335" s="7" t="s">
        <v>1288</v>
      </c>
      <c r="G335" s="7" t="s">
        <v>111</v>
      </c>
      <c r="H335" s="7" t="s">
        <v>110</v>
      </c>
      <c r="I335" s="7" t="s">
        <v>1800</v>
      </c>
      <c r="J335" s="7" t="s">
        <v>1801</v>
      </c>
      <c r="K335" s="7">
        <v>1211079586</v>
      </c>
      <c r="L335" s="7"/>
      <c r="M335" s="7" t="s">
        <v>85</v>
      </c>
      <c r="N335" s="18">
        <v>46247</v>
      </c>
      <c r="O335" s="7" t="s">
        <v>573</v>
      </c>
      <c r="P335" s="13">
        <v>1000</v>
      </c>
      <c r="Q335" s="12">
        <v>118881.12</v>
      </c>
      <c r="R335" s="7" t="s">
        <v>1371</v>
      </c>
    </row>
    <row r="336" spans="1:18">
      <c r="A336" s="7" t="s">
        <v>610</v>
      </c>
      <c r="B336" s="7" t="s">
        <v>611</v>
      </c>
      <c r="C336" s="7" t="s">
        <v>569</v>
      </c>
      <c r="D336" s="7" t="s">
        <v>582</v>
      </c>
      <c r="E336" s="7">
        <v>1219000780</v>
      </c>
      <c r="F336" s="7" t="s">
        <v>1288</v>
      </c>
      <c r="G336" s="7" t="s">
        <v>269</v>
      </c>
      <c r="H336" s="7" t="s">
        <v>115</v>
      </c>
      <c r="I336" s="7" t="s">
        <v>1800</v>
      </c>
      <c r="J336" s="7" t="s">
        <v>1801</v>
      </c>
      <c r="K336" s="7">
        <v>1211079586</v>
      </c>
      <c r="L336" s="7"/>
      <c r="M336" s="7" t="s">
        <v>85</v>
      </c>
      <c r="N336" s="18">
        <v>46247</v>
      </c>
      <c r="O336" s="7" t="s">
        <v>573</v>
      </c>
      <c r="P336" s="13">
        <v>1000</v>
      </c>
      <c r="Q336" s="12">
        <v>639360.64</v>
      </c>
      <c r="R336" s="7" t="s">
        <v>1371</v>
      </c>
    </row>
    <row r="337" spans="1:18">
      <c r="A337" s="7" t="s">
        <v>1771</v>
      </c>
      <c r="B337" s="7" t="s">
        <v>618</v>
      </c>
      <c r="C337" s="7" t="s">
        <v>1487</v>
      </c>
      <c r="D337" s="7" t="s">
        <v>617</v>
      </c>
      <c r="E337" s="7">
        <v>1219000660</v>
      </c>
      <c r="F337" s="7" t="s">
        <v>1288</v>
      </c>
      <c r="G337" s="7" t="s">
        <v>1403</v>
      </c>
      <c r="H337" s="7" t="s">
        <v>110</v>
      </c>
      <c r="I337" s="7" t="s">
        <v>1802</v>
      </c>
      <c r="J337" s="7" t="s">
        <v>1803</v>
      </c>
      <c r="K337" s="7">
        <v>1211079587</v>
      </c>
      <c r="L337" s="7"/>
      <c r="M337" s="7" t="s">
        <v>85</v>
      </c>
      <c r="N337" s="18">
        <v>46247</v>
      </c>
      <c r="O337" s="7" t="s">
        <v>573</v>
      </c>
      <c r="P337" s="13">
        <v>3000</v>
      </c>
      <c r="Q337" s="12">
        <v>381000</v>
      </c>
      <c r="R337" s="7" t="s">
        <v>1371</v>
      </c>
    </row>
    <row r="338" spans="1:18">
      <c r="A338" s="7" t="s">
        <v>1771</v>
      </c>
      <c r="B338" s="7" t="s">
        <v>618</v>
      </c>
      <c r="C338" s="7" t="s">
        <v>1487</v>
      </c>
      <c r="D338" s="7" t="s">
        <v>617</v>
      </c>
      <c r="E338" s="7">
        <v>1219000660</v>
      </c>
      <c r="F338" s="7" t="s">
        <v>1288</v>
      </c>
      <c r="G338" s="7" t="s">
        <v>111</v>
      </c>
      <c r="H338" s="7" t="s">
        <v>110</v>
      </c>
      <c r="I338" s="7" t="s">
        <v>1802</v>
      </c>
      <c r="J338" s="7" t="s">
        <v>1803</v>
      </c>
      <c r="K338" s="7">
        <v>1211079587</v>
      </c>
      <c r="L338" s="7"/>
      <c r="M338" s="7" t="s">
        <v>85</v>
      </c>
      <c r="N338" s="18">
        <v>46247</v>
      </c>
      <c r="O338" s="7" t="s">
        <v>573</v>
      </c>
      <c r="P338" s="13">
        <v>2000</v>
      </c>
      <c r="Q338" s="12">
        <v>254000</v>
      </c>
      <c r="R338" s="7" t="s">
        <v>1371</v>
      </c>
    </row>
    <row r="339" spans="1:18">
      <c r="A339" s="7" t="s">
        <v>597</v>
      </c>
      <c r="B339" s="7" t="s">
        <v>598</v>
      </c>
      <c r="C339" s="7" t="s">
        <v>569</v>
      </c>
      <c r="D339" s="7" t="s">
        <v>622</v>
      </c>
      <c r="E339" s="7">
        <v>1219000544</v>
      </c>
      <c r="F339" s="7" t="s">
        <v>828</v>
      </c>
      <c r="G339" s="7" t="s">
        <v>121</v>
      </c>
      <c r="H339" s="7" t="s">
        <v>424</v>
      </c>
      <c r="I339" s="7" t="s">
        <v>2165</v>
      </c>
      <c r="J339" s="7" t="s">
        <v>2166</v>
      </c>
      <c r="K339" s="7">
        <v>1211079588</v>
      </c>
      <c r="L339" s="7"/>
      <c r="M339" s="7" t="s">
        <v>85</v>
      </c>
      <c r="N339" s="18">
        <v>46251</v>
      </c>
      <c r="O339" s="7" t="s">
        <v>573</v>
      </c>
      <c r="P339" s="13">
        <v>24</v>
      </c>
      <c r="Q339" s="12">
        <v>121911.98</v>
      </c>
      <c r="R339" s="7" t="s">
        <v>1371</v>
      </c>
    </row>
    <row r="340" spans="1:18">
      <c r="A340" s="7" t="s">
        <v>597</v>
      </c>
      <c r="B340" s="7" t="s">
        <v>598</v>
      </c>
      <c r="C340" s="7" t="s">
        <v>569</v>
      </c>
      <c r="D340" s="7" t="s">
        <v>599</v>
      </c>
      <c r="E340" s="7">
        <v>1219000546</v>
      </c>
      <c r="F340" s="7" t="s">
        <v>828</v>
      </c>
      <c r="G340" s="7" t="s">
        <v>121</v>
      </c>
      <c r="H340" s="7" t="s">
        <v>357</v>
      </c>
      <c r="I340" s="7" t="s">
        <v>2165</v>
      </c>
      <c r="J340" s="7" t="s">
        <v>2166</v>
      </c>
      <c r="K340" s="7">
        <v>1211079588</v>
      </c>
      <c r="L340" s="7"/>
      <c r="M340" s="7" t="s">
        <v>85</v>
      </c>
      <c r="N340" s="18">
        <v>46251</v>
      </c>
      <c r="O340" s="7" t="s">
        <v>573</v>
      </c>
      <c r="P340" s="13">
        <v>32</v>
      </c>
      <c r="Q340" s="12">
        <v>162549.31</v>
      </c>
      <c r="R340" s="7" t="s">
        <v>1371</v>
      </c>
    </row>
    <row r="341" spans="1:18">
      <c r="A341" s="7" t="s">
        <v>597</v>
      </c>
      <c r="B341" s="7" t="s">
        <v>598</v>
      </c>
      <c r="C341" s="7" t="s">
        <v>569</v>
      </c>
      <c r="D341" s="7" t="s">
        <v>1562</v>
      </c>
      <c r="E341" s="7">
        <v>1219000585</v>
      </c>
      <c r="F341" s="7" t="s">
        <v>828</v>
      </c>
      <c r="G341" s="7" t="s">
        <v>1563</v>
      </c>
      <c r="H341" s="7" t="s">
        <v>1564</v>
      </c>
      <c r="I341" s="7" t="s">
        <v>2165</v>
      </c>
      <c r="J341" s="7" t="s">
        <v>2166</v>
      </c>
      <c r="K341" s="7">
        <v>1211079588</v>
      </c>
      <c r="L341" s="7"/>
      <c r="M341" s="7" t="s">
        <v>85</v>
      </c>
      <c r="N341" s="18">
        <v>46251</v>
      </c>
      <c r="O341" s="7" t="s">
        <v>573</v>
      </c>
      <c r="P341" s="13">
        <v>3000</v>
      </c>
      <c r="Q341" s="12">
        <v>86913.09</v>
      </c>
      <c r="R341" s="7" t="s">
        <v>1371</v>
      </c>
    </row>
    <row r="342" spans="1:18">
      <c r="A342" s="7" t="s">
        <v>670</v>
      </c>
      <c r="B342" s="7" t="s">
        <v>671</v>
      </c>
      <c r="C342" s="7" t="s">
        <v>569</v>
      </c>
      <c r="D342" s="7" t="s">
        <v>695</v>
      </c>
      <c r="E342" s="7">
        <v>1219000824</v>
      </c>
      <c r="F342" s="7" t="s">
        <v>828</v>
      </c>
      <c r="G342" s="7" t="s">
        <v>644</v>
      </c>
      <c r="H342" s="7" t="s">
        <v>696</v>
      </c>
      <c r="I342" s="7" t="s">
        <v>2167</v>
      </c>
      <c r="J342" s="7" t="s">
        <v>2168</v>
      </c>
      <c r="K342" s="7">
        <v>1211079595</v>
      </c>
      <c r="L342" s="7"/>
      <c r="M342" s="7" t="s">
        <v>85</v>
      </c>
      <c r="N342" s="18">
        <v>46251</v>
      </c>
      <c r="O342" s="7" t="s">
        <v>573</v>
      </c>
      <c r="P342" s="13">
        <v>1</v>
      </c>
      <c r="Q342" s="12">
        <v>3389.83</v>
      </c>
      <c r="R342" s="7" t="s">
        <v>1371</v>
      </c>
    </row>
    <row r="343" spans="1:18">
      <c r="A343" s="7" t="s">
        <v>670</v>
      </c>
      <c r="B343" s="7" t="s">
        <v>671</v>
      </c>
      <c r="C343" s="7" t="s">
        <v>569</v>
      </c>
      <c r="D343" s="7" t="s">
        <v>643</v>
      </c>
      <c r="E343" s="7">
        <v>1219000825</v>
      </c>
      <c r="F343" s="7" t="s">
        <v>828</v>
      </c>
      <c r="G343" s="7" t="s">
        <v>675</v>
      </c>
      <c r="H343" s="7" t="s">
        <v>645</v>
      </c>
      <c r="I343" s="7" t="s">
        <v>2167</v>
      </c>
      <c r="J343" s="7" t="s">
        <v>2168</v>
      </c>
      <c r="K343" s="7">
        <v>1211079595</v>
      </c>
      <c r="L343" s="7"/>
      <c r="M343" s="7" t="s">
        <v>85</v>
      </c>
      <c r="N343" s="18">
        <v>46251</v>
      </c>
      <c r="O343" s="7" t="s">
        <v>573</v>
      </c>
      <c r="P343" s="13">
        <v>1</v>
      </c>
      <c r="Q343" s="12">
        <v>5508.48</v>
      </c>
      <c r="R343" s="7" t="s">
        <v>1371</v>
      </c>
    </row>
    <row r="344" spans="1:18">
      <c r="A344" s="7" t="s">
        <v>1733</v>
      </c>
      <c r="B344" s="7" t="s">
        <v>587</v>
      </c>
      <c r="C344" s="7" t="s">
        <v>569</v>
      </c>
      <c r="D344" s="7" t="s">
        <v>664</v>
      </c>
      <c r="E344" s="7">
        <v>1219000550</v>
      </c>
      <c r="F344" s="7" t="s">
        <v>828</v>
      </c>
      <c r="G344" s="7" t="s">
        <v>359</v>
      </c>
      <c r="H344" s="7" t="s">
        <v>358</v>
      </c>
      <c r="I344" s="7" t="s">
        <v>2169</v>
      </c>
      <c r="J344" s="7" t="s">
        <v>2170</v>
      </c>
      <c r="K344" s="7">
        <v>1211079596</v>
      </c>
      <c r="L344" s="7"/>
      <c r="M344" s="7" t="s">
        <v>85</v>
      </c>
      <c r="N344" s="18">
        <v>46251</v>
      </c>
      <c r="O344" s="7" t="s">
        <v>573</v>
      </c>
      <c r="P344" s="13">
        <v>19</v>
      </c>
      <c r="Q344" s="12">
        <v>104556.46</v>
      </c>
      <c r="R344" s="7" t="s">
        <v>1371</v>
      </c>
    </row>
    <row r="345" spans="1:18">
      <c r="A345" s="7" t="s">
        <v>1733</v>
      </c>
      <c r="B345" s="7" t="s">
        <v>587</v>
      </c>
      <c r="C345" s="7" t="s">
        <v>569</v>
      </c>
      <c r="D345" s="7" t="s">
        <v>672</v>
      </c>
      <c r="E345" s="7">
        <v>1219000552</v>
      </c>
      <c r="F345" s="7" t="s">
        <v>828</v>
      </c>
      <c r="G345" s="7" t="s">
        <v>121</v>
      </c>
      <c r="H345" s="7" t="s">
        <v>271</v>
      </c>
      <c r="I345" s="7" t="s">
        <v>2169</v>
      </c>
      <c r="J345" s="7" t="s">
        <v>2170</v>
      </c>
      <c r="K345" s="7">
        <v>1211079596</v>
      </c>
      <c r="L345" s="7"/>
      <c r="M345" s="7" t="s">
        <v>85</v>
      </c>
      <c r="N345" s="18">
        <v>46251</v>
      </c>
      <c r="O345" s="7" t="s">
        <v>573</v>
      </c>
      <c r="P345" s="13">
        <v>36</v>
      </c>
      <c r="Q345" s="12">
        <v>198106.98</v>
      </c>
      <c r="R345" s="7" t="s">
        <v>1371</v>
      </c>
    </row>
    <row r="346" spans="1:18">
      <c r="A346" s="7" t="s">
        <v>1733</v>
      </c>
      <c r="B346" s="7" t="s">
        <v>587</v>
      </c>
      <c r="C346" s="7" t="s">
        <v>569</v>
      </c>
      <c r="D346" s="7" t="s">
        <v>588</v>
      </c>
      <c r="E346" s="7">
        <v>1219000600</v>
      </c>
      <c r="F346" s="7" t="s">
        <v>1288</v>
      </c>
      <c r="G346" s="7" t="s">
        <v>822</v>
      </c>
      <c r="H346" s="7" t="s">
        <v>589</v>
      </c>
      <c r="I346" s="7" t="s">
        <v>2171</v>
      </c>
      <c r="J346" s="7" t="s">
        <v>2172</v>
      </c>
      <c r="K346" s="7">
        <v>1211079597</v>
      </c>
      <c r="L346" s="7"/>
      <c r="M346" s="7" t="s">
        <v>85</v>
      </c>
      <c r="N346" s="18">
        <v>46251</v>
      </c>
      <c r="O346" s="7" t="s">
        <v>573</v>
      </c>
      <c r="P346" s="13">
        <v>20000</v>
      </c>
      <c r="Q346" s="12">
        <v>719280.72</v>
      </c>
      <c r="R346" s="7" t="s">
        <v>1371</v>
      </c>
    </row>
    <row r="347" spans="1:18">
      <c r="A347" s="7" t="s">
        <v>638</v>
      </c>
      <c r="B347" s="7" t="s">
        <v>607</v>
      </c>
      <c r="C347" s="7" t="s">
        <v>569</v>
      </c>
      <c r="D347" s="7" t="s">
        <v>643</v>
      </c>
      <c r="E347" s="7">
        <v>1219000825</v>
      </c>
      <c r="F347" s="7" t="s">
        <v>828</v>
      </c>
      <c r="G347" s="7" t="s">
        <v>675</v>
      </c>
      <c r="H347" s="7" t="s">
        <v>645</v>
      </c>
      <c r="I347" s="7" t="s">
        <v>2173</v>
      </c>
      <c r="J347" s="7" t="s">
        <v>2174</v>
      </c>
      <c r="K347" s="7">
        <v>1211079693</v>
      </c>
      <c r="L347" s="7"/>
      <c r="M347" s="7" t="s">
        <v>85</v>
      </c>
      <c r="N347" s="18">
        <v>46251</v>
      </c>
      <c r="O347" s="7" t="s">
        <v>573</v>
      </c>
      <c r="P347" s="13">
        <v>20</v>
      </c>
      <c r="Q347" s="12">
        <v>94000</v>
      </c>
      <c r="R347" s="7" t="s">
        <v>1371</v>
      </c>
    </row>
    <row r="348" spans="1:18">
      <c r="A348" s="7" t="s">
        <v>638</v>
      </c>
      <c r="B348" s="7" t="s">
        <v>607</v>
      </c>
      <c r="C348" s="7" t="s">
        <v>569</v>
      </c>
      <c r="D348" s="7" t="s">
        <v>678</v>
      </c>
      <c r="E348" s="7">
        <v>1219000826</v>
      </c>
      <c r="F348" s="7" t="s">
        <v>828</v>
      </c>
      <c r="G348" s="7" t="s">
        <v>675</v>
      </c>
      <c r="H348" s="7" t="s">
        <v>679</v>
      </c>
      <c r="I348" s="7" t="s">
        <v>2173</v>
      </c>
      <c r="J348" s="7" t="s">
        <v>2174</v>
      </c>
      <c r="K348" s="7">
        <v>1211079693</v>
      </c>
      <c r="L348" s="7"/>
      <c r="M348" s="7" t="s">
        <v>85</v>
      </c>
      <c r="N348" s="18">
        <v>46251</v>
      </c>
      <c r="O348" s="7" t="s">
        <v>573</v>
      </c>
      <c r="P348" s="13">
        <v>8</v>
      </c>
      <c r="Q348" s="12">
        <v>50400</v>
      </c>
      <c r="R348" s="7" t="s">
        <v>1371</v>
      </c>
    </row>
    <row r="349" spans="1:18">
      <c r="A349" s="7" t="s">
        <v>2175</v>
      </c>
      <c r="B349" s="7" t="s">
        <v>795</v>
      </c>
      <c r="C349" s="7" t="s">
        <v>569</v>
      </c>
      <c r="D349" s="7" t="s">
        <v>582</v>
      </c>
      <c r="E349" s="7">
        <v>1219000780</v>
      </c>
      <c r="F349" s="7" t="s">
        <v>1288</v>
      </c>
      <c r="G349" s="7" t="s">
        <v>269</v>
      </c>
      <c r="H349" s="7" t="s">
        <v>115</v>
      </c>
      <c r="I349" s="7" t="s">
        <v>2176</v>
      </c>
      <c r="J349" s="7" t="s">
        <v>2177</v>
      </c>
      <c r="K349" s="7">
        <v>1211079694</v>
      </c>
      <c r="L349" s="7"/>
      <c r="M349" s="7" t="s">
        <v>85</v>
      </c>
      <c r="N349" s="18">
        <v>46251</v>
      </c>
      <c r="O349" s="7" t="s">
        <v>573</v>
      </c>
      <c r="P349" s="13">
        <v>100</v>
      </c>
      <c r="Q349" s="12">
        <v>80000</v>
      </c>
      <c r="R349" s="7" t="s">
        <v>1371</v>
      </c>
    </row>
    <row r="350" spans="1:18">
      <c r="A350" s="7" t="s">
        <v>2175</v>
      </c>
      <c r="B350" s="7" t="s">
        <v>795</v>
      </c>
      <c r="C350" s="7" t="s">
        <v>569</v>
      </c>
      <c r="D350" s="7" t="s">
        <v>581</v>
      </c>
      <c r="E350" s="7">
        <v>1219000509</v>
      </c>
      <c r="F350" s="7" t="s">
        <v>1288</v>
      </c>
      <c r="G350" s="7" t="s">
        <v>1447</v>
      </c>
      <c r="H350" s="7" t="s">
        <v>171</v>
      </c>
      <c r="I350" s="7" t="s">
        <v>2178</v>
      </c>
      <c r="J350" s="7" t="s">
        <v>2179</v>
      </c>
      <c r="K350" s="7">
        <v>1211079695</v>
      </c>
      <c r="L350" s="7"/>
      <c r="M350" s="7" t="s">
        <v>85</v>
      </c>
      <c r="N350" s="18">
        <v>46251</v>
      </c>
      <c r="O350" s="7" t="s">
        <v>573</v>
      </c>
      <c r="P350" s="13">
        <v>200</v>
      </c>
      <c r="Q350" s="12">
        <v>60000</v>
      </c>
      <c r="R350" s="7" t="s">
        <v>1371</v>
      </c>
    </row>
    <row r="351" spans="1:18">
      <c r="A351" s="7" t="s">
        <v>2175</v>
      </c>
      <c r="B351" s="7" t="s">
        <v>795</v>
      </c>
      <c r="C351" s="7" t="s">
        <v>569</v>
      </c>
      <c r="D351" s="7" t="s">
        <v>617</v>
      </c>
      <c r="E351" s="7">
        <v>1219000660</v>
      </c>
      <c r="F351" s="7" t="s">
        <v>1288</v>
      </c>
      <c r="G351" s="7" t="s">
        <v>111</v>
      </c>
      <c r="H351" s="7" t="s">
        <v>110</v>
      </c>
      <c r="I351" s="7" t="s">
        <v>2178</v>
      </c>
      <c r="J351" s="7" t="s">
        <v>2179</v>
      </c>
      <c r="K351" s="7">
        <v>1211079695</v>
      </c>
      <c r="L351" s="7"/>
      <c r="M351" s="7" t="s">
        <v>85</v>
      </c>
      <c r="N351" s="18">
        <v>46251</v>
      </c>
      <c r="O351" s="7" t="s">
        <v>573</v>
      </c>
      <c r="P351" s="13">
        <v>200</v>
      </c>
      <c r="Q351" s="12">
        <v>34000</v>
      </c>
      <c r="R351" s="7" t="s">
        <v>1371</v>
      </c>
    </row>
    <row r="352" spans="1:18">
      <c r="A352" s="7" t="s">
        <v>1297</v>
      </c>
      <c r="B352" s="7" t="s">
        <v>1298</v>
      </c>
      <c r="C352" s="7" t="s">
        <v>569</v>
      </c>
      <c r="D352" s="7" t="s">
        <v>658</v>
      </c>
      <c r="E352" s="7">
        <v>1219000799</v>
      </c>
      <c r="F352" s="7" t="s">
        <v>828</v>
      </c>
      <c r="G352" s="7" t="s">
        <v>360</v>
      </c>
      <c r="H352" s="7" t="s">
        <v>332</v>
      </c>
      <c r="I352" s="7" t="s">
        <v>2180</v>
      </c>
      <c r="J352" s="7" t="s">
        <v>2181</v>
      </c>
      <c r="K352" s="7">
        <v>1211079696</v>
      </c>
      <c r="L352" s="7"/>
      <c r="M352" s="7" t="s">
        <v>85</v>
      </c>
      <c r="N352" s="18">
        <v>46251</v>
      </c>
      <c r="O352" s="7" t="s">
        <v>573</v>
      </c>
      <c r="P352" s="13">
        <v>10000</v>
      </c>
      <c r="Q352" s="12">
        <v>490000</v>
      </c>
      <c r="R352" s="7" t="s">
        <v>1371</v>
      </c>
    </row>
    <row r="353" spans="1:18">
      <c r="A353" s="7" t="s">
        <v>2182</v>
      </c>
      <c r="B353" s="7" t="s">
        <v>633</v>
      </c>
      <c r="C353" s="7" t="s">
        <v>569</v>
      </c>
      <c r="D353" s="7" t="s">
        <v>600</v>
      </c>
      <c r="E353" s="7">
        <v>1219001017</v>
      </c>
      <c r="F353" s="7" t="s">
        <v>824</v>
      </c>
      <c r="G353" s="7" t="s">
        <v>346</v>
      </c>
      <c r="H353" s="7" t="s">
        <v>218</v>
      </c>
      <c r="I353" s="7" t="s">
        <v>2183</v>
      </c>
      <c r="J353" s="7" t="s">
        <v>2184</v>
      </c>
      <c r="K353" s="7">
        <v>1211079708</v>
      </c>
      <c r="L353" s="7"/>
      <c r="M353" s="7" t="s">
        <v>85</v>
      </c>
      <c r="N353" s="18">
        <v>46252</v>
      </c>
      <c r="O353" s="7" t="s">
        <v>573</v>
      </c>
      <c r="P353" s="13">
        <v>375</v>
      </c>
      <c r="Q353" s="12">
        <v>768431.57</v>
      </c>
      <c r="R353" s="7" t="s">
        <v>1371</v>
      </c>
    </row>
    <row r="354" spans="1:18">
      <c r="A354" s="7" t="s">
        <v>637</v>
      </c>
      <c r="B354" s="7" t="s">
        <v>607</v>
      </c>
      <c r="C354" s="7" t="s">
        <v>569</v>
      </c>
      <c r="D354" s="7" t="s">
        <v>665</v>
      </c>
      <c r="E354" s="7">
        <v>1219000551</v>
      </c>
      <c r="F354" s="7" t="s">
        <v>828</v>
      </c>
      <c r="G354" s="7" t="s">
        <v>359</v>
      </c>
      <c r="H354" s="7" t="s">
        <v>120</v>
      </c>
      <c r="I354" s="7" t="s">
        <v>2185</v>
      </c>
      <c r="J354" s="7" t="s">
        <v>2186</v>
      </c>
      <c r="K354" s="7">
        <v>1211079711</v>
      </c>
      <c r="L354" s="7"/>
      <c r="M354" s="7" t="s">
        <v>85</v>
      </c>
      <c r="N354" s="18">
        <v>46252</v>
      </c>
      <c r="O354" s="7" t="s">
        <v>573</v>
      </c>
      <c r="P354" s="13">
        <v>76</v>
      </c>
      <c r="Q354" s="12">
        <v>456000</v>
      </c>
      <c r="R354" s="7" t="s">
        <v>1371</v>
      </c>
    </row>
    <row r="355" spans="1:18">
      <c r="A355" s="7" t="s">
        <v>637</v>
      </c>
      <c r="B355" s="7" t="s">
        <v>607</v>
      </c>
      <c r="C355" s="7" t="s">
        <v>569</v>
      </c>
      <c r="D355" s="7" t="s">
        <v>665</v>
      </c>
      <c r="E355" s="7">
        <v>1219000551</v>
      </c>
      <c r="F355" s="7" t="s">
        <v>828</v>
      </c>
      <c r="G355" s="7" t="s">
        <v>121</v>
      </c>
      <c r="H355" s="7" t="s">
        <v>120</v>
      </c>
      <c r="I355" s="7" t="s">
        <v>2185</v>
      </c>
      <c r="J355" s="7" t="s">
        <v>2186</v>
      </c>
      <c r="K355" s="7">
        <v>1211079711</v>
      </c>
      <c r="L355" s="7"/>
      <c r="M355" s="7" t="s">
        <v>85</v>
      </c>
      <c r="N355" s="18">
        <v>46252</v>
      </c>
      <c r="O355" s="7" t="s">
        <v>573</v>
      </c>
      <c r="P355" s="13">
        <v>24</v>
      </c>
      <c r="Q355" s="12">
        <v>144000</v>
      </c>
      <c r="R355" s="7" t="s">
        <v>1371</v>
      </c>
    </row>
    <row r="356" spans="1:18">
      <c r="A356" s="7" t="s">
        <v>637</v>
      </c>
      <c r="B356" s="7" t="s">
        <v>607</v>
      </c>
      <c r="C356" s="7" t="s">
        <v>569</v>
      </c>
      <c r="D356" s="7" t="s">
        <v>599</v>
      </c>
      <c r="E356" s="7">
        <v>1219000546</v>
      </c>
      <c r="F356" s="7" t="s">
        <v>828</v>
      </c>
      <c r="G356" s="7" t="s">
        <v>121</v>
      </c>
      <c r="H356" s="7" t="s">
        <v>357</v>
      </c>
      <c r="I356" s="7" t="s">
        <v>2187</v>
      </c>
      <c r="J356" s="7" t="s">
        <v>2188</v>
      </c>
      <c r="K356" s="7">
        <v>1211079712</v>
      </c>
      <c r="L356" s="7"/>
      <c r="M356" s="7" t="s">
        <v>85</v>
      </c>
      <c r="N356" s="18">
        <v>46252</v>
      </c>
      <c r="O356" s="7" t="s">
        <v>573</v>
      </c>
      <c r="P356" s="13">
        <v>100</v>
      </c>
      <c r="Q356" s="12">
        <v>600000</v>
      </c>
      <c r="R356" s="7" t="s">
        <v>1371</v>
      </c>
    </row>
    <row r="357" spans="1:18">
      <c r="A357" s="7" t="s">
        <v>642</v>
      </c>
      <c r="B357" s="7" t="s">
        <v>607</v>
      </c>
      <c r="C357" s="7" t="s">
        <v>569</v>
      </c>
      <c r="D357" s="7" t="s">
        <v>622</v>
      </c>
      <c r="E357" s="7">
        <v>1219000544</v>
      </c>
      <c r="F357" s="7" t="s">
        <v>828</v>
      </c>
      <c r="G357" s="7" t="s">
        <v>121</v>
      </c>
      <c r="H357" s="7" t="s">
        <v>424</v>
      </c>
      <c r="I357" s="7" t="s">
        <v>2189</v>
      </c>
      <c r="J357" s="7" t="s">
        <v>2190</v>
      </c>
      <c r="K357" s="7">
        <v>1211079713</v>
      </c>
      <c r="L357" s="7"/>
      <c r="M357" s="7" t="s">
        <v>85</v>
      </c>
      <c r="N357" s="18">
        <v>46252</v>
      </c>
      <c r="O357" s="7" t="s">
        <v>573</v>
      </c>
      <c r="P357" s="13">
        <v>20</v>
      </c>
      <c r="Q357" s="12">
        <v>120000</v>
      </c>
      <c r="R357" s="7" t="s">
        <v>1371</v>
      </c>
    </row>
    <row r="358" spans="1:18">
      <c r="A358" s="7" t="s">
        <v>683</v>
      </c>
      <c r="B358" s="7" t="s">
        <v>684</v>
      </c>
      <c r="C358" s="7" t="s">
        <v>569</v>
      </c>
      <c r="D358" s="7" t="s">
        <v>622</v>
      </c>
      <c r="E358" s="7">
        <v>1219000544</v>
      </c>
      <c r="F358" s="7" t="s">
        <v>828</v>
      </c>
      <c r="G358" s="7" t="s">
        <v>121</v>
      </c>
      <c r="H358" s="7" t="s">
        <v>424</v>
      </c>
      <c r="I358" s="7" t="s">
        <v>2191</v>
      </c>
      <c r="J358" s="7" t="s">
        <v>2192</v>
      </c>
      <c r="K358" s="7">
        <v>1211079714</v>
      </c>
      <c r="L358" s="7"/>
      <c r="M358" s="7" t="s">
        <v>85</v>
      </c>
      <c r="N358" s="18">
        <v>46252</v>
      </c>
      <c r="O358" s="7" t="s">
        <v>573</v>
      </c>
      <c r="P358" s="13">
        <v>10</v>
      </c>
      <c r="Q358" s="12">
        <v>55000</v>
      </c>
      <c r="R358" s="7" t="s">
        <v>1371</v>
      </c>
    </row>
    <row r="359" spans="1:18">
      <c r="A359" s="7" t="s">
        <v>683</v>
      </c>
      <c r="B359" s="7" t="s">
        <v>684</v>
      </c>
      <c r="C359" s="7" t="s">
        <v>569</v>
      </c>
      <c r="D359" s="7" t="s">
        <v>599</v>
      </c>
      <c r="E359" s="7">
        <v>1219000546</v>
      </c>
      <c r="F359" s="7" t="s">
        <v>828</v>
      </c>
      <c r="G359" s="7" t="s">
        <v>121</v>
      </c>
      <c r="H359" s="7" t="s">
        <v>357</v>
      </c>
      <c r="I359" s="7" t="s">
        <v>2191</v>
      </c>
      <c r="J359" s="7" t="s">
        <v>2192</v>
      </c>
      <c r="K359" s="7">
        <v>1211079714</v>
      </c>
      <c r="L359" s="7"/>
      <c r="M359" s="7" t="s">
        <v>85</v>
      </c>
      <c r="N359" s="18">
        <v>46252</v>
      </c>
      <c r="O359" s="7" t="s">
        <v>573</v>
      </c>
      <c r="P359" s="13">
        <v>14</v>
      </c>
      <c r="Q359" s="12">
        <v>77000</v>
      </c>
      <c r="R359" s="7" t="s">
        <v>1371</v>
      </c>
    </row>
    <row r="360" spans="1:18">
      <c r="A360" s="7" t="s">
        <v>683</v>
      </c>
      <c r="B360" s="7" t="s">
        <v>684</v>
      </c>
      <c r="C360" s="7" t="s">
        <v>569</v>
      </c>
      <c r="D360" s="7" t="s">
        <v>665</v>
      </c>
      <c r="E360" s="7">
        <v>1219000551</v>
      </c>
      <c r="F360" s="7" t="s">
        <v>828</v>
      </c>
      <c r="G360" s="7" t="s">
        <v>359</v>
      </c>
      <c r="H360" s="7" t="s">
        <v>120</v>
      </c>
      <c r="I360" s="7" t="s">
        <v>2191</v>
      </c>
      <c r="J360" s="7" t="s">
        <v>2192</v>
      </c>
      <c r="K360" s="7">
        <v>1211079714</v>
      </c>
      <c r="L360" s="7"/>
      <c r="M360" s="7" t="s">
        <v>85</v>
      </c>
      <c r="N360" s="18">
        <v>46252</v>
      </c>
      <c r="O360" s="7" t="s">
        <v>573</v>
      </c>
      <c r="P360" s="13">
        <v>2</v>
      </c>
      <c r="Q360" s="12">
        <v>11000</v>
      </c>
      <c r="R360" s="7" t="s">
        <v>1371</v>
      </c>
    </row>
    <row r="361" spans="1:18">
      <c r="A361" s="7" t="s">
        <v>646</v>
      </c>
      <c r="B361" s="7" t="s">
        <v>647</v>
      </c>
      <c r="C361" s="7" t="s">
        <v>569</v>
      </c>
      <c r="D361" s="7" t="s">
        <v>802</v>
      </c>
      <c r="E361" s="7">
        <v>1219000610</v>
      </c>
      <c r="F361" s="7" t="s">
        <v>824</v>
      </c>
      <c r="G361" s="7" t="s">
        <v>1502</v>
      </c>
      <c r="H361" s="7" t="s">
        <v>326</v>
      </c>
      <c r="I361" s="7" t="s">
        <v>2193</v>
      </c>
      <c r="J361" s="7" t="s">
        <v>2194</v>
      </c>
      <c r="K361" s="7">
        <v>1211079715</v>
      </c>
      <c r="L361" s="7"/>
      <c r="M361" s="7" t="s">
        <v>85</v>
      </c>
      <c r="N361" s="18">
        <v>46253</v>
      </c>
      <c r="O361" s="7" t="s">
        <v>573</v>
      </c>
      <c r="P361" s="13">
        <v>200</v>
      </c>
      <c r="Q361" s="12">
        <v>87912.09</v>
      </c>
      <c r="R361" s="7" t="s">
        <v>1371</v>
      </c>
    </row>
    <row r="362" spans="1:18">
      <c r="A362" s="7" t="s">
        <v>646</v>
      </c>
      <c r="B362" s="7" t="s">
        <v>647</v>
      </c>
      <c r="C362" s="7" t="s">
        <v>569</v>
      </c>
      <c r="D362" s="7" t="s">
        <v>603</v>
      </c>
      <c r="E362" s="7">
        <v>1219000758</v>
      </c>
      <c r="F362" s="7" t="s">
        <v>824</v>
      </c>
      <c r="G362" s="7" t="s">
        <v>145</v>
      </c>
      <c r="H362" s="7" t="s">
        <v>144</v>
      </c>
      <c r="I362" s="7" t="s">
        <v>2193</v>
      </c>
      <c r="J362" s="7" t="s">
        <v>2194</v>
      </c>
      <c r="K362" s="7">
        <v>1211079715</v>
      </c>
      <c r="L362" s="7"/>
      <c r="M362" s="7" t="s">
        <v>85</v>
      </c>
      <c r="N362" s="18">
        <v>46253</v>
      </c>
      <c r="O362" s="7" t="s">
        <v>573</v>
      </c>
      <c r="P362" s="13">
        <v>200</v>
      </c>
      <c r="Q362" s="12">
        <v>229770.23</v>
      </c>
      <c r="R362" s="7" t="s">
        <v>1371</v>
      </c>
    </row>
    <row r="363" spans="1:18">
      <c r="A363" s="7" t="s">
        <v>606</v>
      </c>
      <c r="B363" s="7" t="s">
        <v>607</v>
      </c>
      <c r="C363" s="7" t="s">
        <v>569</v>
      </c>
      <c r="D363" s="7" t="s">
        <v>622</v>
      </c>
      <c r="E363" s="7">
        <v>1219000544</v>
      </c>
      <c r="F363" s="7" t="s">
        <v>828</v>
      </c>
      <c r="G363" s="7" t="s">
        <v>121</v>
      </c>
      <c r="H363" s="7" t="s">
        <v>424</v>
      </c>
      <c r="I363" s="7" t="s">
        <v>2195</v>
      </c>
      <c r="J363" s="7" t="s">
        <v>2196</v>
      </c>
      <c r="K363" s="7">
        <v>1211079716</v>
      </c>
      <c r="L363" s="7"/>
      <c r="M363" s="7" t="s">
        <v>85</v>
      </c>
      <c r="N363" s="18">
        <v>46253</v>
      </c>
      <c r="O363" s="7" t="s">
        <v>573</v>
      </c>
      <c r="P363" s="13">
        <v>160</v>
      </c>
      <c r="Q363" s="12">
        <v>960000</v>
      </c>
      <c r="R363" s="7" t="s">
        <v>1371</v>
      </c>
    </row>
    <row r="364" spans="1:18">
      <c r="A364" s="7" t="s">
        <v>606</v>
      </c>
      <c r="B364" s="7" t="s">
        <v>607</v>
      </c>
      <c r="C364" s="7" t="s">
        <v>569</v>
      </c>
      <c r="D364" s="7" t="s">
        <v>599</v>
      </c>
      <c r="E364" s="7">
        <v>1219000546</v>
      </c>
      <c r="F364" s="7" t="s">
        <v>828</v>
      </c>
      <c r="G364" s="7" t="s">
        <v>121</v>
      </c>
      <c r="H364" s="7" t="s">
        <v>357</v>
      </c>
      <c r="I364" s="7" t="s">
        <v>2197</v>
      </c>
      <c r="J364" s="7" t="s">
        <v>2198</v>
      </c>
      <c r="K364" s="7">
        <v>1211079717</v>
      </c>
      <c r="L364" s="7"/>
      <c r="M364" s="7" t="s">
        <v>85</v>
      </c>
      <c r="N364" s="18">
        <v>46253</v>
      </c>
      <c r="O364" s="7" t="s">
        <v>573</v>
      </c>
      <c r="P364" s="13">
        <v>120</v>
      </c>
      <c r="Q364" s="12">
        <v>720000</v>
      </c>
      <c r="R364" s="7" t="s">
        <v>1371</v>
      </c>
    </row>
    <row r="365" spans="1:18">
      <c r="A365" s="7" t="s">
        <v>1399</v>
      </c>
      <c r="B365" s="7" t="s">
        <v>1400</v>
      </c>
      <c r="C365" s="7" t="s">
        <v>569</v>
      </c>
      <c r="D365" s="7" t="s">
        <v>581</v>
      </c>
      <c r="E365" s="7">
        <v>1219000509</v>
      </c>
      <c r="F365" s="7" t="s">
        <v>1288</v>
      </c>
      <c r="G365" s="7" t="s">
        <v>1447</v>
      </c>
      <c r="H365" s="7" t="s">
        <v>171</v>
      </c>
      <c r="I365" s="7" t="s">
        <v>2199</v>
      </c>
      <c r="J365" s="7" t="s">
        <v>2200</v>
      </c>
      <c r="K365" s="7">
        <v>1211079720</v>
      </c>
      <c r="L365" s="7"/>
      <c r="M365" s="7" t="s">
        <v>85</v>
      </c>
      <c r="N365" s="18">
        <v>46253</v>
      </c>
      <c r="O365" s="7" t="s">
        <v>573</v>
      </c>
      <c r="P365" s="13">
        <v>200</v>
      </c>
      <c r="Q365" s="12">
        <v>54945.05</v>
      </c>
      <c r="R365" s="7" t="s">
        <v>1371</v>
      </c>
    </row>
    <row r="366" spans="1:18">
      <c r="A366" s="7" t="s">
        <v>1399</v>
      </c>
      <c r="B366" s="7" t="s">
        <v>1400</v>
      </c>
      <c r="C366" s="7" t="s">
        <v>569</v>
      </c>
      <c r="D366" s="7" t="s">
        <v>582</v>
      </c>
      <c r="E366" s="7">
        <v>1219000780</v>
      </c>
      <c r="F366" s="7" t="s">
        <v>1288</v>
      </c>
      <c r="G366" s="7" t="s">
        <v>269</v>
      </c>
      <c r="H366" s="7" t="s">
        <v>115</v>
      </c>
      <c r="I366" s="7" t="s">
        <v>2199</v>
      </c>
      <c r="J366" s="7" t="s">
        <v>2200</v>
      </c>
      <c r="K366" s="7">
        <v>1211079720</v>
      </c>
      <c r="L366" s="7"/>
      <c r="M366" s="7" t="s">
        <v>85</v>
      </c>
      <c r="N366" s="18">
        <v>46253</v>
      </c>
      <c r="O366" s="7" t="s">
        <v>573</v>
      </c>
      <c r="P366" s="13">
        <v>500</v>
      </c>
      <c r="Q366" s="12">
        <v>349650.35</v>
      </c>
      <c r="R366" s="7" t="s">
        <v>1371</v>
      </c>
    </row>
    <row r="367" spans="1:18">
      <c r="A367" s="7" t="s">
        <v>608</v>
      </c>
      <c r="B367" s="7" t="s">
        <v>609</v>
      </c>
      <c r="C367" s="7" t="s">
        <v>569</v>
      </c>
      <c r="D367" s="7" t="s">
        <v>1764</v>
      </c>
      <c r="E367" s="7">
        <v>1219000510</v>
      </c>
      <c r="F367" s="7" t="s">
        <v>1288</v>
      </c>
      <c r="G367" s="7" t="s">
        <v>2076</v>
      </c>
      <c r="H367" s="7" t="s">
        <v>103</v>
      </c>
      <c r="I367" s="7" t="s">
        <v>2201</v>
      </c>
      <c r="J367" s="7" t="s">
        <v>2202</v>
      </c>
      <c r="K367" s="7">
        <v>1211079723</v>
      </c>
      <c r="L367" s="7"/>
      <c r="M367" s="7" t="s">
        <v>85</v>
      </c>
      <c r="N367" s="18">
        <v>46254</v>
      </c>
      <c r="O367" s="7" t="s">
        <v>573</v>
      </c>
      <c r="P367" s="13">
        <v>640</v>
      </c>
      <c r="Q367" s="12">
        <v>336943.06</v>
      </c>
      <c r="R367" s="7" t="s">
        <v>1371</v>
      </c>
    </row>
    <row r="368" spans="1:18">
      <c r="A368" s="7" t="s">
        <v>608</v>
      </c>
      <c r="B368" s="7" t="s">
        <v>609</v>
      </c>
      <c r="C368" s="7" t="s">
        <v>569</v>
      </c>
      <c r="D368" s="7" t="s">
        <v>582</v>
      </c>
      <c r="E368" s="7">
        <v>1219000780</v>
      </c>
      <c r="F368" s="7" t="s">
        <v>1288</v>
      </c>
      <c r="G368" s="7" t="s">
        <v>269</v>
      </c>
      <c r="H368" s="7" t="s">
        <v>115</v>
      </c>
      <c r="I368" s="7" t="s">
        <v>2201</v>
      </c>
      <c r="J368" s="7" t="s">
        <v>2202</v>
      </c>
      <c r="K368" s="7">
        <v>1211079723</v>
      </c>
      <c r="L368" s="7"/>
      <c r="M368" s="7" t="s">
        <v>85</v>
      </c>
      <c r="N368" s="18">
        <v>46254</v>
      </c>
      <c r="O368" s="7" t="s">
        <v>573</v>
      </c>
      <c r="P368" s="13">
        <v>300</v>
      </c>
      <c r="Q368" s="12">
        <v>194805.19</v>
      </c>
      <c r="R368" s="7" t="s">
        <v>1371</v>
      </c>
    </row>
    <row r="369" spans="1:18">
      <c r="A369" s="7" t="s">
        <v>608</v>
      </c>
      <c r="B369" s="7" t="s">
        <v>609</v>
      </c>
      <c r="C369" s="7" t="s">
        <v>569</v>
      </c>
      <c r="D369" s="7" t="s">
        <v>774</v>
      </c>
      <c r="E369" s="7">
        <v>1219001022</v>
      </c>
      <c r="F369" s="7" t="s">
        <v>1288</v>
      </c>
      <c r="G369" s="7" t="s">
        <v>265</v>
      </c>
      <c r="H369" s="7" t="s">
        <v>238</v>
      </c>
      <c r="I369" s="7" t="s">
        <v>2201</v>
      </c>
      <c r="J369" s="7" t="s">
        <v>2202</v>
      </c>
      <c r="K369" s="7">
        <v>1211079723</v>
      </c>
      <c r="L369" s="7"/>
      <c r="M369" s="7" t="s">
        <v>85</v>
      </c>
      <c r="N369" s="18">
        <v>46254</v>
      </c>
      <c r="O369" s="7" t="s">
        <v>573</v>
      </c>
      <c r="P369" s="13">
        <v>2000</v>
      </c>
      <c r="Q369" s="12">
        <v>109890.11</v>
      </c>
      <c r="R369" s="7" t="s">
        <v>1371</v>
      </c>
    </row>
    <row r="370" spans="1:18">
      <c r="A370" s="7" t="s">
        <v>769</v>
      </c>
      <c r="B370" s="7" t="s">
        <v>770</v>
      </c>
      <c r="C370" s="7" t="s">
        <v>569</v>
      </c>
      <c r="D370" s="7" t="s">
        <v>664</v>
      </c>
      <c r="E370" s="7">
        <v>1219000550</v>
      </c>
      <c r="F370" s="7" t="s">
        <v>828</v>
      </c>
      <c r="G370" s="7" t="s">
        <v>359</v>
      </c>
      <c r="H370" s="7" t="s">
        <v>358</v>
      </c>
      <c r="I370" s="7" t="s">
        <v>2203</v>
      </c>
      <c r="J370" s="7" t="s">
        <v>2204</v>
      </c>
      <c r="K370" s="7">
        <v>1211079724</v>
      </c>
      <c r="L370" s="7"/>
      <c r="M370" s="7" t="s">
        <v>85</v>
      </c>
      <c r="N370" s="18">
        <v>46254</v>
      </c>
      <c r="O370" s="7" t="s">
        <v>573</v>
      </c>
      <c r="P370" s="13">
        <v>48</v>
      </c>
      <c r="Q370" s="12">
        <v>336000</v>
      </c>
      <c r="R370" s="7" t="s">
        <v>1371</v>
      </c>
    </row>
    <row r="371" spans="1:18">
      <c r="A371" s="7" t="s">
        <v>769</v>
      </c>
      <c r="B371" s="7" t="s">
        <v>770</v>
      </c>
      <c r="C371" s="7" t="s">
        <v>569</v>
      </c>
      <c r="D371" s="7" t="s">
        <v>665</v>
      </c>
      <c r="E371" s="7">
        <v>1219000551</v>
      </c>
      <c r="F371" s="7" t="s">
        <v>828</v>
      </c>
      <c r="G371" s="7" t="s">
        <v>359</v>
      </c>
      <c r="H371" s="7" t="s">
        <v>120</v>
      </c>
      <c r="I371" s="7" t="s">
        <v>2203</v>
      </c>
      <c r="J371" s="7" t="s">
        <v>2204</v>
      </c>
      <c r="K371" s="7">
        <v>1211079724</v>
      </c>
      <c r="L371" s="7"/>
      <c r="M371" s="7" t="s">
        <v>85</v>
      </c>
      <c r="N371" s="18">
        <v>46254</v>
      </c>
      <c r="O371" s="7" t="s">
        <v>573</v>
      </c>
      <c r="P371" s="13">
        <v>24</v>
      </c>
      <c r="Q371" s="12">
        <v>168000</v>
      </c>
      <c r="R371" s="7" t="s">
        <v>1371</v>
      </c>
    </row>
    <row r="372" spans="1:18">
      <c r="A372" s="7" t="s">
        <v>769</v>
      </c>
      <c r="B372" s="7" t="s">
        <v>770</v>
      </c>
      <c r="C372" s="7" t="s">
        <v>569</v>
      </c>
      <c r="D372" s="7" t="s">
        <v>698</v>
      </c>
      <c r="E372" s="7">
        <v>1219000553</v>
      </c>
      <c r="F372" s="7" t="s">
        <v>828</v>
      </c>
      <c r="G372" s="7" t="s">
        <v>699</v>
      </c>
      <c r="H372" s="7" t="s">
        <v>441</v>
      </c>
      <c r="I372" s="7" t="s">
        <v>2203</v>
      </c>
      <c r="J372" s="7" t="s">
        <v>2204</v>
      </c>
      <c r="K372" s="7">
        <v>1211079724</v>
      </c>
      <c r="L372" s="7"/>
      <c r="M372" s="7" t="s">
        <v>85</v>
      </c>
      <c r="N372" s="18">
        <v>46254</v>
      </c>
      <c r="O372" s="7" t="s">
        <v>573</v>
      </c>
      <c r="P372" s="13">
        <v>2</v>
      </c>
      <c r="Q372" s="12">
        <v>14000</v>
      </c>
      <c r="R372" s="7" t="s">
        <v>1371</v>
      </c>
    </row>
    <row r="373" spans="1:18">
      <c r="A373" s="7" t="s">
        <v>2205</v>
      </c>
      <c r="B373" s="7" t="s">
        <v>655</v>
      </c>
      <c r="C373" s="7" t="s">
        <v>569</v>
      </c>
      <c r="D373" s="7" t="s">
        <v>600</v>
      </c>
      <c r="E373" s="7">
        <v>1219001017</v>
      </c>
      <c r="F373" s="7" t="s">
        <v>824</v>
      </c>
      <c r="G373" s="7" t="s">
        <v>346</v>
      </c>
      <c r="H373" s="7" t="s">
        <v>218</v>
      </c>
      <c r="I373" s="7" t="s">
        <v>2206</v>
      </c>
      <c r="J373" s="7" t="s">
        <v>2207</v>
      </c>
      <c r="K373" s="7">
        <v>1211079726</v>
      </c>
      <c r="L373" s="7"/>
      <c r="M373" s="7" t="s">
        <v>85</v>
      </c>
      <c r="N373" s="18">
        <v>46254</v>
      </c>
      <c r="O373" s="7" t="s">
        <v>573</v>
      </c>
      <c r="P373" s="13">
        <v>740</v>
      </c>
      <c r="Q373" s="12">
        <v>1515484.52</v>
      </c>
      <c r="R373" s="7" t="s">
        <v>1371</v>
      </c>
    </row>
    <row r="374" spans="1:18">
      <c r="A374" s="7" t="s">
        <v>601</v>
      </c>
      <c r="B374" s="7" t="s">
        <v>602</v>
      </c>
      <c r="C374" s="7" t="s">
        <v>569</v>
      </c>
      <c r="D374" s="7" t="s">
        <v>658</v>
      </c>
      <c r="E374" s="7">
        <v>1219000799</v>
      </c>
      <c r="F374" s="7" t="s">
        <v>828</v>
      </c>
      <c r="G374" s="7" t="s">
        <v>360</v>
      </c>
      <c r="H374" s="7" t="s">
        <v>332</v>
      </c>
      <c r="I374" s="7" t="s">
        <v>2208</v>
      </c>
      <c r="J374" s="7" t="s">
        <v>2209</v>
      </c>
      <c r="K374" s="7">
        <v>1211079736</v>
      </c>
      <c r="L374" s="7"/>
      <c r="M374" s="7" t="s">
        <v>85</v>
      </c>
      <c r="N374" s="18">
        <v>46254</v>
      </c>
      <c r="O374" s="7" t="s">
        <v>573</v>
      </c>
      <c r="P374" s="13">
        <v>5000</v>
      </c>
      <c r="Q374" s="12">
        <v>290000</v>
      </c>
      <c r="R374" s="7" t="s">
        <v>1371</v>
      </c>
    </row>
    <row r="375" spans="1:18">
      <c r="A375" s="7" t="s">
        <v>638</v>
      </c>
      <c r="B375" s="7" t="s">
        <v>607</v>
      </c>
      <c r="C375" s="7" t="s">
        <v>569</v>
      </c>
      <c r="D375" s="7" t="s">
        <v>623</v>
      </c>
      <c r="E375" s="7">
        <v>1219000547</v>
      </c>
      <c r="F375" s="7" t="s">
        <v>828</v>
      </c>
      <c r="G375" s="7" t="s">
        <v>624</v>
      </c>
      <c r="H375" s="7" t="s">
        <v>431</v>
      </c>
      <c r="I375" s="7" t="s">
        <v>2210</v>
      </c>
      <c r="J375" s="7" t="s">
        <v>2211</v>
      </c>
      <c r="K375" s="7">
        <v>1211079820</v>
      </c>
      <c r="L375" s="7"/>
      <c r="M375" s="7" t="s">
        <v>85</v>
      </c>
      <c r="N375" s="18">
        <v>46254</v>
      </c>
      <c r="O375" s="7" t="s">
        <v>573</v>
      </c>
      <c r="P375" s="13">
        <v>8</v>
      </c>
      <c r="Q375" s="12">
        <v>48000</v>
      </c>
      <c r="R375" s="7" t="s">
        <v>1371</v>
      </c>
    </row>
    <row r="376" spans="1:18">
      <c r="A376" s="7" t="s">
        <v>638</v>
      </c>
      <c r="B376" s="7" t="s">
        <v>607</v>
      </c>
      <c r="C376" s="7" t="s">
        <v>569</v>
      </c>
      <c r="D376" s="7" t="s">
        <v>672</v>
      </c>
      <c r="E376" s="7">
        <v>1219000552</v>
      </c>
      <c r="F376" s="7" t="s">
        <v>828</v>
      </c>
      <c r="G376" s="7" t="s">
        <v>121</v>
      </c>
      <c r="H376" s="7" t="s">
        <v>271</v>
      </c>
      <c r="I376" s="7" t="s">
        <v>2212</v>
      </c>
      <c r="J376" s="7" t="s">
        <v>2213</v>
      </c>
      <c r="K376" s="7">
        <v>1211079821</v>
      </c>
      <c r="L376" s="7"/>
      <c r="M376" s="7" t="s">
        <v>85</v>
      </c>
      <c r="N376" s="18">
        <v>46254</v>
      </c>
      <c r="O376" s="7" t="s">
        <v>573</v>
      </c>
      <c r="P376" s="13">
        <v>10</v>
      </c>
      <c r="Q376" s="12">
        <v>60000</v>
      </c>
      <c r="R376" s="7" t="s">
        <v>1371</v>
      </c>
    </row>
    <row r="377" spans="1:18">
      <c r="A377" s="7" t="s">
        <v>638</v>
      </c>
      <c r="B377" s="7" t="s">
        <v>607</v>
      </c>
      <c r="C377" s="7" t="s">
        <v>569</v>
      </c>
      <c r="D377" s="7" t="s">
        <v>622</v>
      </c>
      <c r="E377" s="7">
        <v>1219000544</v>
      </c>
      <c r="F377" s="7" t="s">
        <v>828</v>
      </c>
      <c r="G377" s="7" t="s">
        <v>121</v>
      </c>
      <c r="H377" s="7" t="s">
        <v>424</v>
      </c>
      <c r="I377" s="7" t="s">
        <v>2214</v>
      </c>
      <c r="J377" s="7" t="s">
        <v>2215</v>
      </c>
      <c r="K377" s="7">
        <v>1211079822</v>
      </c>
      <c r="L377" s="7"/>
      <c r="M377" s="7" t="s">
        <v>85</v>
      </c>
      <c r="N377" s="18">
        <v>46254</v>
      </c>
      <c r="O377" s="7" t="s">
        <v>573</v>
      </c>
      <c r="P377" s="13">
        <v>30</v>
      </c>
      <c r="Q377" s="12">
        <v>180000</v>
      </c>
      <c r="R377" s="7" t="s">
        <v>1371</v>
      </c>
    </row>
    <row r="378" spans="1:18">
      <c r="A378" s="7" t="s">
        <v>638</v>
      </c>
      <c r="B378" s="7" t="s">
        <v>607</v>
      </c>
      <c r="C378" s="7" t="s">
        <v>569</v>
      </c>
      <c r="D378" s="7" t="s">
        <v>599</v>
      </c>
      <c r="E378" s="7">
        <v>1219000546</v>
      </c>
      <c r="F378" s="7" t="s">
        <v>828</v>
      </c>
      <c r="G378" s="7" t="s">
        <v>121</v>
      </c>
      <c r="H378" s="7" t="s">
        <v>357</v>
      </c>
      <c r="I378" s="7" t="s">
        <v>2214</v>
      </c>
      <c r="J378" s="7" t="s">
        <v>2215</v>
      </c>
      <c r="K378" s="7">
        <v>1211079822</v>
      </c>
      <c r="L378" s="7"/>
      <c r="M378" s="7" t="s">
        <v>85</v>
      </c>
      <c r="N378" s="18">
        <v>46254</v>
      </c>
      <c r="O378" s="7" t="s">
        <v>573</v>
      </c>
      <c r="P378" s="13">
        <v>30</v>
      </c>
      <c r="Q378" s="12">
        <v>180000</v>
      </c>
      <c r="R378" s="7" t="s">
        <v>1371</v>
      </c>
    </row>
    <row r="379" spans="1:18">
      <c r="A379" s="7" t="s">
        <v>620</v>
      </c>
      <c r="B379" s="7" t="s">
        <v>621</v>
      </c>
      <c r="C379" s="7" t="s">
        <v>569</v>
      </c>
      <c r="D379" s="7" t="s">
        <v>599</v>
      </c>
      <c r="E379" s="7">
        <v>1219000546</v>
      </c>
      <c r="F379" s="7" t="s">
        <v>828</v>
      </c>
      <c r="G379" s="7" t="s">
        <v>121</v>
      </c>
      <c r="H379" s="7" t="s">
        <v>357</v>
      </c>
      <c r="I379" s="7" t="s">
        <v>2216</v>
      </c>
      <c r="J379" s="7" t="s">
        <v>2217</v>
      </c>
      <c r="K379" s="7">
        <v>1211079823</v>
      </c>
      <c r="L379" s="7"/>
      <c r="M379" s="7" t="s">
        <v>85</v>
      </c>
      <c r="N379" s="18">
        <v>46254</v>
      </c>
      <c r="O379" s="7" t="s">
        <v>573</v>
      </c>
      <c r="P379" s="13">
        <v>3</v>
      </c>
      <c r="Q379" s="12">
        <v>18000</v>
      </c>
      <c r="R379" s="7" t="s">
        <v>1371</v>
      </c>
    </row>
    <row r="380" spans="1:18">
      <c r="A380" s="7" t="s">
        <v>2218</v>
      </c>
      <c r="B380" s="7" t="s">
        <v>2219</v>
      </c>
      <c r="C380" s="7" t="s">
        <v>569</v>
      </c>
      <c r="D380" s="7" t="s">
        <v>802</v>
      </c>
      <c r="E380" s="7">
        <v>1219000610</v>
      </c>
      <c r="F380" s="7" t="s">
        <v>824</v>
      </c>
      <c r="G380" s="7" t="s">
        <v>1502</v>
      </c>
      <c r="H380" s="7" t="s">
        <v>326</v>
      </c>
      <c r="I380" s="7" t="s">
        <v>2220</v>
      </c>
      <c r="J380" s="7" t="s">
        <v>2221</v>
      </c>
      <c r="K380" s="7">
        <v>1211079824</v>
      </c>
      <c r="L380" s="7"/>
      <c r="M380" s="7" t="s">
        <v>85</v>
      </c>
      <c r="N380" s="18">
        <v>46254</v>
      </c>
      <c r="O380" s="7" t="s">
        <v>573</v>
      </c>
      <c r="P380" s="13">
        <v>300</v>
      </c>
      <c r="Q380" s="12">
        <v>132000</v>
      </c>
      <c r="R380" s="7" t="s">
        <v>1371</v>
      </c>
    </row>
    <row r="381" spans="1:18">
      <c r="A381" s="7" t="s">
        <v>2218</v>
      </c>
      <c r="B381" s="7" t="s">
        <v>2219</v>
      </c>
      <c r="C381" s="7" t="s">
        <v>569</v>
      </c>
      <c r="D381" s="7" t="s">
        <v>577</v>
      </c>
      <c r="E381" s="7">
        <v>1219000754</v>
      </c>
      <c r="F381" s="7" t="s">
        <v>824</v>
      </c>
      <c r="G381" s="7" t="s">
        <v>1411</v>
      </c>
      <c r="H381" s="7" t="s">
        <v>139</v>
      </c>
      <c r="I381" s="7" t="s">
        <v>2220</v>
      </c>
      <c r="J381" s="7" t="s">
        <v>2221</v>
      </c>
      <c r="K381" s="7">
        <v>1211079824</v>
      </c>
      <c r="L381" s="7"/>
      <c r="M381" s="7" t="s">
        <v>85</v>
      </c>
      <c r="N381" s="18">
        <v>46254</v>
      </c>
      <c r="O381" s="7" t="s">
        <v>573</v>
      </c>
      <c r="P381" s="13">
        <v>300</v>
      </c>
      <c r="Q381" s="12">
        <v>315000</v>
      </c>
      <c r="R381" s="7" t="s">
        <v>1371</v>
      </c>
    </row>
    <row r="382" spans="1:18">
      <c r="A382" s="7" t="s">
        <v>2218</v>
      </c>
      <c r="B382" s="7" t="s">
        <v>2219</v>
      </c>
      <c r="C382" s="7" t="s">
        <v>569</v>
      </c>
      <c r="D382" s="7" t="s">
        <v>579</v>
      </c>
      <c r="E382" s="7">
        <v>1219000832</v>
      </c>
      <c r="F382" s="7" t="s">
        <v>824</v>
      </c>
      <c r="G382" s="7" t="s">
        <v>164</v>
      </c>
      <c r="H382" s="7" t="s">
        <v>163</v>
      </c>
      <c r="I382" s="7" t="s">
        <v>2220</v>
      </c>
      <c r="J382" s="7" t="s">
        <v>2221</v>
      </c>
      <c r="K382" s="7">
        <v>1211079824</v>
      </c>
      <c r="L382" s="7"/>
      <c r="M382" s="7" t="s">
        <v>85</v>
      </c>
      <c r="N382" s="18">
        <v>46254</v>
      </c>
      <c r="O382" s="7" t="s">
        <v>573</v>
      </c>
      <c r="P382" s="13">
        <v>300</v>
      </c>
      <c r="Q382" s="12">
        <v>33000</v>
      </c>
      <c r="R382" s="7" t="s">
        <v>1371</v>
      </c>
    </row>
    <row r="383" spans="1:18">
      <c r="A383" s="7" t="s">
        <v>606</v>
      </c>
      <c r="B383" s="7" t="s">
        <v>607</v>
      </c>
      <c r="C383" s="7" t="s">
        <v>569</v>
      </c>
      <c r="D383" s="7" t="s">
        <v>665</v>
      </c>
      <c r="E383" s="7">
        <v>1219000551</v>
      </c>
      <c r="F383" s="7" t="s">
        <v>828</v>
      </c>
      <c r="G383" s="7" t="s">
        <v>359</v>
      </c>
      <c r="H383" s="7" t="s">
        <v>120</v>
      </c>
      <c r="I383" s="7" t="s">
        <v>2222</v>
      </c>
      <c r="J383" s="7" t="s">
        <v>2223</v>
      </c>
      <c r="K383" s="7">
        <v>1211079826</v>
      </c>
      <c r="L383" s="7"/>
      <c r="M383" s="7" t="s">
        <v>85</v>
      </c>
      <c r="N383" s="18">
        <v>46255</v>
      </c>
      <c r="O383" s="7" t="s">
        <v>573</v>
      </c>
      <c r="P383" s="13">
        <v>24</v>
      </c>
      <c r="Q383" s="12">
        <v>144000</v>
      </c>
      <c r="R383" s="7" t="s">
        <v>1371</v>
      </c>
    </row>
    <row r="384" spans="1:18">
      <c r="A384" s="7" t="s">
        <v>606</v>
      </c>
      <c r="B384" s="7" t="s">
        <v>607</v>
      </c>
      <c r="C384" s="7" t="s">
        <v>569</v>
      </c>
      <c r="D384" s="7" t="s">
        <v>623</v>
      </c>
      <c r="E384" s="7">
        <v>1219000547</v>
      </c>
      <c r="F384" s="7" t="s">
        <v>828</v>
      </c>
      <c r="G384" s="7" t="s">
        <v>1728</v>
      </c>
      <c r="H384" s="7" t="s">
        <v>431</v>
      </c>
      <c r="I384" s="7" t="s">
        <v>2224</v>
      </c>
      <c r="J384" s="7" t="s">
        <v>2225</v>
      </c>
      <c r="K384" s="7">
        <v>1211079827</v>
      </c>
      <c r="L384" s="7"/>
      <c r="M384" s="7" t="s">
        <v>85</v>
      </c>
      <c r="N384" s="18">
        <v>46255</v>
      </c>
      <c r="O384" s="7" t="s">
        <v>573</v>
      </c>
      <c r="P384" s="13">
        <v>8</v>
      </c>
      <c r="Q384" s="12">
        <v>48000</v>
      </c>
      <c r="R384" s="7" t="s">
        <v>1371</v>
      </c>
    </row>
    <row r="385" spans="1:18">
      <c r="A385" s="7" t="s">
        <v>612</v>
      </c>
      <c r="B385" s="7" t="s">
        <v>613</v>
      </c>
      <c r="C385" s="7" t="s">
        <v>569</v>
      </c>
      <c r="D385" s="7" t="s">
        <v>2226</v>
      </c>
      <c r="E385" s="7">
        <v>1219000756</v>
      </c>
      <c r="F385" s="7" t="s">
        <v>824</v>
      </c>
      <c r="G385" s="7" t="s">
        <v>2227</v>
      </c>
      <c r="H385" s="7" t="s">
        <v>578</v>
      </c>
      <c r="I385" s="7" t="s">
        <v>2228</v>
      </c>
      <c r="J385" s="7" t="s">
        <v>2229</v>
      </c>
      <c r="K385" s="7">
        <v>1211079828</v>
      </c>
      <c r="L385" s="7"/>
      <c r="M385" s="7" t="s">
        <v>85</v>
      </c>
      <c r="N385" s="18">
        <v>46255</v>
      </c>
      <c r="O385" s="7" t="s">
        <v>573</v>
      </c>
      <c r="P385" s="13">
        <v>50</v>
      </c>
      <c r="Q385" s="12">
        <v>24500</v>
      </c>
      <c r="R385" s="7" t="s">
        <v>1371</v>
      </c>
    </row>
    <row r="386" spans="1:18">
      <c r="A386" s="7" t="s">
        <v>612</v>
      </c>
      <c r="B386" s="7" t="s">
        <v>613</v>
      </c>
      <c r="C386" s="7" t="s">
        <v>569</v>
      </c>
      <c r="D386" s="7" t="s">
        <v>603</v>
      </c>
      <c r="E386" s="7">
        <v>1219000758</v>
      </c>
      <c r="F386" s="7" t="s">
        <v>824</v>
      </c>
      <c r="G386" s="7" t="s">
        <v>145</v>
      </c>
      <c r="H386" s="7" t="s">
        <v>144</v>
      </c>
      <c r="I386" s="7" t="s">
        <v>2228</v>
      </c>
      <c r="J386" s="7" t="s">
        <v>2229</v>
      </c>
      <c r="K386" s="7">
        <v>1211079828</v>
      </c>
      <c r="L386" s="7"/>
      <c r="M386" s="7" t="s">
        <v>85</v>
      </c>
      <c r="N386" s="18">
        <v>46255</v>
      </c>
      <c r="O386" s="7" t="s">
        <v>573</v>
      </c>
      <c r="P386" s="13">
        <v>48</v>
      </c>
      <c r="Q386" s="12">
        <v>68880</v>
      </c>
      <c r="R386" s="7" t="s">
        <v>1371</v>
      </c>
    </row>
    <row r="387" spans="1:18">
      <c r="A387" s="7" t="s">
        <v>612</v>
      </c>
      <c r="B387" s="7" t="s">
        <v>613</v>
      </c>
      <c r="C387" s="7" t="s">
        <v>569</v>
      </c>
      <c r="D387" s="7" t="s">
        <v>614</v>
      </c>
      <c r="E387" s="7">
        <v>1219000833</v>
      </c>
      <c r="F387" s="7" t="s">
        <v>824</v>
      </c>
      <c r="G387" s="7" t="s">
        <v>167</v>
      </c>
      <c r="H387" s="7" t="s">
        <v>166</v>
      </c>
      <c r="I387" s="7" t="s">
        <v>2228</v>
      </c>
      <c r="J387" s="7" t="s">
        <v>2229</v>
      </c>
      <c r="K387" s="7">
        <v>1211079828</v>
      </c>
      <c r="L387" s="7"/>
      <c r="M387" s="7" t="s">
        <v>85</v>
      </c>
      <c r="N387" s="18">
        <v>46255</v>
      </c>
      <c r="O387" s="7" t="s">
        <v>573</v>
      </c>
      <c r="P387" s="13">
        <v>10</v>
      </c>
      <c r="Q387" s="12">
        <v>1200</v>
      </c>
      <c r="R387" s="7" t="s">
        <v>1371</v>
      </c>
    </row>
    <row r="388" spans="1:18">
      <c r="A388" s="7" t="s">
        <v>670</v>
      </c>
      <c r="B388" s="7" t="s">
        <v>671</v>
      </c>
      <c r="C388" s="7" t="s">
        <v>569</v>
      </c>
      <c r="D388" s="7" t="s">
        <v>622</v>
      </c>
      <c r="E388" s="7">
        <v>1219000544</v>
      </c>
      <c r="F388" s="7" t="s">
        <v>828</v>
      </c>
      <c r="G388" s="7" t="s">
        <v>121</v>
      </c>
      <c r="H388" s="7" t="s">
        <v>424</v>
      </c>
      <c r="I388" s="7" t="s">
        <v>2230</v>
      </c>
      <c r="J388" s="7" t="s">
        <v>2231</v>
      </c>
      <c r="K388" s="7">
        <v>1211079835</v>
      </c>
      <c r="L388" s="7"/>
      <c r="M388" s="7" t="s">
        <v>85</v>
      </c>
      <c r="N388" s="18">
        <v>46255</v>
      </c>
      <c r="O388" s="7" t="s">
        <v>573</v>
      </c>
      <c r="P388" s="13">
        <v>16</v>
      </c>
      <c r="Q388" s="12">
        <v>88135.59</v>
      </c>
      <c r="R388" s="7" t="s">
        <v>1371</v>
      </c>
    </row>
    <row r="389" spans="1:18">
      <c r="A389" s="7" t="s">
        <v>670</v>
      </c>
      <c r="B389" s="7" t="s">
        <v>671</v>
      </c>
      <c r="C389" s="7" t="s">
        <v>569</v>
      </c>
      <c r="D389" s="7" t="s">
        <v>599</v>
      </c>
      <c r="E389" s="7">
        <v>1219000546</v>
      </c>
      <c r="F389" s="7" t="s">
        <v>828</v>
      </c>
      <c r="G389" s="7" t="s">
        <v>121</v>
      </c>
      <c r="H389" s="7" t="s">
        <v>357</v>
      </c>
      <c r="I389" s="7" t="s">
        <v>2230</v>
      </c>
      <c r="J389" s="7" t="s">
        <v>2231</v>
      </c>
      <c r="K389" s="7">
        <v>1211079835</v>
      </c>
      <c r="L389" s="7"/>
      <c r="M389" s="7" t="s">
        <v>85</v>
      </c>
      <c r="N389" s="18">
        <v>46255</v>
      </c>
      <c r="O389" s="7" t="s">
        <v>573</v>
      </c>
      <c r="P389" s="13">
        <v>16</v>
      </c>
      <c r="Q389" s="12">
        <v>88135.59</v>
      </c>
      <c r="R389" s="7" t="s">
        <v>1371</v>
      </c>
    </row>
    <row r="390" spans="1:18">
      <c r="A390" s="7" t="s">
        <v>670</v>
      </c>
      <c r="B390" s="7" t="s">
        <v>671</v>
      </c>
      <c r="C390" s="7" t="s">
        <v>569</v>
      </c>
      <c r="D390" s="7" t="s">
        <v>2232</v>
      </c>
      <c r="E390" s="7">
        <v>1219000571</v>
      </c>
      <c r="F390" s="7" t="s">
        <v>828</v>
      </c>
      <c r="G390" s="7" t="s">
        <v>2233</v>
      </c>
      <c r="H390" s="7" t="s">
        <v>519</v>
      </c>
      <c r="I390" s="7" t="s">
        <v>2230</v>
      </c>
      <c r="J390" s="7" t="s">
        <v>2231</v>
      </c>
      <c r="K390" s="7">
        <v>1211079835</v>
      </c>
      <c r="L390" s="7"/>
      <c r="M390" s="7" t="s">
        <v>85</v>
      </c>
      <c r="N390" s="18">
        <v>46255</v>
      </c>
      <c r="O390" s="7" t="s">
        <v>573</v>
      </c>
      <c r="P390" s="13">
        <v>500</v>
      </c>
      <c r="Q390" s="12">
        <v>50847.46</v>
      </c>
      <c r="R390" s="7" t="s">
        <v>1371</v>
      </c>
    </row>
    <row r="391" spans="1:18">
      <c r="A391" s="7" t="s">
        <v>670</v>
      </c>
      <c r="B391" s="7" t="s">
        <v>671</v>
      </c>
      <c r="C391" s="7" t="s">
        <v>569</v>
      </c>
      <c r="D391" s="7" t="s">
        <v>755</v>
      </c>
      <c r="E391" s="7">
        <v>1219000573</v>
      </c>
      <c r="F391" s="7" t="s">
        <v>828</v>
      </c>
      <c r="G391" s="7" t="s">
        <v>2234</v>
      </c>
      <c r="H391" s="7" t="s">
        <v>125</v>
      </c>
      <c r="I391" s="7" t="s">
        <v>2230</v>
      </c>
      <c r="J391" s="7" t="s">
        <v>2231</v>
      </c>
      <c r="K391" s="7">
        <v>1211079835</v>
      </c>
      <c r="L391" s="7"/>
      <c r="M391" s="7" t="s">
        <v>85</v>
      </c>
      <c r="N391" s="18">
        <v>46255</v>
      </c>
      <c r="O391" s="7" t="s">
        <v>573</v>
      </c>
      <c r="P391" s="13">
        <v>1500</v>
      </c>
      <c r="Q391" s="12">
        <v>165254.24</v>
      </c>
      <c r="R391" s="7" t="s">
        <v>1371</v>
      </c>
    </row>
    <row r="392" spans="1:18">
      <c r="A392" s="7" t="s">
        <v>670</v>
      </c>
      <c r="B392" s="7" t="s">
        <v>671</v>
      </c>
      <c r="C392" s="7" t="s">
        <v>569</v>
      </c>
      <c r="D392" s="7" t="s">
        <v>1640</v>
      </c>
      <c r="E392" s="7">
        <v>1219000584</v>
      </c>
      <c r="F392" s="7" t="s">
        <v>828</v>
      </c>
      <c r="G392" s="7" t="s">
        <v>1641</v>
      </c>
      <c r="H392" s="7" t="s">
        <v>1642</v>
      </c>
      <c r="I392" s="7" t="s">
        <v>2230</v>
      </c>
      <c r="J392" s="7" t="s">
        <v>2231</v>
      </c>
      <c r="K392" s="7">
        <v>1211079835</v>
      </c>
      <c r="L392" s="7"/>
      <c r="M392" s="7" t="s">
        <v>85</v>
      </c>
      <c r="N392" s="18">
        <v>46255</v>
      </c>
      <c r="O392" s="7" t="s">
        <v>573</v>
      </c>
      <c r="P392" s="13">
        <v>1500</v>
      </c>
      <c r="Q392" s="12">
        <v>75000</v>
      </c>
      <c r="R392" s="7" t="s">
        <v>1371</v>
      </c>
    </row>
    <row r="393" spans="1:18">
      <c r="A393" s="7" t="s">
        <v>704</v>
      </c>
      <c r="B393" s="7" t="s">
        <v>705</v>
      </c>
      <c r="C393" s="7" t="s">
        <v>569</v>
      </c>
      <c r="D393" s="7" t="s">
        <v>802</v>
      </c>
      <c r="E393" s="7">
        <v>1219000610</v>
      </c>
      <c r="F393" s="7" t="s">
        <v>824</v>
      </c>
      <c r="G393" s="7" t="s">
        <v>1502</v>
      </c>
      <c r="H393" s="7" t="s">
        <v>326</v>
      </c>
      <c r="I393" s="7" t="s">
        <v>2235</v>
      </c>
      <c r="J393" s="7" t="s">
        <v>2236</v>
      </c>
      <c r="K393" s="7">
        <v>1211079838</v>
      </c>
      <c r="L393" s="7"/>
      <c r="M393" s="7" t="s">
        <v>85</v>
      </c>
      <c r="N393" s="18">
        <v>46255</v>
      </c>
      <c r="O393" s="7" t="s">
        <v>573</v>
      </c>
      <c r="P393" s="13">
        <v>200</v>
      </c>
      <c r="Q393" s="12">
        <v>86913.09</v>
      </c>
      <c r="R393" s="7" t="s">
        <v>1371</v>
      </c>
    </row>
    <row r="394" spans="1:18">
      <c r="A394" s="7" t="s">
        <v>704</v>
      </c>
      <c r="B394" s="7" t="s">
        <v>705</v>
      </c>
      <c r="C394" s="7" t="s">
        <v>569</v>
      </c>
      <c r="D394" s="7" t="s">
        <v>577</v>
      </c>
      <c r="E394" s="7">
        <v>1219000754</v>
      </c>
      <c r="F394" s="7" t="s">
        <v>824</v>
      </c>
      <c r="G394" s="7" t="s">
        <v>1411</v>
      </c>
      <c r="H394" s="7" t="s">
        <v>139</v>
      </c>
      <c r="I394" s="7" t="s">
        <v>2235</v>
      </c>
      <c r="J394" s="7" t="s">
        <v>2236</v>
      </c>
      <c r="K394" s="7">
        <v>1211079838</v>
      </c>
      <c r="L394" s="7"/>
      <c r="M394" s="7" t="s">
        <v>85</v>
      </c>
      <c r="N394" s="18">
        <v>46255</v>
      </c>
      <c r="O394" s="7" t="s">
        <v>573</v>
      </c>
      <c r="P394" s="13">
        <v>100</v>
      </c>
      <c r="Q394" s="12">
        <v>124875.12</v>
      </c>
      <c r="R394" s="7" t="s">
        <v>1371</v>
      </c>
    </row>
    <row r="395" spans="1:18">
      <c r="A395" s="7" t="s">
        <v>704</v>
      </c>
      <c r="B395" s="7" t="s">
        <v>705</v>
      </c>
      <c r="C395" s="7" t="s">
        <v>569</v>
      </c>
      <c r="D395" s="7" t="s">
        <v>619</v>
      </c>
      <c r="E395" s="7">
        <v>1219000753</v>
      </c>
      <c r="F395" s="7" t="s">
        <v>824</v>
      </c>
      <c r="G395" s="7" t="s">
        <v>1579</v>
      </c>
      <c r="H395" s="7" t="s">
        <v>78</v>
      </c>
      <c r="I395" s="7" t="s">
        <v>2235</v>
      </c>
      <c r="J395" s="7" t="s">
        <v>2236</v>
      </c>
      <c r="K395" s="7">
        <v>1211079838</v>
      </c>
      <c r="L395" s="7"/>
      <c r="M395" s="7" t="s">
        <v>85</v>
      </c>
      <c r="N395" s="18">
        <v>46255</v>
      </c>
      <c r="O395" s="7" t="s">
        <v>573</v>
      </c>
      <c r="P395" s="13">
        <v>50</v>
      </c>
      <c r="Q395" s="12">
        <v>63436.56</v>
      </c>
      <c r="R395" s="7" t="s">
        <v>1371</v>
      </c>
    </row>
    <row r="396" spans="1:18">
      <c r="A396" s="7" t="s">
        <v>704</v>
      </c>
      <c r="B396" s="7" t="s">
        <v>705</v>
      </c>
      <c r="C396" s="7" t="s">
        <v>569</v>
      </c>
      <c r="D396" s="7" t="s">
        <v>706</v>
      </c>
      <c r="E396" s="7">
        <v>1219000752</v>
      </c>
      <c r="F396" s="7" t="s">
        <v>824</v>
      </c>
      <c r="G396" s="7" t="s">
        <v>2237</v>
      </c>
      <c r="H396" s="7" t="s">
        <v>151</v>
      </c>
      <c r="I396" s="7" t="s">
        <v>2235</v>
      </c>
      <c r="J396" s="7" t="s">
        <v>2236</v>
      </c>
      <c r="K396" s="7">
        <v>1211079838</v>
      </c>
      <c r="L396" s="7"/>
      <c r="M396" s="7" t="s">
        <v>85</v>
      </c>
      <c r="N396" s="18">
        <v>46255</v>
      </c>
      <c r="O396" s="7" t="s">
        <v>573</v>
      </c>
      <c r="P396" s="13">
        <v>50</v>
      </c>
      <c r="Q396" s="12">
        <v>63436.56</v>
      </c>
      <c r="R396" s="7" t="s">
        <v>1371</v>
      </c>
    </row>
    <row r="397" spans="1:18">
      <c r="A397" s="7" t="s">
        <v>704</v>
      </c>
      <c r="B397" s="7" t="s">
        <v>705</v>
      </c>
      <c r="C397" s="7" t="s">
        <v>569</v>
      </c>
      <c r="D397" s="7" t="s">
        <v>603</v>
      </c>
      <c r="E397" s="7">
        <v>1219000758</v>
      </c>
      <c r="F397" s="7" t="s">
        <v>824</v>
      </c>
      <c r="G397" s="7" t="s">
        <v>145</v>
      </c>
      <c r="H397" s="7" t="s">
        <v>144</v>
      </c>
      <c r="I397" s="7" t="s">
        <v>2235</v>
      </c>
      <c r="J397" s="7" t="s">
        <v>2236</v>
      </c>
      <c r="K397" s="7">
        <v>1211079838</v>
      </c>
      <c r="L397" s="7"/>
      <c r="M397" s="7" t="s">
        <v>85</v>
      </c>
      <c r="N397" s="18">
        <v>46255</v>
      </c>
      <c r="O397" s="7" t="s">
        <v>573</v>
      </c>
      <c r="P397" s="13">
        <v>25</v>
      </c>
      <c r="Q397" s="12">
        <v>31718.28</v>
      </c>
      <c r="R397" s="7" t="s">
        <v>1371</v>
      </c>
    </row>
    <row r="398" spans="1:18">
      <c r="A398" s="7" t="s">
        <v>704</v>
      </c>
      <c r="B398" s="7" t="s">
        <v>705</v>
      </c>
      <c r="C398" s="7" t="s">
        <v>569</v>
      </c>
      <c r="D398" s="7" t="s">
        <v>579</v>
      </c>
      <c r="E398" s="7">
        <v>1219000832</v>
      </c>
      <c r="F398" s="7" t="s">
        <v>824</v>
      </c>
      <c r="G398" s="7" t="s">
        <v>164</v>
      </c>
      <c r="H398" s="7" t="s">
        <v>163</v>
      </c>
      <c r="I398" s="7" t="s">
        <v>2235</v>
      </c>
      <c r="J398" s="7" t="s">
        <v>2236</v>
      </c>
      <c r="K398" s="7">
        <v>1211079838</v>
      </c>
      <c r="L398" s="7"/>
      <c r="M398" s="7" t="s">
        <v>85</v>
      </c>
      <c r="N398" s="18">
        <v>46255</v>
      </c>
      <c r="O398" s="7" t="s">
        <v>573</v>
      </c>
      <c r="P398" s="13">
        <v>90</v>
      </c>
      <c r="Q398" s="12">
        <v>8091.91</v>
      </c>
      <c r="R398" s="7" t="s">
        <v>1371</v>
      </c>
    </row>
    <row r="399" spans="1:18">
      <c r="A399" s="7" t="s">
        <v>704</v>
      </c>
      <c r="B399" s="7" t="s">
        <v>705</v>
      </c>
      <c r="C399" s="7" t="s">
        <v>569</v>
      </c>
      <c r="D399" s="7" t="s">
        <v>614</v>
      </c>
      <c r="E399" s="7">
        <v>1219000833</v>
      </c>
      <c r="F399" s="7" t="s">
        <v>824</v>
      </c>
      <c r="G399" s="7" t="s">
        <v>167</v>
      </c>
      <c r="H399" s="7" t="s">
        <v>166</v>
      </c>
      <c r="I399" s="7" t="s">
        <v>2235</v>
      </c>
      <c r="J399" s="7" t="s">
        <v>2236</v>
      </c>
      <c r="K399" s="7">
        <v>1211079838</v>
      </c>
      <c r="L399" s="7"/>
      <c r="M399" s="7" t="s">
        <v>85</v>
      </c>
      <c r="N399" s="18">
        <v>46255</v>
      </c>
      <c r="O399" s="7" t="s">
        <v>573</v>
      </c>
      <c r="P399" s="13">
        <v>90</v>
      </c>
      <c r="Q399" s="12">
        <v>8091.91</v>
      </c>
      <c r="R399" s="7" t="s">
        <v>1371</v>
      </c>
    </row>
    <row r="400" spans="1:18">
      <c r="A400" s="7" t="s">
        <v>604</v>
      </c>
      <c r="B400" s="7" t="s">
        <v>605</v>
      </c>
      <c r="C400" s="7" t="s">
        <v>569</v>
      </c>
      <c r="D400" s="7" t="s">
        <v>802</v>
      </c>
      <c r="E400" s="7">
        <v>1219000610</v>
      </c>
      <c r="F400" s="7" t="s">
        <v>824</v>
      </c>
      <c r="G400" s="7" t="s">
        <v>1502</v>
      </c>
      <c r="H400" s="7" t="s">
        <v>326</v>
      </c>
      <c r="I400" s="7" t="s">
        <v>2238</v>
      </c>
      <c r="J400" s="7" t="s">
        <v>2239</v>
      </c>
      <c r="K400" s="7">
        <v>1211079839</v>
      </c>
      <c r="L400" s="7"/>
      <c r="M400" s="7" t="s">
        <v>85</v>
      </c>
      <c r="N400" s="18">
        <v>46255</v>
      </c>
      <c r="O400" s="7" t="s">
        <v>573</v>
      </c>
      <c r="P400" s="13">
        <v>48</v>
      </c>
      <c r="Q400" s="12">
        <v>21120</v>
      </c>
      <c r="R400" s="7" t="s">
        <v>1371</v>
      </c>
    </row>
    <row r="401" spans="1:18">
      <c r="A401" s="7" t="s">
        <v>604</v>
      </c>
      <c r="B401" s="7" t="s">
        <v>605</v>
      </c>
      <c r="C401" s="7" t="s">
        <v>569</v>
      </c>
      <c r="D401" s="7" t="s">
        <v>577</v>
      </c>
      <c r="E401" s="7">
        <v>1219000754</v>
      </c>
      <c r="F401" s="7" t="s">
        <v>824</v>
      </c>
      <c r="G401" s="7" t="s">
        <v>1411</v>
      </c>
      <c r="H401" s="7" t="s">
        <v>139</v>
      </c>
      <c r="I401" s="7" t="s">
        <v>2238</v>
      </c>
      <c r="J401" s="7" t="s">
        <v>2239</v>
      </c>
      <c r="K401" s="7">
        <v>1211079839</v>
      </c>
      <c r="L401" s="7"/>
      <c r="M401" s="7" t="s">
        <v>85</v>
      </c>
      <c r="N401" s="18">
        <v>46255</v>
      </c>
      <c r="O401" s="7" t="s">
        <v>573</v>
      </c>
      <c r="P401" s="13">
        <v>48</v>
      </c>
      <c r="Q401" s="12">
        <v>52800</v>
      </c>
      <c r="R401" s="7" t="s">
        <v>1371</v>
      </c>
    </row>
    <row r="402" spans="1:18">
      <c r="A402" s="7" t="s">
        <v>2240</v>
      </c>
      <c r="B402" s="7" t="s">
        <v>716</v>
      </c>
      <c r="C402" s="7" t="s">
        <v>569</v>
      </c>
      <c r="D402" s="7" t="s">
        <v>622</v>
      </c>
      <c r="E402" s="7">
        <v>1219000544</v>
      </c>
      <c r="F402" s="7" t="s">
        <v>828</v>
      </c>
      <c r="G402" s="7" t="s">
        <v>121</v>
      </c>
      <c r="H402" s="7" t="s">
        <v>424</v>
      </c>
      <c r="I402" s="7" t="s">
        <v>2241</v>
      </c>
      <c r="J402" s="7" t="s">
        <v>2242</v>
      </c>
      <c r="K402" s="7">
        <v>1211079840</v>
      </c>
      <c r="L402" s="7"/>
      <c r="M402" s="7" t="s">
        <v>85</v>
      </c>
      <c r="N402" s="18">
        <v>46255</v>
      </c>
      <c r="O402" s="7" t="s">
        <v>573</v>
      </c>
      <c r="P402" s="13">
        <v>20</v>
      </c>
      <c r="Q402" s="12">
        <v>110000</v>
      </c>
      <c r="R402" s="7" t="s">
        <v>1371</v>
      </c>
    </row>
    <row r="403" spans="1:18">
      <c r="A403" s="7" t="s">
        <v>2240</v>
      </c>
      <c r="B403" s="7" t="s">
        <v>716</v>
      </c>
      <c r="C403" s="7" t="s">
        <v>569</v>
      </c>
      <c r="D403" s="7" t="s">
        <v>599</v>
      </c>
      <c r="E403" s="7">
        <v>1219000546</v>
      </c>
      <c r="F403" s="7" t="s">
        <v>828</v>
      </c>
      <c r="G403" s="7" t="s">
        <v>121</v>
      </c>
      <c r="H403" s="7" t="s">
        <v>357</v>
      </c>
      <c r="I403" s="7" t="s">
        <v>2241</v>
      </c>
      <c r="J403" s="7" t="s">
        <v>2242</v>
      </c>
      <c r="K403" s="7">
        <v>1211079840</v>
      </c>
      <c r="L403" s="7"/>
      <c r="M403" s="7" t="s">
        <v>85</v>
      </c>
      <c r="N403" s="18">
        <v>46255</v>
      </c>
      <c r="O403" s="7" t="s">
        <v>573</v>
      </c>
      <c r="P403" s="13">
        <v>80</v>
      </c>
      <c r="Q403" s="12">
        <v>440000</v>
      </c>
      <c r="R403" s="7" t="s">
        <v>1371</v>
      </c>
    </row>
    <row r="404" spans="1:18">
      <c r="A404" s="7" t="s">
        <v>2240</v>
      </c>
      <c r="B404" s="7" t="s">
        <v>716</v>
      </c>
      <c r="C404" s="7" t="s">
        <v>569</v>
      </c>
      <c r="D404" s="7" t="s">
        <v>623</v>
      </c>
      <c r="E404" s="7">
        <v>1219000547</v>
      </c>
      <c r="F404" s="7" t="s">
        <v>828</v>
      </c>
      <c r="G404" s="7" t="s">
        <v>624</v>
      </c>
      <c r="H404" s="7" t="s">
        <v>431</v>
      </c>
      <c r="I404" s="7" t="s">
        <v>2241</v>
      </c>
      <c r="J404" s="7" t="s">
        <v>2242</v>
      </c>
      <c r="K404" s="7">
        <v>1211079840</v>
      </c>
      <c r="L404" s="7"/>
      <c r="M404" s="7" t="s">
        <v>85</v>
      </c>
      <c r="N404" s="18">
        <v>46255</v>
      </c>
      <c r="O404" s="7" t="s">
        <v>573</v>
      </c>
      <c r="P404" s="13">
        <v>20</v>
      </c>
      <c r="Q404" s="12">
        <v>110000</v>
      </c>
      <c r="R404" s="7" t="s">
        <v>1371</v>
      </c>
    </row>
    <row r="405" spans="1:18">
      <c r="A405" s="7" t="s">
        <v>2240</v>
      </c>
      <c r="B405" s="7" t="s">
        <v>716</v>
      </c>
      <c r="C405" s="7" t="s">
        <v>569</v>
      </c>
      <c r="D405" s="7" t="s">
        <v>1562</v>
      </c>
      <c r="E405" s="7">
        <v>1219000585</v>
      </c>
      <c r="F405" s="7" t="s">
        <v>828</v>
      </c>
      <c r="G405" s="7" t="s">
        <v>1563</v>
      </c>
      <c r="H405" s="7" t="s">
        <v>1564</v>
      </c>
      <c r="I405" s="7" t="s">
        <v>2241</v>
      </c>
      <c r="J405" s="7" t="s">
        <v>2242</v>
      </c>
      <c r="K405" s="7">
        <v>1211079840</v>
      </c>
      <c r="L405" s="7"/>
      <c r="M405" s="7" t="s">
        <v>85</v>
      </c>
      <c r="N405" s="18">
        <v>46255</v>
      </c>
      <c r="O405" s="7" t="s">
        <v>573</v>
      </c>
      <c r="P405" s="13">
        <v>2400</v>
      </c>
      <c r="Q405" s="12">
        <v>76800</v>
      </c>
      <c r="R405" s="7" t="s">
        <v>1371</v>
      </c>
    </row>
    <row r="406" spans="1:18">
      <c r="A406" s="7" t="s">
        <v>2240</v>
      </c>
      <c r="B406" s="7" t="s">
        <v>716</v>
      </c>
      <c r="C406" s="7" t="s">
        <v>569</v>
      </c>
      <c r="D406" s="7" t="s">
        <v>695</v>
      </c>
      <c r="E406" s="7">
        <v>1219000824</v>
      </c>
      <c r="F406" s="7" t="s">
        <v>828</v>
      </c>
      <c r="G406" s="7" t="s">
        <v>644</v>
      </c>
      <c r="H406" s="7" t="s">
        <v>696</v>
      </c>
      <c r="I406" s="7" t="s">
        <v>2241</v>
      </c>
      <c r="J406" s="7" t="s">
        <v>2242</v>
      </c>
      <c r="K406" s="7">
        <v>1211079840</v>
      </c>
      <c r="L406" s="7"/>
      <c r="M406" s="7" t="s">
        <v>85</v>
      </c>
      <c r="N406" s="18">
        <v>46255</v>
      </c>
      <c r="O406" s="7" t="s">
        <v>573</v>
      </c>
      <c r="P406" s="13">
        <v>2</v>
      </c>
      <c r="Q406" s="12">
        <v>8000</v>
      </c>
      <c r="R406" s="7" t="s">
        <v>1371</v>
      </c>
    </row>
    <row r="407" spans="1:18">
      <c r="A407" s="7" t="s">
        <v>2240</v>
      </c>
      <c r="B407" s="7" t="s">
        <v>716</v>
      </c>
      <c r="C407" s="7" t="s">
        <v>569</v>
      </c>
      <c r="D407" s="7" t="s">
        <v>643</v>
      </c>
      <c r="E407" s="7">
        <v>1219000825</v>
      </c>
      <c r="F407" s="7" t="s">
        <v>828</v>
      </c>
      <c r="G407" s="7" t="s">
        <v>675</v>
      </c>
      <c r="H407" s="7" t="s">
        <v>645</v>
      </c>
      <c r="I407" s="7" t="s">
        <v>2241</v>
      </c>
      <c r="J407" s="7" t="s">
        <v>2242</v>
      </c>
      <c r="K407" s="7">
        <v>1211079840</v>
      </c>
      <c r="L407" s="7"/>
      <c r="M407" s="7" t="s">
        <v>85</v>
      </c>
      <c r="N407" s="18">
        <v>46255</v>
      </c>
      <c r="O407" s="7" t="s">
        <v>573</v>
      </c>
      <c r="P407" s="13">
        <v>7</v>
      </c>
      <c r="Q407" s="12">
        <v>42000</v>
      </c>
      <c r="R407" s="7" t="s">
        <v>1371</v>
      </c>
    </row>
    <row r="408" spans="1:18">
      <c r="A408" s="7" t="s">
        <v>2240</v>
      </c>
      <c r="B408" s="7" t="s">
        <v>716</v>
      </c>
      <c r="C408" s="7" t="s">
        <v>569</v>
      </c>
      <c r="D408" s="7" t="s">
        <v>2243</v>
      </c>
      <c r="E408" s="7">
        <v>1219000828</v>
      </c>
      <c r="F408" s="7" t="s">
        <v>828</v>
      </c>
      <c r="G408" s="7" t="s">
        <v>644</v>
      </c>
      <c r="H408" s="7" t="s">
        <v>697</v>
      </c>
      <c r="I408" s="7" t="s">
        <v>2241</v>
      </c>
      <c r="J408" s="7" t="s">
        <v>2242</v>
      </c>
      <c r="K408" s="7">
        <v>1211079840</v>
      </c>
      <c r="L408" s="7"/>
      <c r="M408" s="7" t="s">
        <v>85</v>
      </c>
      <c r="N408" s="18">
        <v>46255</v>
      </c>
      <c r="O408" s="7" t="s">
        <v>573</v>
      </c>
      <c r="P408" s="13">
        <v>2</v>
      </c>
      <c r="Q408" s="12">
        <v>24000</v>
      </c>
      <c r="R408" s="7" t="s">
        <v>1371</v>
      </c>
    </row>
    <row r="409" spans="1:18">
      <c r="A409" s="7" t="s">
        <v>2244</v>
      </c>
      <c r="B409" s="7" t="s">
        <v>800</v>
      </c>
      <c r="C409" s="7" t="s">
        <v>1487</v>
      </c>
      <c r="D409" s="7" t="s">
        <v>581</v>
      </c>
      <c r="E409" s="7">
        <v>1219000509</v>
      </c>
      <c r="F409" s="7" t="s">
        <v>1288</v>
      </c>
      <c r="G409" s="7" t="s">
        <v>1447</v>
      </c>
      <c r="H409" s="7" t="s">
        <v>171</v>
      </c>
      <c r="I409" s="7" t="s">
        <v>2245</v>
      </c>
      <c r="J409" s="7" t="s">
        <v>2246</v>
      </c>
      <c r="K409" s="7">
        <v>1211079841</v>
      </c>
      <c r="L409" s="7"/>
      <c r="M409" s="7" t="s">
        <v>85</v>
      </c>
      <c r="N409" s="18">
        <v>46255</v>
      </c>
      <c r="O409" s="7" t="s">
        <v>573</v>
      </c>
      <c r="P409" s="13">
        <v>2000</v>
      </c>
      <c r="Q409" s="12">
        <v>648000</v>
      </c>
      <c r="R409" s="7" t="s">
        <v>1371</v>
      </c>
    </row>
    <row r="410" spans="1:18">
      <c r="A410" s="7" t="s">
        <v>635</v>
      </c>
      <c r="B410" s="7" t="s">
        <v>636</v>
      </c>
      <c r="C410" s="7" t="s">
        <v>569</v>
      </c>
      <c r="D410" s="7" t="s">
        <v>600</v>
      </c>
      <c r="E410" s="7">
        <v>1219001017</v>
      </c>
      <c r="F410" s="7" t="s">
        <v>824</v>
      </c>
      <c r="G410" s="7" t="s">
        <v>346</v>
      </c>
      <c r="H410" s="7" t="s">
        <v>218</v>
      </c>
      <c r="I410" s="7" t="s">
        <v>2247</v>
      </c>
      <c r="J410" s="7" t="s">
        <v>2248</v>
      </c>
      <c r="K410" s="7">
        <v>1211079853</v>
      </c>
      <c r="L410" s="7"/>
      <c r="M410" s="7" t="s">
        <v>85</v>
      </c>
      <c r="N410" s="18">
        <v>46258</v>
      </c>
      <c r="O410" s="7" t="s">
        <v>573</v>
      </c>
      <c r="P410" s="13">
        <v>117</v>
      </c>
      <c r="Q410" s="12">
        <v>254220.78</v>
      </c>
      <c r="R410" s="7" t="s">
        <v>1371</v>
      </c>
    </row>
    <row r="411" spans="1:18">
      <c r="A411" s="7" t="s">
        <v>1399</v>
      </c>
      <c r="B411" s="7" t="s">
        <v>1400</v>
      </c>
      <c r="C411" s="7" t="s">
        <v>569</v>
      </c>
      <c r="D411" s="7" t="s">
        <v>588</v>
      </c>
      <c r="E411" s="7">
        <v>1219000600</v>
      </c>
      <c r="F411" s="7" t="s">
        <v>1288</v>
      </c>
      <c r="G411" s="7" t="s">
        <v>822</v>
      </c>
      <c r="H411" s="7" t="s">
        <v>589</v>
      </c>
      <c r="I411" s="7" t="s">
        <v>2249</v>
      </c>
      <c r="J411" s="7" t="s">
        <v>2250</v>
      </c>
      <c r="K411" s="7">
        <v>1211079854</v>
      </c>
      <c r="L411" s="7"/>
      <c r="M411" s="7" t="s">
        <v>85</v>
      </c>
      <c r="N411" s="18">
        <v>46258</v>
      </c>
      <c r="O411" s="7" t="s">
        <v>573</v>
      </c>
      <c r="P411" s="13">
        <v>16500</v>
      </c>
      <c r="Q411" s="12">
        <v>527472.53</v>
      </c>
      <c r="R411" s="7" t="s">
        <v>1371</v>
      </c>
    </row>
    <row r="412" spans="1:18">
      <c r="A412" s="7" t="s">
        <v>1760</v>
      </c>
      <c r="B412" s="7" t="s">
        <v>615</v>
      </c>
      <c r="C412" s="7" t="s">
        <v>569</v>
      </c>
      <c r="D412" s="7" t="s">
        <v>634</v>
      </c>
      <c r="E412" s="7">
        <v>1013000882</v>
      </c>
      <c r="F412" s="7" t="s">
        <v>824</v>
      </c>
      <c r="G412" s="7" t="s">
        <v>1761</v>
      </c>
      <c r="H412" s="7" t="s">
        <v>226</v>
      </c>
      <c r="I412" s="7" t="s">
        <v>2251</v>
      </c>
      <c r="J412" s="7" t="s">
        <v>2252</v>
      </c>
      <c r="K412" s="7">
        <v>1211079939</v>
      </c>
      <c r="L412" s="7"/>
      <c r="M412" s="7" t="s">
        <v>85</v>
      </c>
      <c r="N412" s="18">
        <v>46259</v>
      </c>
      <c r="O412" s="7" t="s">
        <v>573</v>
      </c>
      <c r="P412" s="13">
        <v>60</v>
      </c>
      <c r="Q412" s="12">
        <v>11940.3</v>
      </c>
      <c r="R412" s="7" t="s">
        <v>1371</v>
      </c>
    </row>
    <row r="413" spans="1:18">
      <c r="A413" s="7" t="s">
        <v>608</v>
      </c>
      <c r="B413" s="7" t="s">
        <v>609</v>
      </c>
      <c r="C413" s="7" t="s">
        <v>569</v>
      </c>
      <c r="D413" s="7" t="s">
        <v>710</v>
      </c>
      <c r="E413" s="7">
        <v>1219000512</v>
      </c>
      <c r="F413" s="7" t="s">
        <v>1288</v>
      </c>
      <c r="G413" s="7" t="s">
        <v>711</v>
      </c>
      <c r="H413" s="7" t="s">
        <v>712</v>
      </c>
      <c r="I413" s="7" t="s">
        <v>2253</v>
      </c>
      <c r="J413" s="7" t="s">
        <v>2254</v>
      </c>
      <c r="K413" s="7">
        <v>1211079940</v>
      </c>
      <c r="L413" s="7"/>
      <c r="M413" s="7" t="s">
        <v>85</v>
      </c>
      <c r="N413" s="18">
        <v>46259</v>
      </c>
      <c r="O413" s="7" t="s">
        <v>573</v>
      </c>
      <c r="P413" s="13">
        <v>20</v>
      </c>
      <c r="Q413" s="12">
        <v>17982.02</v>
      </c>
      <c r="R413" s="7" t="s">
        <v>1371</v>
      </c>
    </row>
    <row r="414" spans="1:18">
      <c r="A414" s="7" t="s">
        <v>656</v>
      </c>
      <c r="B414" s="7" t="s">
        <v>657</v>
      </c>
      <c r="C414" s="7" t="s">
        <v>569</v>
      </c>
      <c r="D414" s="7" t="s">
        <v>658</v>
      </c>
      <c r="E414" s="7">
        <v>1219000799</v>
      </c>
      <c r="F414" s="7" t="s">
        <v>828</v>
      </c>
      <c r="G414" s="7" t="s">
        <v>360</v>
      </c>
      <c r="H414" s="7" t="s">
        <v>332</v>
      </c>
      <c r="I414" s="7" t="s">
        <v>2255</v>
      </c>
      <c r="J414" s="7" t="s">
        <v>2256</v>
      </c>
      <c r="K414" s="7">
        <v>1211079946</v>
      </c>
      <c r="L414" s="7"/>
      <c r="M414" s="7" t="s">
        <v>85</v>
      </c>
      <c r="N414" s="18">
        <v>46259</v>
      </c>
      <c r="O414" s="7" t="s">
        <v>573</v>
      </c>
      <c r="P414" s="13">
        <v>1500</v>
      </c>
      <c r="Q414" s="12">
        <v>74925.070000000007</v>
      </c>
      <c r="R414" s="7" t="s">
        <v>1371</v>
      </c>
    </row>
    <row r="415" spans="1:18">
      <c r="A415" s="7" t="s">
        <v>713</v>
      </c>
      <c r="B415" s="7" t="s">
        <v>714</v>
      </c>
      <c r="C415" s="7" t="s">
        <v>569</v>
      </c>
      <c r="D415" s="7" t="s">
        <v>617</v>
      </c>
      <c r="E415" s="7">
        <v>1219000660</v>
      </c>
      <c r="F415" s="7" t="s">
        <v>1288</v>
      </c>
      <c r="G415" s="7" t="s">
        <v>111</v>
      </c>
      <c r="H415" s="7" t="s">
        <v>110</v>
      </c>
      <c r="I415" s="7" t="s">
        <v>2257</v>
      </c>
      <c r="J415" s="7" t="s">
        <v>2258</v>
      </c>
      <c r="K415" s="7">
        <v>1211079947</v>
      </c>
      <c r="L415" s="7"/>
      <c r="M415" s="7" t="s">
        <v>85</v>
      </c>
      <c r="N415" s="18">
        <v>46259</v>
      </c>
      <c r="O415" s="7" t="s">
        <v>573</v>
      </c>
      <c r="P415" s="13">
        <v>100</v>
      </c>
      <c r="Q415" s="12">
        <v>12000</v>
      </c>
      <c r="R415" s="7" t="s">
        <v>1371</v>
      </c>
    </row>
    <row r="416" spans="1:18">
      <c r="A416" s="7" t="s">
        <v>1725</v>
      </c>
      <c r="B416" s="7" t="s">
        <v>628</v>
      </c>
      <c r="C416" s="7" t="s">
        <v>569</v>
      </c>
      <c r="D416" s="7" t="s">
        <v>622</v>
      </c>
      <c r="E416" s="7">
        <v>1219000544</v>
      </c>
      <c r="F416" s="7" t="s">
        <v>828</v>
      </c>
      <c r="G416" s="7" t="s">
        <v>333</v>
      </c>
      <c r="H416" s="7" t="s">
        <v>424</v>
      </c>
      <c r="I416" s="7" t="s">
        <v>2259</v>
      </c>
      <c r="J416" s="7" t="s">
        <v>2260</v>
      </c>
      <c r="K416" s="7">
        <v>1211079948</v>
      </c>
      <c r="L416" s="7"/>
      <c r="M416" s="7" t="s">
        <v>85</v>
      </c>
      <c r="N416" s="18">
        <v>46259</v>
      </c>
      <c r="O416" s="7" t="s">
        <v>573</v>
      </c>
      <c r="P416" s="13">
        <v>60</v>
      </c>
      <c r="Q416" s="12">
        <v>304779.96999999997</v>
      </c>
      <c r="R416" s="7" t="s">
        <v>1371</v>
      </c>
    </row>
    <row r="417" spans="1:18">
      <c r="A417" s="7" t="s">
        <v>1725</v>
      </c>
      <c r="B417" s="7" t="s">
        <v>628</v>
      </c>
      <c r="C417" s="7" t="s">
        <v>569</v>
      </c>
      <c r="D417" s="7" t="s">
        <v>622</v>
      </c>
      <c r="E417" s="7">
        <v>1219000544</v>
      </c>
      <c r="F417" s="7" t="s">
        <v>828</v>
      </c>
      <c r="G417" s="7" t="s">
        <v>121</v>
      </c>
      <c r="H417" s="7" t="s">
        <v>424</v>
      </c>
      <c r="I417" s="7" t="s">
        <v>2259</v>
      </c>
      <c r="J417" s="7" t="s">
        <v>2260</v>
      </c>
      <c r="K417" s="7">
        <v>1211079948</v>
      </c>
      <c r="L417" s="7"/>
      <c r="M417" s="7" t="s">
        <v>85</v>
      </c>
      <c r="N417" s="18">
        <v>46259</v>
      </c>
      <c r="O417" s="7" t="s">
        <v>573</v>
      </c>
      <c r="P417" s="13">
        <v>40</v>
      </c>
      <c r="Q417" s="12">
        <v>203186.64</v>
      </c>
      <c r="R417" s="7" t="s">
        <v>1371</v>
      </c>
    </row>
    <row r="418" spans="1:18">
      <c r="A418" s="7" t="s">
        <v>1725</v>
      </c>
      <c r="B418" s="7" t="s">
        <v>628</v>
      </c>
      <c r="C418" s="7" t="s">
        <v>569</v>
      </c>
      <c r="D418" s="7" t="s">
        <v>599</v>
      </c>
      <c r="E418" s="7">
        <v>1219000546</v>
      </c>
      <c r="F418" s="7" t="s">
        <v>828</v>
      </c>
      <c r="G418" s="7" t="s">
        <v>121</v>
      </c>
      <c r="H418" s="7" t="s">
        <v>357</v>
      </c>
      <c r="I418" s="7" t="s">
        <v>2259</v>
      </c>
      <c r="J418" s="7" t="s">
        <v>2260</v>
      </c>
      <c r="K418" s="7">
        <v>1211079948</v>
      </c>
      <c r="L418" s="7"/>
      <c r="M418" s="7" t="s">
        <v>85</v>
      </c>
      <c r="N418" s="18">
        <v>46259</v>
      </c>
      <c r="O418" s="7" t="s">
        <v>573</v>
      </c>
      <c r="P418" s="13">
        <v>400</v>
      </c>
      <c r="Q418" s="12">
        <v>2031866.44</v>
      </c>
      <c r="R418" s="7" t="s">
        <v>1371</v>
      </c>
    </row>
    <row r="419" spans="1:18">
      <c r="A419" s="7" t="s">
        <v>1725</v>
      </c>
      <c r="B419" s="7" t="s">
        <v>628</v>
      </c>
      <c r="C419" s="7" t="s">
        <v>569</v>
      </c>
      <c r="D419" s="7" t="s">
        <v>623</v>
      </c>
      <c r="E419" s="7">
        <v>1219000547</v>
      </c>
      <c r="F419" s="7" t="s">
        <v>828</v>
      </c>
      <c r="G419" s="7" t="s">
        <v>624</v>
      </c>
      <c r="H419" s="7" t="s">
        <v>431</v>
      </c>
      <c r="I419" s="7" t="s">
        <v>2259</v>
      </c>
      <c r="J419" s="7" t="s">
        <v>2260</v>
      </c>
      <c r="K419" s="7">
        <v>1211079948</v>
      </c>
      <c r="L419" s="7"/>
      <c r="M419" s="7" t="s">
        <v>85</v>
      </c>
      <c r="N419" s="18">
        <v>46259</v>
      </c>
      <c r="O419" s="7" t="s">
        <v>573</v>
      </c>
      <c r="P419" s="13">
        <v>183</v>
      </c>
      <c r="Q419" s="12">
        <v>929578.9</v>
      </c>
      <c r="R419" s="7" t="s">
        <v>1371</v>
      </c>
    </row>
    <row r="420" spans="1:18">
      <c r="A420" s="7" t="s">
        <v>1725</v>
      </c>
      <c r="B420" s="7" t="s">
        <v>628</v>
      </c>
      <c r="C420" s="7" t="s">
        <v>569</v>
      </c>
      <c r="D420" s="7" t="s">
        <v>623</v>
      </c>
      <c r="E420" s="7">
        <v>1219000547</v>
      </c>
      <c r="F420" s="7" t="s">
        <v>828</v>
      </c>
      <c r="G420" s="7" t="s">
        <v>1728</v>
      </c>
      <c r="H420" s="7" t="s">
        <v>431</v>
      </c>
      <c r="I420" s="7" t="s">
        <v>2259</v>
      </c>
      <c r="J420" s="7" t="s">
        <v>2260</v>
      </c>
      <c r="K420" s="7">
        <v>1211079948</v>
      </c>
      <c r="L420" s="7"/>
      <c r="M420" s="7" t="s">
        <v>85</v>
      </c>
      <c r="N420" s="18">
        <v>46259</v>
      </c>
      <c r="O420" s="7" t="s">
        <v>573</v>
      </c>
      <c r="P420" s="13">
        <v>17</v>
      </c>
      <c r="Q420" s="12">
        <v>86354.32</v>
      </c>
      <c r="R420" s="7" t="s">
        <v>1371</v>
      </c>
    </row>
    <row r="421" spans="1:18">
      <c r="A421" s="7" t="s">
        <v>1725</v>
      </c>
      <c r="B421" s="7" t="s">
        <v>628</v>
      </c>
      <c r="C421" s="7" t="s">
        <v>569</v>
      </c>
      <c r="D421" s="7" t="s">
        <v>665</v>
      </c>
      <c r="E421" s="7">
        <v>1219000551</v>
      </c>
      <c r="F421" s="7" t="s">
        <v>828</v>
      </c>
      <c r="G421" s="7" t="s">
        <v>359</v>
      </c>
      <c r="H421" s="7" t="s">
        <v>120</v>
      </c>
      <c r="I421" s="7" t="s">
        <v>2259</v>
      </c>
      <c r="J421" s="7" t="s">
        <v>2260</v>
      </c>
      <c r="K421" s="7">
        <v>1211079948</v>
      </c>
      <c r="L421" s="7"/>
      <c r="M421" s="7" t="s">
        <v>85</v>
      </c>
      <c r="N421" s="18">
        <v>46259</v>
      </c>
      <c r="O421" s="7" t="s">
        <v>573</v>
      </c>
      <c r="P421" s="13">
        <v>300</v>
      </c>
      <c r="Q421" s="12">
        <v>1523899.83</v>
      </c>
      <c r="R421" s="7" t="s">
        <v>1371</v>
      </c>
    </row>
    <row r="422" spans="1:18">
      <c r="A422" s="7" t="s">
        <v>1725</v>
      </c>
      <c r="B422" s="7" t="s">
        <v>628</v>
      </c>
      <c r="C422" s="7" t="s">
        <v>569</v>
      </c>
      <c r="D422" s="7" t="s">
        <v>622</v>
      </c>
      <c r="E422" s="7">
        <v>1219000544</v>
      </c>
      <c r="F422" s="7" t="s">
        <v>828</v>
      </c>
      <c r="G422" s="7" t="s">
        <v>333</v>
      </c>
      <c r="H422" s="7" t="s">
        <v>424</v>
      </c>
      <c r="I422" s="7" t="s">
        <v>2261</v>
      </c>
      <c r="J422" s="7" t="s">
        <v>2262</v>
      </c>
      <c r="K422" s="7">
        <v>1211079949</v>
      </c>
      <c r="L422" s="7"/>
      <c r="M422" s="7" t="s">
        <v>85</v>
      </c>
      <c r="N422" s="18">
        <v>46259</v>
      </c>
      <c r="O422" s="7" t="s">
        <v>573</v>
      </c>
      <c r="P422" s="13">
        <v>236</v>
      </c>
      <c r="Q422" s="12">
        <v>1198801.2</v>
      </c>
      <c r="R422" s="7" t="s">
        <v>1371</v>
      </c>
    </row>
    <row r="423" spans="1:18">
      <c r="A423" s="7" t="s">
        <v>1725</v>
      </c>
      <c r="B423" s="7" t="s">
        <v>628</v>
      </c>
      <c r="C423" s="7" t="s">
        <v>569</v>
      </c>
      <c r="D423" s="7" t="s">
        <v>599</v>
      </c>
      <c r="E423" s="7">
        <v>1219000546</v>
      </c>
      <c r="F423" s="7" t="s">
        <v>828</v>
      </c>
      <c r="G423" s="7" t="s">
        <v>121</v>
      </c>
      <c r="H423" s="7" t="s">
        <v>357</v>
      </c>
      <c r="I423" s="7" t="s">
        <v>2261</v>
      </c>
      <c r="J423" s="7" t="s">
        <v>2262</v>
      </c>
      <c r="K423" s="7">
        <v>1211079949</v>
      </c>
      <c r="L423" s="7"/>
      <c r="M423" s="7" t="s">
        <v>85</v>
      </c>
      <c r="N423" s="18">
        <v>46259</v>
      </c>
      <c r="O423" s="7" t="s">
        <v>573</v>
      </c>
      <c r="P423" s="13">
        <v>390</v>
      </c>
      <c r="Q423" s="12">
        <v>1981069.78</v>
      </c>
      <c r="R423" s="7" t="s">
        <v>1371</v>
      </c>
    </row>
    <row r="424" spans="1:18">
      <c r="A424" s="7" t="s">
        <v>1725</v>
      </c>
      <c r="B424" s="7" t="s">
        <v>628</v>
      </c>
      <c r="C424" s="7" t="s">
        <v>569</v>
      </c>
      <c r="D424" s="7" t="s">
        <v>623</v>
      </c>
      <c r="E424" s="7">
        <v>1219000547</v>
      </c>
      <c r="F424" s="7" t="s">
        <v>828</v>
      </c>
      <c r="G424" s="7" t="s">
        <v>2263</v>
      </c>
      <c r="H424" s="7" t="s">
        <v>431</v>
      </c>
      <c r="I424" s="7" t="s">
        <v>2261</v>
      </c>
      <c r="J424" s="7" t="s">
        <v>2262</v>
      </c>
      <c r="K424" s="7">
        <v>1211079949</v>
      </c>
      <c r="L424" s="7"/>
      <c r="M424" s="7" t="s">
        <v>85</v>
      </c>
      <c r="N424" s="18">
        <v>46259</v>
      </c>
      <c r="O424" s="7" t="s">
        <v>573</v>
      </c>
      <c r="P424" s="13">
        <v>240</v>
      </c>
      <c r="Q424" s="12">
        <v>1219119.8600000001</v>
      </c>
      <c r="R424" s="7" t="s">
        <v>1371</v>
      </c>
    </row>
    <row r="425" spans="1:18">
      <c r="A425" s="7" t="s">
        <v>1725</v>
      </c>
      <c r="B425" s="7" t="s">
        <v>628</v>
      </c>
      <c r="C425" s="7" t="s">
        <v>569</v>
      </c>
      <c r="D425" s="7" t="s">
        <v>623</v>
      </c>
      <c r="E425" s="7">
        <v>1219000547</v>
      </c>
      <c r="F425" s="7" t="s">
        <v>828</v>
      </c>
      <c r="G425" s="7" t="s">
        <v>1728</v>
      </c>
      <c r="H425" s="7" t="s">
        <v>431</v>
      </c>
      <c r="I425" s="7" t="s">
        <v>2261</v>
      </c>
      <c r="J425" s="7" t="s">
        <v>2262</v>
      </c>
      <c r="K425" s="7">
        <v>1211079949</v>
      </c>
      <c r="L425" s="7"/>
      <c r="M425" s="7" t="s">
        <v>85</v>
      </c>
      <c r="N425" s="18">
        <v>46259</v>
      </c>
      <c r="O425" s="7" t="s">
        <v>573</v>
      </c>
      <c r="P425" s="13">
        <v>126</v>
      </c>
      <c r="Q425" s="12">
        <v>640037.93000000005</v>
      </c>
      <c r="R425" s="7" t="s">
        <v>1371</v>
      </c>
    </row>
    <row r="426" spans="1:18">
      <c r="A426" s="7" t="s">
        <v>2264</v>
      </c>
      <c r="B426" s="7" t="s">
        <v>775</v>
      </c>
      <c r="C426" s="7" t="s">
        <v>569</v>
      </c>
      <c r="D426" s="7" t="s">
        <v>582</v>
      </c>
      <c r="E426" s="7">
        <v>1219000780</v>
      </c>
      <c r="F426" s="7" t="s">
        <v>1288</v>
      </c>
      <c r="G426" s="7" t="s">
        <v>269</v>
      </c>
      <c r="H426" s="7" t="s">
        <v>115</v>
      </c>
      <c r="I426" s="7" t="s">
        <v>2265</v>
      </c>
      <c r="J426" s="7" t="s">
        <v>2266</v>
      </c>
      <c r="K426" s="7">
        <v>1211079954</v>
      </c>
      <c r="L426" s="7"/>
      <c r="M426" s="7" t="s">
        <v>85</v>
      </c>
      <c r="N426" s="18">
        <v>46259</v>
      </c>
      <c r="O426" s="7" t="s">
        <v>573</v>
      </c>
      <c r="P426" s="13">
        <v>500</v>
      </c>
      <c r="Q426" s="12">
        <v>351500</v>
      </c>
      <c r="R426" s="7" t="s">
        <v>1371</v>
      </c>
    </row>
    <row r="427" spans="1:18">
      <c r="A427" s="7" t="s">
        <v>2264</v>
      </c>
      <c r="B427" s="7" t="s">
        <v>775</v>
      </c>
      <c r="C427" s="7" t="s">
        <v>569</v>
      </c>
      <c r="D427" s="7" t="s">
        <v>582</v>
      </c>
      <c r="E427" s="7">
        <v>1219000780</v>
      </c>
      <c r="F427" s="7" t="s">
        <v>1288</v>
      </c>
      <c r="G427" s="7" t="s">
        <v>269</v>
      </c>
      <c r="H427" s="7" t="s">
        <v>115</v>
      </c>
      <c r="I427" s="7" t="s">
        <v>2267</v>
      </c>
      <c r="J427" s="7" t="s">
        <v>2268</v>
      </c>
      <c r="K427" s="7">
        <v>1211079955</v>
      </c>
      <c r="L427" s="7"/>
      <c r="M427" s="7" t="s">
        <v>85</v>
      </c>
      <c r="N427" s="18">
        <v>46259</v>
      </c>
      <c r="O427" s="7" t="s">
        <v>573</v>
      </c>
      <c r="P427" s="13">
        <v>500</v>
      </c>
      <c r="Q427" s="12">
        <v>351500</v>
      </c>
      <c r="R427" s="7" t="s">
        <v>1371</v>
      </c>
    </row>
    <row r="428" spans="1:18">
      <c r="A428" s="7" t="s">
        <v>2269</v>
      </c>
      <c r="B428" s="7" t="s">
        <v>682</v>
      </c>
      <c r="C428" s="7" t="s">
        <v>569</v>
      </c>
      <c r="D428" s="7" t="s">
        <v>651</v>
      </c>
      <c r="E428" s="7">
        <v>1219000555</v>
      </c>
      <c r="F428" s="7" t="s">
        <v>828</v>
      </c>
      <c r="G428" s="7" t="s">
        <v>1320</v>
      </c>
      <c r="H428" s="7" t="s">
        <v>123</v>
      </c>
      <c r="I428" s="7" t="s">
        <v>2270</v>
      </c>
      <c r="J428" s="7" t="s">
        <v>2271</v>
      </c>
      <c r="K428" s="7">
        <v>1211079967</v>
      </c>
      <c r="L428" s="7"/>
      <c r="M428" s="7" t="s">
        <v>85</v>
      </c>
      <c r="N428" s="18">
        <v>46261</v>
      </c>
      <c r="O428" s="7" t="s">
        <v>573</v>
      </c>
      <c r="P428" s="13">
        <v>100</v>
      </c>
      <c r="Q428" s="12">
        <v>104403.8</v>
      </c>
      <c r="R428" s="7" t="s">
        <v>1371</v>
      </c>
    </row>
    <row r="429" spans="1:18">
      <c r="A429" s="7" t="s">
        <v>2269</v>
      </c>
      <c r="B429" s="7" t="s">
        <v>682</v>
      </c>
      <c r="C429" s="7" t="s">
        <v>569</v>
      </c>
      <c r="D429" s="7" t="s">
        <v>2272</v>
      </c>
      <c r="E429" s="7">
        <v>1219000556</v>
      </c>
      <c r="F429" s="7" t="s">
        <v>828</v>
      </c>
      <c r="G429" s="7" t="s">
        <v>1320</v>
      </c>
      <c r="H429" s="7" t="s">
        <v>652</v>
      </c>
      <c r="I429" s="7" t="s">
        <v>2270</v>
      </c>
      <c r="J429" s="7" t="s">
        <v>2271</v>
      </c>
      <c r="K429" s="7">
        <v>1211079967</v>
      </c>
      <c r="L429" s="7"/>
      <c r="M429" s="7" t="s">
        <v>85</v>
      </c>
      <c r="N429" s="18">
        <v>46261</v>
      </c>
      <c r="O429" s="7" t="s">
        <v>573</v>
      </c>
      <c r="P429" s="13">
        <v>200</v>
      </c>
      <c r="Q429" s="12">
        <v>208807.59</v>
      </c>
      <c r="R429" s="7" t="s">
        <v>1371</v>
      </c>
    </row>
    <row r="430" spans="1:18">
      <c r="A430" s="7" t="s">
        <v>1725</v>
      </c>
      <c r="B430" s="7" t="s">
        <v>628</v>
      </c>
      <c r="C430" s="7" t="s">
        <v>569</v>
      </c>
      <c r="D430" s="7" t="s">
        <v>622</v>
      </c>
      <c r="E430" s="7">
        <v>1219000544</v>
      </c>
      <c r="F430" s="7" t="s">
        <v>828</v>
      </c>
      <c r="G430" s="7" t="s">
        <v>333</v>
      </c>
      <c r="H430" s="7" t="s">
        <v>424</v>
      </c>
      <c r="I430" s="7" t="s">
        <v>2273</v>
      </c>
      <c r="J430" s="7" t="s">
        <v>2274</v>
      </c>
      <c r="K430" s="7">
        <v>1211079970</v>
      </c>
      <c r="L430" s="7"/>
      <c r="M430" s="7" t="s">
        <v>85</v>
      </c>
      <c r="N430" s="18">
        <v>46261</v>
      </c>
      <c r="O430" s="7" t="s">
        <v>573</v>
      </c>
      <c r="P430" s="13">
        <v>164</v>
      </c>
      <c r="Q430" s="12">
        <v>833065.24</v>
      </c>
      <c r="R430" s="7" t="s">
        <v>1371</v>
      </c>
    </row>
    <row r="431" spans="1:18">
      <c r="A431" s="7" t="s">
        <v>1725</v>
      </c>
      <c r="B431" s="7" t="s">
        <v>628</v>
      </c>
      <c r="C431" s="7" t="s">
        <v>569</v>
      </c>
      <c r="D431" s="7" t="s">
        <v>599</v>
      </c>
      <c r="E431" s="7">
        <v>1219000546</v>
      </c>
      <c r="F431" s="7" t="s">
        <v>828</v>
      </c>
      <c r="G431" s="7" t="s">
        <v>121</v>
      </c>
      <c r="H431" s="7" t="s">
        <v>357</v>
      </c>
      <c r="I431" s="7" t="s">
        <v>2273</v>
      </c>
      <c r="J431" s="7" t="s">
        <v>2274</v>
      </c>
      <c r="K431" s="7">
        <v>1211079970</v>
      </c>
      <c r="L431" s="7"/>
      <c r="M431" s="7" t="s">
        <v>85</v>
      </c>
      <c r="N431" s="18">
        <v>46261</v>
      </c>
      <c r="O431" s="7" t="s">
        <v>573</v>
      </c>
      <c r="P431" s="13">
        <v>310</v>
      </c>
      <c r="Q431" s="12">
        <v>1574696.49</v>
      </c>
      <c r="R431" s="7" t="s">
        <v>1371</v>
      </c>
    </row>
    <row r="432" spans="1:18">
      <c r="A432" s="7" t="s">
        <v>1725</v>
      </c>
      <c r="B432" s="7" t="s">
        <v>628</v>
      </c>
      <c r="C432" s="7" t="s">
        <v>569</v>
      </c>
      <c r="D432" s="7" t="s">
        <v>623</v>
      </c>
      <c r="E432" s="7">
        <v>1219000547</v>
      </c>
      <c r="F432" s="7" t="s">
        <v>828</v>
      </c>
      <c r="G432" s="7" t="s">
        <v>121</v>
      </c>
      <c r="H432" s="7" t="s">
        <v>431</v>
      </c>
      <c r="I432" s="7" t="s">
        <v>2273</v>
      </c>
      <c r="J432" s="7" t="s">
        <v>2274</v>
      </c>
      <c r="K432" s="7">
        <v>1211079970</v>
      </c>
      <c r="L432" s="7"/>
      <c r="M432" s="7" t="s">
        <v>85</v>
      </c>
      <c r="N432" s="18">
        <v>46261</v>
      </c>
      <c r="O432" s="7" t="s">
        <v>573</v>
      </c>
      <c r="P432" s="13">
        <v>134</v>
      </c>
      <c r="Q432" s="12">
        <v>680675.25</v>
      </c>
      <c r="R432" s="7" t="s">
        <v>1371</v>
      </c>
    </row>
    <row r="433" spans="1:18">
      <c r="A433" s="7" t="s">
        <v>763</v>
      </c>
      <c r="B433" s="7" t="s">
        <v>764</v>
      </c>
      <c r="C433" s="7" t="s">
        <v>569</v>
      </c>
      <c r="D433" s="7" t="s">
        <v>600</v>
      </c>
      <c r="E433" s="7">
        <v>1219001017</v>
      </c>
      <c r="F433" s="7" t="s">
        <v>824</v>
      </c>
      <c r="G433" s="7" t="s">
        <v>346</v>
      </c>
      <c r="H433" s="7" t="s">
        <v>218</v>
      </c>
      <c r="I433" s="7" t="s">
        <v>2275</v>
      </c>
      <c r="J433" s="7" t="s">
        <v>2276</v>
      </c>
      <c r="K433" s="7">
        <v>1211080046</v>
      </c>
      <c r="L433" s="7"/>
      <c r="M433" s="7" t="s">
        <v>85</v>
      </c>
      <c r="N433" s="18">
        <v>46261</v>
      </c>
      <c r="O433" s="7" t="s">
        <v>573</v>
      </c>
      <c r="P433" s="13">
        <v>50</v>
      </c>
      <c r="Q433" s="12">
        <v>99900.1</v>
      </c>
      <c r="R433" s="7" t="s">
        <v>1371</v>
      </c>
    </row>
    <row r="434" spans="1:18">
      <c r="A434" s="7" t="s">
        <v>1733</v>
      </c>
      <c r="B434" s="7" t="s">
        <v>587</v>
      </c>
      <c r="C434" s="7" t="s">
        <v>569</v>
      </c>
      <c r="D434" s="7" t="s">
        <v>581</v>
      </c>
      <c r="E434" s="7">
        <v>1219000509</v>
      </c>
      <c r="F434" s="7" t="s">
        <v>1288</v>
      </c>
      <c r="G434" s="7" t="s">
        <v>1447</v>
      </c>
      <c r="H434" s="7" t="s">
        <v>171</v>
      </c>
      <c r="I434" s="7" t="s">
        <v>2277</v>
      </c>
      <c r="J434" s="7" t="s">
        <v>2278</v>
      </c>
      <c r="K434" s="7">
        <v>1211080048</v>
      </c>
      <c r="L434" s="7"/>
      <c r="M434" s="7" t="s">
        <v>85</v>
      </c>
      <c r="N434" s="18">
        <v>46262</v>
      </c>
      <c r="O434" s="7" t="s">
        <v>573</v>
      </c>
      <c r="P434" s="13">
        <v>800</v>
      </c>
      <c r="Q434" s="12">
        <v>207792.21</v>
      </c>
      <c r="R434" s="7" t="s">
        <v>1371</v>
      </c>
    </row>
    <row r="435" spans="1:18">
      <c r="A435" s="7" t="s">
        <v>612</v>
      </c>
      <c r="B435" s="7" t="s">
        <v>613</v>
      </c>
      <c r="C435" s="7" t="s">
        <v>569</v>
      </c>
      <c r="D435" s="7" t="s">
        <v>658</v>
      </c>
      <c r="E435" s="7">
        <v>1219000799</v>
      </c>
      <c r="F435" s="7" t="s">
        <v>828</v>
      </c>
      <c r="G435" s="7" t="s">
        <v>360</v>
      </c>
      <c r="H435" s="7" t="s">
        <v>332</v>
      </c>
      <c r="I435" s="7" t="s">
        <v>2279</v>
      </c>
      <c r="J435" s="7" t="s">
        <v>2280</v>
      </c>
      <c r="K435" s="7">
        <v>1211080049</v>
      </c>
      <c r="L435" s="7"/>
      <c r="M435" s="7" t="s">
        <v>85</v>
      </c>
      <c r="N435" s="18">
        <v>46262</v>
      </c>
      <c r="O435" s="7" t="s">
        <v>573</v>
      </c>
      <c r="P435" s="13">
        <v>3000</v>
      </c>
      <c r="Q435" s="12">
        <v>141000</v>
      </c>
      <c r="R435" s="7" t="s">
        <v>1371</v>
      </c>
    </row>
    <row r="436" spans="1:18">
      <c r="A436" s="7" t="s">
        <v>610</v>
      </c>
      <c r="B436" s="7" t="s">
        <v>611</v>
      </c>
      <c r="C436" s="7" t="s">
        <v>569</v>
      </c>
      <c r="D436" s="7" t="s">
        <v>617</v>
      </c>
      <c r="E436" s="7">
        <v>1219000660</v>
      </c>
      <c r="F436" s="7" t="s">
        <v>1288</v>
      </c>
      <c r="G436" s="7" t="s">
        <v>2281</v>
      </c>
      <c r="H436" s="7" t="s">
        <v>110</v>
      </c>
      <c r="I436" s="7" t="s">
        <v>2282</v>
      </c>
      <c r="J436" s="7" t="s">
        <v>2283</v>
      </c>
      <c r="K436" s="7">
        <v>1211080057</v>
      </c>
      <c r="L436" s="7"/>
      <c r="M436" s="7" t="s">
        <v>85</v>
      </c>
      <c r="N436" s="18">
        <v>46262</v>
      </c>
      <c r="O436" s="7" t="s">
        <v>573</v>
      </c>
      <c r="P436" s="13">
        <v>1000</v>
      </c>
      <c r="Q436" s="12">
        <v>118881.12</v>
      </c>
      <c r="R436" s="7" t="s">
        <v>1371</v>
      </c>
    </row>
    <row r="437" spans="1:18">
      <c r="A437" s="7" t="s">
        <v>610</v>
      </c>
      <c r="B437" s="7" t="s">
        <v>611</v>
      </c>
      <c r="C437" s="7" t="s">
        <v>569</v>
      </c>
      <c r="D437" s="7" t="s">
        <v>582</v>
      </c>
      <c r="E437" s="7">
        <v>1219000780</v>
      </c>
      <c r="F437" s="7" t="s">
        <v>1288</v>
      </c>
      <c r="G437" s="7" t="s">
        <v>269</v>
      </c>
      <c r="H437" s="7" t="s">
        <v>115</v>
      </c>
      <c r="I437" s="7" t="s">
        <v>2282</v>
      </c>
      <c r="J437" s="7" t="s">
        <v>2283</v>
      </c>
      <c r="K437" s="7">
        <v>1211080057</v>
      </c>
      <c r="L437" s="7"/>
      <c r="M437" s="7" t="s">
        <v>85</v>
      </c>
      <c r="N437" s="18">
        <v>46262</v>
      </c>
      <c r="O437" s="7" t="s">
        <v>573</v>
      </c>
      <c r="P437" s="13">
        <v>1000</v>
      </c>
      <c r="Q437" s="12">
        <v>639360.64</v>
      </c>
      <c r="R437" s="7" t="s">
        <v>1371</v>
      </c>
    </row>
    <row r="438" spans="1:18">
      <c r="A438" s="7" t="s">
        <v>787</v>
      </c>
      <c r="B438" s="7" t="s">
        <v>788</v>
      </c>
      <c r="C438" s="7" t="s">
        <v>1487</v>
      </c>
      <c r="D438" s="7" t="s">
        <v>617</v>
      </c>
      <c r="E438" s="7">
        <v>1219000660</v>
      </c>
      <c r="F438" s="7" t="s">
        <v>1288</v>
      </c>
      <c r="G438" s="7" t="s">
        <v>2281</v>
      </c>
      <c r="H438" s="7" t="s">
        <v>110</v>
      </c>
      <c r="I438" s="7" t="s">
        <v>2284</v>
      </c>
      <c r="J438" s="7" t="s">
        <v>2285</v>
      </c>
      <c r="K438" s="7">
        <v>1211080058</v>
      </c>
      <c r="L438" s="7"/>
      <c r="M438" s="7" t="s">
        <v>85</v>
      </c>
      <c r="N438" s="18">
        <v>46262</v>
      </c>
      <c r="O438" s="7" t="s">
        <v>573</v>
      </c>
      <c r="P438" s="13">
        <v>4000</v>
      </c>
      <c r="Q438" s="12">
        <v>700000</v>
      </c>
      <c r="R438" s="7" t="s">
        <v>1371</v>
      </c>
    </row>
    <row r="439" spans="1:18">
      <c r="A439" s="7" t="s">
        <v>787</v>
      </c>
      <c r="B439" s="7" t="s">
        <v>788</v>
      </c>
      <c r="C439" s="7" t="s">
        <v>1487</v>
      </c>
      <c r="D439" s="7" t="s">
        <v>617</v>
      </c>
      <c r="E439" s="7">
        <v>1219000660</v>
      </c>
      <c r="F439" s="7" t="s">
        <v>1288</v>
      </c>
      <c r="G439" s="7" t="s">
        <v>2281</v>
      </c>
      <c r="H439" s="7" t="s">
        <v>110</v>
      </c>
      <c r="I439" s="7" t="s">
        <v>2286</v>
      </c>
      <c r="J439" s="7" t="s">
        <v>2287</v>
      </c>
      <c r="K439" s="7">
        <v>1211080059</v>
      </c>
      <c r="L439" s="7"/>
      <c r="M439" s="7" t="s">
        <v>85</v>
      </c>
      <c r="N439" s="18">
        <v>46262</v>
      </c>
      <c r="O439" s="7" t="s">
        <v>573</v>
      </c>
      <c r="P439" s="13">
        <v>4000</v>
      </c>
      <c r="Q439" s="12">
        <v>700000</v>
      </c>
      <c r="R439" s="7" t="s">
        <v>1371</v>
      </c>
    </row>
    <row r="440" spans="1:18">
      <c r="A440" s="7" t="s">
        <v>787</v>
      </c>
      <c r="B440" s="7" t="s">
        <v>788</v>
      </c>
      <c r="C440" s="7" t="s">
        <v>1487</v>
      </c>
      <c r="D440" s="7" t="s">
        <v>617</v>
      </c>
      <c r="E440" s="7">
        <v>1219000660</v>
      </c>
      <c r="F440" s="7" t="s">
        <v>1288</v>
      </c>
      <c r="G440" s="7" t="s">
        <v>2281</v>
      </c>
      <c r="H440" s="7" t="s">
        <v>110</v>
      </c>
      <c r="I440" s="7" t="s">
        <v>2288</v>
      </c>
      <c r="J440" s="7" t="s">
        <v>2289</v>
      </c>
      <c r="K440" s="7">
        <v>1211080060</v>
      </c>
      <c r="L440" s="7"/>
      <c r="M440" s="7" t="s">
        <v>85</v>
      </c>
      <c r="N440" s="18">
        <v>46262</v>
      </c>
      <c r="O440" s="7" t="s">
        <v>573</v>
      </c>
      <c r="P440" s="13">
        <v>4000</v>
      </c>
      <c r="Q440" s="12">
        <v>700000</v>
      </c>
      <c r="R440" s="7" t="s">
        <v>1371</v>
      </c>
    </row>
    <row r="441" spans="1:18">
      <c r="A441" s="7" t="s">
        <v>736</v>
      </c>
      <c r="B441" s="7" t="s">
        <v>737</v>
      </c>
      <c r="C441" s="7" t="s">
        <v>569</v>
      </c>
      <c r="D441" s="7" t="s">
        <v>802</v>
      </c>
      <c r="E441" s="7">
        <v>1219000610</v>
      </c>
      <c r="F441" s="7" t="s">
        <v>824</v>
      </c>
      <c r="G441" s="7" t="s">
        <v>1654</v>
      </c>
      <c r="H441" s="7" t="s">
        <v>326</v>
      </c>
      <c r="I441" s="7" t="s">
        <v>2290</v>
      </c>
      <c r="J441" s="7" t="s">
        <v>2291</v>
      </c>
      <c r="K441" s="7">
        <v>1211080061</v>
      </c>
      <c r="L441" s="7"/>
      <c r="M441" s="7" t="s">
        <v>85</v>
      </c>
      <c r="N441" s="18">
        <v>46262</v>
      </c>
      <c r="O441" s="7" t="s">
        <v>573</v>
      </c>
      <c r="P441" s="13">
        <v>300</v>
      </c>
      <c r="Q441" s="12">
        <v>138000</v>
      </c>
      <c r="R441" s="7" t="s">
        <v>1371</v>
      </c>
    </row>
    <row r="442" spans="1:18">
      <c r="A442" s="7" t="s">
        <v>736</v>
      </c>
      <c r="B442" s="7" t="s">
        <v>737</v>
      </c>
      <c r="C442" s="7" t="s">
        <v>569</v>
      </c>
      <c r="D442" s="7" t="s">
        <v>577</v>
      </c>
      <c r="E442" s="7">
        <v>1219000754</v>
      </c>
      <c r="F442" s="7" t="s">
        <v>824</v>
      </c>
      <c r="G442" s="7" t="s">
        <v>1693</v>
      </c>
      <c r="H442" s="7" t="s">
        <v>139</v>
      </c>
      <c r="I442" s="7" t="s">
        <v>2290</v>
      </c>
      <c r="J442" s="7" t="s">
        <v>2291</v>
      </c>
      <c r="K442" s="7">
        <v>1211080061</v>
      </c>
      <c r="L442" s="7"/>
      <c r="M442" s="7" t="s">
        <v>85</v>
      </c>
      <c r="N442" s="18">
        <v>46262</v>
      </c>
      <c r="O442" s="7" t="s">
        <v>573</v>
      </c>
      <c r="P442" s="13">
        <v>300</v>
      </c>
      <c r="Q442" s="12">
        <v>366000</v>
      </c>
      <c r="R442" s="7" t="s">
        <v>1371</v>
      </c>
    </row>
    <row r="443" spans="1:18">
      <c r="A443" s="7" t="s">
        <v>736</v>
      </c>
      <c r="B443" s="7" t="s">
        <v>737</v>
      </c>
      <c r="C443" s="7" t="s">
        <v>569</v>
      </c>
      <c r="D443" s="7" t="s">
        <v>579</v>
      </c>
      <c r="E443" s="7">
        <v>1219000832</v>
      </c>
      <c r="F443" s="7" t="s">
        <v>824</v>
      </c>
      <c r="G443" s="7" t="s">
        <v>164</v>
      </c>
      <c r="H443" s="7" t="s">
        <v>163</v>
      </c>
      <c r="I443" s="7" t="s">
        <v>2290</v>
      </c>
      <c r="J443" s="7" t="s">
        <v>2291</v>
      </c>
      <c r="K443" s="7">
        <v>1211080061</v>
      </c>
      <c r="L443" s="7"/>
      <c r="M443" s="7" t="s">
        <v>85</v>
      </c>
      <c r="N443" s="18">
        <v>46262</v>
      </c>
      <c r="O443" s="7" t="s">
        <v>573</v>
      </c>
      <c r="P443" s="13">
        <v>200</v>
      </c>
      <c r="Q443" s="12">
        <v>23000</v>
      </c>
      <c r="R443" s="7" t="s">
        <v>1371</v>
      </c>
    </row>
    <row r="444" spans="1:18">
      <c r="A444" s="7" t="s">
        <v>1399</v>
      </c>
      <c r="B444" s="7" t="s">
        <v>1400</v>
      </c>
      <c r="C444" s="7" t="s">
        <v>569</v>
      </c>
      <c r="D444" s="7" t="s">
        <v>617</v>
      </c>
      <c r="E444" s="7">
        <v>1219000660</v>
      </c>
      <c r="F444" s="7" t="s">
        <v>1288</v>
      </c>
      <c r="G444" s="7" t="s">
        <v>1403</v>
      </c>
      <c r="H444" s="7" t="s">
        <v>110</v>
      </c>
      <c r="I444" s="7" t="s">
        <v>1659</v>
      </c>
      <c r="J444" s="7" t="s">
        <v>1660</v>
      </c>
      <c r="K444" s="7">
        <v>1213007771</v>
      </c>
      <c r="L444" s="7"/>
      <c r="M444" s="7" t="s">
        <v>595</v>
      </c>
      <c r="N444" s="18">
        <v>46219</v>
      </c>
      <c r="O444" s="7" t="s">
        <v>596</v>
      </c>
      <c r="P444" s="13">
        <v>-10000</v>
      </c>
      <c r="Q444" s="12">
        <v>-319680.32</v>
      </c>
      <c r="R444" s="7" t="s">
        <v>1371</v>
      </c>
    </row>
    <row r="445" spans="1:18">
      <c r="A445" s="7" t="s">
        <v>670</v>
      </c>
      <c r="B445" s="7" t="s">
        <v>671</v>
      </c>
      <c r="C445" s="7" t="s">
        <v>569</v>
      </c>
      <c r="D445" s="7" t="s">
        <v>719</v>
      </c>
      <c r="E445" s="7">
        <v>1219000574</v>
      </c>
      <c r="F445" s="7" t="s">
        <v>828</v>
      </c>
      <c r="G445" s="7" t="s">
        <v>1307</v>
      </c>
      <c r="H445" s="7" t="s">
        <v>133</v>
      </c>
      <c r="I445" s="7" t="s">
        <v>1661</v>
      </c>
      <c r="J445" s="7" t="s">
        <v>1662</v>
      </c>
      <c r="K445" s="7">
        <v>1213007776</v>
      </c>
      <c r="L445" s="7"/>
      <c r="M445" s="7" t="s">
        <v>595</v>
      </c>
      <c r="N445" s="18">
        <v>46224</v>
      </c>
      <c r="O445" s="7" t="s">
        <v>596</v>
      </c>
      <c r="P445" s="13">
        <v>-1000</v>
      </c>
      <c r="Q445" s="12">
        <v>-101694.92</v>
      </c>
      <c r="R445" s="7" t="s">
        <v>1371</v>
      </c>
    </row>
    <row r="446" spans="1:18">
      <c r="A446" s="7" t="s">
        <v>670</v>
      </c>
      <c r="B446" s="7" t="s">
        <v>671</v>
      </c>
      <c r="C446" s="7" t="s">
        <v>569</v>
      </c>
      <c r="D446" s="7" t="s">
        <v>719</v>
      </c>
      <c r="E446" s="7">
        <v>1219000574</v>
      </c>
      <c r="F446" s="7" t="s">
        <v>828</v>
      </c>
      <c r="G446" s="7" t="s">
        <v>1307</v>
      </c>
      <c r="H446" s="7" t="s">
        <v>133</v>
      </c>
      <c r="I446" s="7" t="s">
        <v>1663</v>
      </c>
      <c r="J446" s="7" t="s">
        <v>1664</v>
      </c>
      <c r="K446" s="7">
        <v>1213007777</v>
      </c>
      <c r="L446" s="7"/>
      <c r="M446" s="7" t="s">
        <v>595</v>
      </c>
      <c r="N446" s="18">
        <v>46224</v>
      </c>
      <c r="O446" s="7" t="s">
        <v>596</v>
      </c>
      <c r="P446" s="13">
        <v>-1000</v>
      </c>
      <c r="Q446" s="12">
        <v>-101694.92</v>
      </c>
      <c r="R446" s="7" t="s">
        <v>1371</v>
      </c>
    </row>
    <row r="447" spans="1:18">
      <c r="A447" s="7" t="s">
        <v>670</v>
      </c>
      <c r="B447" s="7" t="s">
        <v>671</v>
      </c>
      <c r="C447" s="7" t="s">
        <v>569</v>
      </c>
      <c r="D447" s="7" t="s">
        <v>719</v>
      </c>
      <c r="E447" s="7">
        <v>1219000574</v>
      </c>
      <c r="F447" s="7" t="s">
        <v>828</v>
      </c>
      <c r="G447" s="7" t="s">
        <v>1307</v>
      </c>
      <c r="H447" s="7" t="s">
        <v>133</v>
      </c>
      <c r="I447" s="7" t="s">
        <v>1665</v>
      </c>
      <c r="J447" s="7" t="s">
        <v>1666</v>
      </c>
      <c r="K447" s="7">
        <v>1213007778</v>
      </c>
      <c r="L447" s="7"/>
      <c r="M447" s="7" t="s">
        <v>595</v>
      </c>
      <c r="N447" s="18">
        <v>46224</v>
      </c>
      <c r="O447" s="7" t="s">
        <v>596</v>
      </c>
      <c r="P447" s="13">
        <v>-770</v>
      </c>
      <c r="Q447" s="12">
        <v>-78305.09</v>
      </c>
      <c r="R447" s="7" t="s">
        <v>1371</v>
      </c>
    </row>
    <row r="448" spans="1:18">
      <c r="A448" s="7" t="s">
        <v>745</v>
      </c>
      <c r="B448" s="7" t="s">
        <v>746</v>
      </c>
      <c r="C448" s="7" t="s">
        <v>569</v>
      </c>
      <c r="D448" s="7" t="s">
        <v>600</v>
      </c>
      <c r="E448" s="7">
        <v>1219001017</v>
      </c>
      <c r="F448" s="7" t="s">
        <v>824</v>
      </c>
      <c r="G448" s="7" t="s">
        <v>1697</v>
      </c>
      <c r="H448" s="7" t="s">
        <v>218</v>
      </c>
      <c r="I448" s="7" t="s">
        <v>2292</v>
      </c>
      <c r="J448" s="7" t="s">
        <v>2293</v>
      </c>
      <c r="K448" s="7">
        <v>1211080263</v>
      </c>
      <c r="L448" s="7" t="s">
        <v>85</v>
      </c>
      <c r="M448" s="7" t="s">
        <v>85</v>
      </c>
      <c r="N448" s="18">
        <v>46268</v>
      </c>
      <c r="O448" s="7" t="s">
        <v>573</v>
      </c>
      <c r="P448" s="13">
        <v>117</v>
      </c>
      <c r="Q448" s="12">
        <v>239610.39</v>
      </c>
      <c r="R448" s="7" t="s">
        <v>1371</v>
      </c>
    </row>
    <row r="449" spans="1:18">
      <c r="A449" s="7" t="s">
        <v>2294</v>
      </c>
      <c r="B449" s="7" t="s">
        <v>786</v>
      </c>
      <c r="C449" s="7" t="s">
        <v>569</v>
      </c>
      <c r="D449" s="7" t="s">
        <v>622</v>
      </c>
      <c r="E449" s="7">
        <v>1219000544</v>
      </c>
      <c r="F449" s="7" t="s">
        <v>828</v>
      </c>
      <c r="G449" s="7" t="s">
        <v>333</v>
      </c>
      <c r="H449" s="7" t="s">
        <v>424</v>
      </c>
      <c r="I449" s="7" t="s">
        <v>2295</v>
      </c>
      <c r="J449" s="7" t="s">
        <v>2296</v>
      </c>
      <c r="K449" s="7">
        <v>1211080269</v>
      </c>
      <c r="L449" s="7" t="s">
        <v>85</v>
      </c>
      <c r="M449" s="7" t="s">
        <v>85</v>
      </c>
      <c r="N449" s="18">
        <v>46268</v>
      </c>
      <c r="O449" s="7" t="s">
        <v>573</v>
      </c>
      <c r="P449" s="13">
        <v>8</v>
      </c>
      <c r="Q449" s="12">
        <v>48000</v>
      </c>
      <c r="R449" s="7" t="s">
        <v>1371</v>
      </c>
    </row>
    <row r="450" spans="1:18">
      <c r="A450" s="7" t="s">
        <v>2294</v>
      </c>
      <c r="B450" s="7" t="s">
        <v>786</v>
      </c>
      <c r="C450" s="7" t="s">
        <v>569</v>
      </c>
      <c r="D450" s="7" t="s">
        <v>599</v>
      </c>
      <c r="E450" s="7">
        <v>1219000546</v>
      </c>
      <c r="F450" s="7" t="s">
        <v>828</v>
      </c>
      <c r="G450" s="7" t="s">
        <v>333</v>
      </c>
      <c r="H450" s="7" t="s">
        <v>357</v>
      </c>
      <c r="I450" s="7" t="s">
        <v>2295</v>
      </c>
      <c r="J450" s="7" t="s">
        <v>2296</v>
      </c>
      <c r="K450" s="7">
        <v>1211080269</v>
      </c>
      <c r="L450" s="7" t="s">
        <v>85</v>
      </c>
      <c r="M450" s="7" t="s">
        <v>85</v>
      </c>
      <c r="N450" s="18">
        <v>46268</v>
      </c>
      <c r="O450" s="7" t="s">
        <v>573</v>
      </c>
      <c r="P450" s="13">
        <v>16</v>
      </c>
      <c r="Q450" s="12">
        <v>96000</v>
      </c>
      <c r="R450" s="7" t="s">
        <v>1371</v>
      </c>
    </row>
    <row r="451" spans="1:18">
      <c r="A451" s="7" t="s">
        <v>2294</v>
      </c>
      <c r="B451" s="7" t="s">
        <v>786</v>
      </c>
      <c r="C451" s="7" t="s">
        <v>569</v>
      </c>
      <c r="D451" s="7" t="s">
        <v>651</v>
      </c>
      <c r="E451" s="7">
        <v>1219000555</v>
      </c>
      <c r="F451" s="7" t="s">
        <v>828</v>
      </c>
      <c r="G451" s="7" t="s">
        <v>1320</v>
      </c>
      <c r="H451" s="7" t="s">
        <v>123</v>
      </c>
      <c r="I451" s="7" t="s">
        <v>2295</v>
      </c>
      <c r="J451" s="7" t="s">
        <v>2296</v>
      </c>
      <c r="K451" s="7">
        <v>1211080269</v>
      </c>
      <c r="L451" s="7" t="s">
        <v>85</v>
      </c>
      <c r="M451" s="7" t="s">
        <v>85</v>
      </c>
      <c r="N451" s="18">
        <v>46268</v>
      </c>
      <c r="O451" s="7" t="s">
        <v>573</v>
      </c>
      <c r="P451" s="13">
        <v>100</v>
      </c>
      <c r="Q451" s="12">
        <v>99000</v>
      </c>
      <c r="R451" s="7" t="s">
        <v>1371</v>
      </c>
    </row>
    <row r="452" spans="1:18">
      <c r="A452" s="7" t="s">
        <v>2294</v>
      </c>
      <c r="B452" s="7" t="s">
        <v>786</v>
      </c>
      <c r="C452" s="7" t="s">
        <v>569</v>
      </c>
      <c r="D452" s="7" t="s">
        <v>669</v>
      </c>
      <c r="E452" s="7">
        <v>1219000558</v>
      </c>
      <c r="F452" s="7" t="s">
        <v>828</v>
      </c>
      <c r="G452" s="7" t="s">
        <v>1320</v>
      </c>
      <c r="H452" s="7" t="s">
        <v>124</v>
      </c>
      <c r="I452" s="7" t="s">
        <v>2295</v>
      </c>
      <c r="J452" s="7" t="s">
        <v>2296</v>
      </c>
      <c r="K452" s="7">
        <v>1211080269</v>
      </c>
      <c r="L452" s="7" t="s">
        <v>85</v>
      </c>
      <c r="M452" s="7" t="s">
        <v>85</v>
      </c>
      <c r="N452" s="18">
        <v>46268</v>
      </c>
      <c r="O452" s="7" t="s">
        <v>573</v>
      </c>
      <c r="P452" s="13">
        <v>100</v>
      </c>
      <c r="Q452" s="12">
        <v>99000</v>
      </c>
      <c r="R452" s="7" t="s">
        <v>1371</v>
      </c>
    </row>
    <row r="453" spans="1:18">
      <c r="A453" s="7" t="s">
        <v>2294</v>
      </c>
      <c r="B453" s="7" t="s">
        <v>786</v>
      </c>
      <c r="C453" s="7" t="s">
        <v>569</v>
      </c>
      <c r="D453" s="7" t="s">
        <v>1640</v>
      </c>
      <c r="E453" s="7">
        <v>1219000584</v>
      </c>
      <c r="F453" s="7" t="s">
        <v>828</v>
      </c>
      <c r="G453" s="7" t="s">
        <v>1641</v>
      </c>
      <c r="H453" s="7" t="s">
        <v>1642</v>
      </c>
      <c r="I453" s="7" t="s">
        <v>2295</v>
      </c>
      <c r="J453" s="7" t="s">
        <v>2296</v>
      </c>
      <c r="K453" s="7">
        <v>1211080269</v>
      </c>
      <c r="L453" s="7" t="s">
        <v>85</v>
      </c>
      <c r="M453" s="7" t="s">
        <v>85</v>
      </c>
      <c r="N453" s="18">
        <v>46268</v>
      </c>
      <c r="O453" s="7" t="s">
        <v>573</v>
      </c>
      <c r="P453" s="13">
        <v>7000</v>
      </c>
      <c r="Q453" s="12">
        <v>336000</v>
      </c>
      <c r="R453" s="7" t="s">
        <v>1371</v>
      </c>
    </row>
    <row r="454" spans="1:18">
      <c r="A454" s="7" t="s">
        <v>649</v>
      </c>
      <c r="B454" s="7" t="s">
        <v>650</v>
      </c>
      <c r="C454" s="7" t="s">
        <v>569</v>
      </c>
      <c r="D454" s="7" t="s">
        <v>590</v>
      </c>
      <c r="E454" s="7">
        <v>1219000741</v>
      </c>
      <c r="F454" s="7" t="s">
        <v>1288</v>
      </c>
      <c r="G454" s="7" t="s">
        <v>591</v>
      </c>
      <c r="H454" s="7" t="s">
        <v>592</v>
      </c>
      <c r="I454" s="7" t="s">
        <v>2297</v>
      </c>
      <c r="J454" s="7" t="s">
        <v>2298</v>
      </c>
      <c r="K454" s="7">
        <v>1211080283</v>
      </c>
      <c r="L454" s="7" t="s">
        <v>85</v>
      </c>
      <c r="M454" s="7" t="s">
        <v>85</v>
      </c>
      <c r="N454" s="18">
        <v>46269</v>
      </c>
      <c r="O454" s="7" t="s">
        <v>573</v>
      </c>
      <c r="P454" s="13">
        <v>25000</v>
      </c>
      <c r="Q454" s="12">
        <v>500000</v>
      </c>
      <c r="R454" s="7" t="s">
        <v>1371</v>
      </c>
    </row>
    <row r="455" spans="1:18">
      <c r="A455" s="7" t="s">
        <v>753</v>
      </c>
      <c r="B455" s="7" t="s">
        <v>754</v>
      </c>
      <c r="C455" s="7" t="s">
        <v>569</v>
      </c>
      <c r="D455" s="7" t="s">
        <v>658</v>
      </c>
      <c r="E455" s="7">
        <v>1219000799</v>
      </c>
      <c r="F455" s="7" t="s">
        <v>828</v>
      </c>
      <c r="G455" s="7" t="s">
        <v>360</v>
      </c>
      <c r="H455" s="7" t="s">
        <v>332</v>
      </c>
      <c r="I455" s="7" t="s">
        <v>2299</v>
      </c>
      <c r="J455" s="7" t="s">
        <v>2300</v>
      </c>
      <c r="K455" s="7">
        <v>1211080557</v>
      </c>
      <c r="L455" s="7" t="s">
        <v>85</v>
      </c>
      <c r="M455" s="7" t="s">
        <v>85</v>
      </c>
      <c r="N455" s="18">
        <v>46275</v>
      </c>
      <c r="O455" s="7" t="s">
        <v>573</v>
      </c>
      <c r="P455" s="13">
        <v>1000</v>
      </c>
      <c r="Q455" s="12">
        <v>47952.05</v>
      </c>
      <c r="R455" s="7" t="s">
        <v>1371</v>
      </c>
    </row>
    <row r="456" spans="1:18">
      <c r="A456" s="7" t="s">
        <v>2301</v>
      </c>
      <c r="B456" s="7" t="s">
        <v>2302</v>
      </c>
      <c r="C456" s="7" t="s">
        <v>569</v>
      </c>
      <c r="D456" s="7" t="s">
        <v>774</v>
      </c>
      <c r="E456" s="7">
        <v>1219001022</v>
      </c>
      <c r="F456" s="7" t="s">
        <v>1288</v>
      </c>
      <c r="G456" s="7" t="s">
        <v>1458</v>
      </c>
      <c r="H456" s="7" t="s">
        <v>238</v>
      </c>
      <c r="I456" s="7" t="s">
        <v>2303</v>
      </c>
      <c r="J456" s="7" t="s">
        <v>2304</v>
      </c>
      <c r="K456" s="7">
        <v>1211080560</v>
      </c>
      <c r="L456" s="7" t="s">
        <v>85</v>
      </c>
      <c r="M456" s="7" t="s">
        <v>85</v>
      </c>
      <c r="N456" s="18">
        <v>46275</v>
      </c>
      <c r="O456" s="7" t="s">
        <v>573</v>
      </c>
      <c r="P456" s="13">
        <v>400</v>
      </c>
      <c r="Q456" s="12">
        <v>24000</v>
      </c>
      <c r="R456" s="7" t="s">
        <v>1371</v>
      </c>
    </row>
    <row r="457" spans="1:18">
      <c r="A457" s="7" t="s">
        <v>807</v>
      </c>
      <c r="B457" s="7" t="s">
        <v>808</v>
      </c>
      <c r="C457" s="7" t="s">
        <v>569</v>
      </c>
      <c r="D457" s="7" t="s">
        <v>658</v>
      </c>
      <c r="E457" s="7">
        <v>1219000799</v>
      </c>
      <c r="F457" s="7" t="s">
        <v>828</v>
      </c>
      <c r="G457" s="7" t="s">
        <v>360</v>
      </c>
      <c r="H457" s="7" t="s">
        <v>332</v>
      </c>
      <c r="I457" s="7" t="s">
        <v>2305</v>
      </c>
      <c r="J457" s="7" t="s">
        <v>2306</v>
      </c>
      <c r="K457" s="7">
        <v>1211080683</v>
      </c>
      <c r="L457" s="7" t="s">
        <v>85</v>
      </c>
      <c r="M457" s="7" t="s">
        <v>85</v>
      </c>
      <c r="N457" s="18">
        <v>46279</v>
      </c>
      <c r="O457" s="7" t="s">
        <v>573</v>
      </c>
      <c r="P457" s="13">
        <v>30000</v>
      </c>
      <c r="Q457" s="12">
        <v>1462500</v>
      </c>
      <c r="R457" s="7" t="s">
        <v>1371</v>
      </c>
    </row>
    <row r="458" spans="1:18">
      <c r="A458" s="7" t="s">
        <v>612</v>
      </c>
      <c r="B458" s="7" t="s">
        <v>613</v>
      </c>
      <c r="C458" s="7" t="s">
        <v>569</v>
      </c>
      <c r="D458" s="7" t="s">
        <v>658</v>
      </c>
      <c r="E458" s="7">
        <v>1219000799</v>
      </c>
      <c r="F458" s="7" t="s">
        <v>828</v>
      </c>
      <c r="G458" s="7" t="s">
        <v>360</v>
      </c>
      <c r="H458" s="7" t="s">
        <v>332</v>
      </c>
      <c r="I458" s="7" t="s">
        <v>2307</v>
      </c>
      <c r="J458" s="7" t="s">
        <v>2308</v>
      </c>
      <c r="K458" s="7">
        <v>1211080685</v>
      </c>
      <c r="L458" s="7" t="s">
        <v>85</v>
      </c>
      <c r="M458" s="7" t="s">
        <v>85</v>
      </c>
      <c r="N458" s="18">
        <v>46279</v>
      </c>
      <c r="O458" s="7" t="s">
        <v>573</v>
      </c>
      <c r="P458" s="13">
        <v>3000</v>
      </c>
      <c r="Q458" s="12">
        <v>141000</v>
      </c>
      <c r="R458" s="7" t="s">
        <v>1371</v>
      </c>
    </row>
    <row r="459" spans="1:18">
      <c r="A459" s="7" t="s">
        <v>2269</v>
      </c>
      <c r="B459" s="7" t="s">
        <v>682</v>
      </c>
      <c r="C459" s="7" t="s">
        <v>569</v>
      </c>
      <c r="D459" s="7" t="s">
        <v>651</v>
      </c>
      <c r="E459" s="7">
        <v>1219000555</v>
      </c>
      <c r="F459" s="7" t="s">
        <v>828</v>
      </c>
      <c r="G459" s="7" t="s">
        <v>1320</v>
      </c>
      <c r="H459" s="7" t="s">
        <v>123</v>
      </c>
      <c r="I459" s="7" t="s">
        <v>2309</v>
      </c>
      <c r="J459" s="7" t="s">
        <v>2310</v>
      </c>
      <c r="K459" s="7">
        <v>1211080688</v>
      </c>
      <c r="L459" s="7" t="s">
        <v>85</v>
      </c>
      <c r="M459" s="7" t="s">
        <v>85</v>
      </c>
      <c r="N459" s="18">
        <v>46279</v>
      </c>
      <c r="O459" s="7" t="s">
        <v>573</v>
      </c>
      <c r="P459" s="13">
        <v>100</v>
      </c>
      <c r="Q459" s="12">
        <v>108050.85</v>
      </c>
      <c r="R459" s="7" t="s">
        <v>1371</v>
      </c>
    </row>
    <row r="460" spans="1:18">
      <c r="A460" s="7" t="s">
        <v>2269</v>
      </c>
      <c r="B460" s="7" t="s">
        <v>682</v>
      </c>
      <c r="C460" s="7" t="s">
        <v>569</v>
      </c>
      <c r="D460" s="7" t="s">
        <v>2272</v>
      </c>
      <c r="E460" s="7">
        <v>1219000556</v>
      </c>
      <c r="F460" s="7" t="s">
        <v>828</v>
      </c>
      <c r="G460" s="7" t="s">
        <v>1320</v>
      </c>
      <c r="H460" s="7" t="s">
        <v>652</v>
      </c>
      <c r="I460" s="7" t="s">
        <v>2309</v>
      </c>
      <c r="J460" s="7" t="s">
        <v>2310</v>
      </c>
      <c r="K460" s="7">
        <v>1211080688</v>
      </c>
      <c r="L460" s="7" t="s">
        <v>85</v>
      </c>
      <c r="M460" s="7" t="s">
        <v>85</v>
      </c>
      <c r="N460" s="18">
        <v>46279</v>
      </c>
      <c r="O460" s="7" t="s">
        <v>573</v>
      </c>
      <c r="P460" s="13">
        <v>200</v>
      </c>
      <c r="Q460" s="12">
        <v>216101.7</v>
      </c>
      <c r="R460" s="7" t="s">
        <v>1371</v>
      </c>
    </row>
    <row r="461" spans="1:18">
      <c r="A461" s="7" t="s">
        <v>2269</v>
      </c>
      <c r="B461" s="7" t="s">
        <v>682</v>
      </c>
      <c r="C461" s="7" t="s">
        <v>569</v>
      </c>
      <c r="D461" s="7" t="s">
        <v>651</v>
      </c>
      <c r="E461" s="7">
        <v>1219000555</v>
      </c>
      <c r="F461" s="7" t="s">
        <v>828</v>
      </c>
      <c r="G461" s="7" t="s">
        <v>1320</v>
      </c>
      <c r="H461" s="7" t="s">
        <v>123</v>
      </c>
      <c r="I461" s="7" t="s">
        <v>2311</v>
      </c>
      <c r="J461" s="7" t="s">
        <v>2312</v>
      </c>
      <c r="K461" s="7">
        <v>1213008103</v>
      </c>
      <c r="L461" s="7" t="s">
        <v>85</v>
      </c>
      <c r="M461" s="7" t="s">
        <v>595</v>
      </c>
      <c r="N461" s="18">
        <v>46279</v>
      </c>
      <c r="O461" s="7" t="s">
        <v>596</v>
      </c>
      <c r="P461" s="13">
        <v>-100</v>
      </c>
      <c r="Q461" s="12">
        <v>-104403.8</v>
      </c>
      <c r="R461" s="7" t="s">
        <v>1371</v>
      </c>
    </row>
    <row r="462" spans="1:18">
      <c r="A462" s="7" t="s">
        <v>2269</v>
      </c>
      <c r="B462" s="7" t="s">
        <v>682</v>
      </c>
      <c r="C462" s="7" t="s">
        <v>569</v>
      </c>
      <c r="D462" s="7" t="s">
        <v>2272</v>
      </c>
      <c r="E462" s="7">
        <v>1219000556</v>
      </c>
      <c r="F462" s="7" t="s">
        <v>828</v>
      </c>
      <c r="G462" s="7" t="s">
        <v>1320</v>
      </c>
      <c r="H462" s="7" t="s">
        <v>652</v>
      </c>
      <c r="I462" s="7" t="s">
        <v>2311</v>
      </c>
      <c r="J462" s="7" t="s">
        <v>2312</v>
      </c>
      <c r="K462" s="7">
        <v>1213008103</v>
      </c>
      <c r="L462" s="7" t="s">
        <v>85</v>
      </c>
      <c r="M462" s="7" t="s">
        <v>595</v>
      </c>
      <c r="N462" s="18">
        <v>46279</v>
      </c>
      <c r="O462" s="7" t="s">
        <v>596</v>
      </c>
      <c r="P462" s="13">
        <v>-200</v>
      </c>
      <c r="Q462" s="12">
        <v>-208807.59</v>
      </c>
      <c r="R462" s="7" t="s">
        <v>1371</v>
      </c>
    </row>
    <row r="463" spans="1:18">
      <c r="A463" s="7" t="s">
        <v>670</v>
      </c>
      <c r="B463" s="7" t="s">
        <v>671</v>
      </c>
      <c r="C463" s="7" t="s">
        <v>569</v>
      </c>
      <c r="D463" s="7" t="s">
        <v>1640</v>
      </c>
      <c r="E463" s="7">
        <v>1219000584</v>
      </c>
      <c r="F463" s="7" t="s">
        <v>828</v>
      </c>
      <c r="G463" s="7" t="s">
        <v>1641</v>
      </c>
      <c r="H463" s="7" t="s">
        <v>1642</v>
      </c>
      <c r="I463" s="7" t="s">
        <v>2313</v>
      </c>
      <c r="J463" s="7" t="s">
        <v>2314</v>
      </c>
      <c r="K463" s="7">
        <v>1211080689</v>
      </c>
      <c r="L463" s="7" t="s">
        <v>85</v>
      </c>
      <c r="M463" s="7" t="s">
        <v>85</v>
      </c>
      <c r="N463" s="18">
        <v>46279</v>
      </c>
      <c r="O463" s="7" t="s">
        <v>573</v>
      </c>
      <c r="P463" s="13">
        <v>2000</v>
      </c>
      <c r="Q463" s="12">
        <v>100000</v>
      </c>
      <c r="R463" s="7" t="s">
        <v>1371</v>
      </c>
    </row>
    <row r="464" spans="1:18">
      <c r="A464" s="7" t="s">
        <v>659</v>
      </c>
      <c r="B464" s="7" t="s">
        <v>660</v>
      </c>
      <c r="C464" s="7" t="s">
        <v>569</v>
      </c>
      <c r="D464" s="7" t="s">
        <v>658</v>
      </c>
      <c r="E464" s="7">
        <v>1219000799</v>
      </c>
      <c r="F464" s="7" t="s">
        <v>828</v>
      </c>
      <c r="G464" s="7" t="s">
        <v>360</v>
      </c>
      <c r="H464" s="7" t="s">
        <v>332</v>
      </c>
      <c r="I464" s="7" t="s">
        <v>2315</v>
      </c>
      <c r="J464" s="7" t="s">
        <v>2316</v>
      </c>
      <c r="K464" s="7">
        <v>1211080692</v>
      </c>
      <c r="L464" s="7" t="s">
        <v>85</v>
      </c>
      <c r="M464" s="7" t="s">
        <v>85</v>
      </c>
      <c r="N464" s="18">
        <v>46279</v>
      </c>
      <c r="O464" s="7" t="s">
        <v>573</v>
      </c>
      <c r="P464" s="13">
        <v>5000</v>
      </c>
      <c r="Q464" s="12">
        <v>239760.24</v>
      </c>
      <c r="R464" s="7" t="s">
        <v>1371</v>
      </c>
    </row>
    <row r="465" spans="1:18">
      <c r="A465" s="7" t="s">
        <v>1401</v>
      </c>
      <c r="B465" s="7" t="s">
        <v>1402</v>
      </c>
      <c r="C465" s="7" t="s">
        <v>569</v>
      </c>
      <c r="D465" s="7" t="s">
        <v>599</v>
      </c>
      <c r="E465" s="7">
        <v>1219000546</v>
      </c>
      <c r="F465" s="7" t="s">
        <v>828</v>
      </c>
      <c r="G465" s="7" t="s">
        <v>121</v>
      </c>
      <c r="H465" s="7" t="s">
        <v>357</v>
      </c>
      <c r="I465" s="7" t="s">
        <v>2317</v>
      </c>
      <c r="J465" s="7" t="s">
        <v>2318</v>
      </c>
      <c r="K465" s="7">
        <v>1211080693</v>
      </c>
      <c r="L465" s="7" t="s">
        <v>85</v>
      </c>
      <c r="M465" s="7" t="s">
        <v>85</v>
      </c>
      <c r="N465" s="18">
        <v>46279</v>
      </c>
      <c r="O465" s="7" t="s">
        <v>573</v>
      </c>
      <c r="P465" s="13">
        <v>9</v>
      </c>
      <c r="Q465" s="12">
        <v>54000</v>
      </c>
      <c r="R465" s="7" t="s">
        <v>1371</v>
      </c>
    </row>
    <row r="466" spans="1:18">
      <c r="A466" s="7" t="s">
        <v>1401</v>
      </c>
      <c r="B466" s="7" t="s">
        <v>1402</v>
      </c>
      <c r="C466" s="7" t="s">
        <v>569</v>
      </c>
      <c r="D466" s="7" t="s">
        <v>622</v>
      </c>
      <c r="E466" s="7">
        <v>1219000544</v>
      </c>
      <c r="F466" s="7" t="s">
        <v>828</v>
      </c>
      <c r="G466" s="7" t="s">
        <v>333</v>
      </c>
      <c r="H466" s="7" t="s">
        <v>424</v>
      </c>
      <c r="I466" s="7" t="s">
        <v>2319</v>
      </c>
      <c r="J466" s="7" t="s">
        <v>2320</v>
      </c>
      <c r="K466" s="7">
        <v>1211080694</v>
      </c>
      <c r="L466" s="7" t="s">
        <v>85</v>
      </c>
      <c r="M466" s="7" t="s">
        <v>85</v>
      </c>
      <c r="N466" s="18">
        <v>46279</v>
      </c>
      <c r="O466" s="7" t="s">
        <v>573</v>
      </c>
      <c r="P466" s="13">
        <v>15</v>
      </c>
      <c r="Q466" s="12">
        <v>90000</v>
      </c>
      <c r="R466" s="7" t="s">
        <v>1371</v>
      </c>
    </row>
    <row r="467" spans="1:18">
      <c r="A467" s="7" t="s">
        <v>683</v>
      </c>
      <c r="B467" s="7" t="s">
        <v>684</v>
      </c>
      <c r="C467" s="7" t="s">
        <v>569</v>
      </c>
      <c r="D467" s="7" t="s">
        <v>622</v>
      </c>
      <c r="E467" s="7">
        <v>1219000544</v>
      </c>
      <c r="F467" s="7" t="s">
        <v>828</v>
      </c>
      <c r="G467" s="7" t="s">
        <v>333</v>
      </c>
      <c r="H467" s="7" t="s">
        <v>424</v>
      </c>
      <c r="I467" s="7" t="s">
        <v>2321</v>
      </c>
      <c r="J467" s="7" t="s">
        <v>2322</v>
      </c>
      <c r="K467" s="7">
        <v>1211080695</v>
      </c>
      <c r="L467" s="7" t="s">
        <v>85</v>
      </c>
      <c r="M467" s="7" t="s">
        <v>85</v>
      </c>
      <c r="N467" s="18">
        <v>46279</v>
      </c>
      <c r="O467" s="7" t="s">
        <v>573</v>
      </c>
      <c r="P467" s="13">
        <v>6</v>
      </c>
      <c r="Q467" s="12">
        <v>33000</v>
      </c>
      <c r="R467" s="7" t="s">
        <v>1371</v>
      </c>
    </row>
    <row r="468" spans="1:18">
      <c r="A468" s="7" t="s">
        <v>733</v>
      </c>
      <c r="B468" s="7" t="s">
        <v>734</v>
      </c>
      <c r="C468" s="7" t="s">
        <v>569</v>
      </c>
      <c r="D468" s="7" t="s">
        <v>673</v>
      </c>
      <c r="E468" s="7">
        <v>1219000579</v>
      </c>
      <c r="F468" s="7" t="s">
        <v>828</v>
      </c>
      <c r="G468" s="7" t="s">
        <v>813</v>
      </c>
      <c r="H468" s="7" t="s">
        <v>410</v>
      </c>
      <c r="I468" s="7" t="s">
        <v>2323</v>
      </c>
      <c r="J468" s="7" t="s">
        <v>2324</v>
      </c>
      <c r="K468" s="7">
        <v>1211080242</v>
      </c>
      <c r="L468" s="7" t="s">
        <v>85</v>
      </c>
      <c r="M468" s="7" t="s">
        <v>85</v>
      </c>
      <c r="N468" s="18">
        <v>46268</v>
      </c>
      <c r="O468" s="7" t="s">
        <v>573</v>
      </c>
      <c r="P468" s="13">
        <v>1500</v>
      </c>
      <c r="Q468" s="12">
        <v>139690.81</v>
      </c>
      <c r="R468" s="7" t="s">
        <v>1371</v>
      </c>
    </row>
    <row r="469" spans="1:18">
      <c r="A469" s="7" t="s">
        <v>597</v>
      </c>
      <c r="B469" s="7" t="s">
        <v>598</v>
      </c>
      <c r="C469" s="7" t="s">
        <v>569</v>
      </c>
      <c r="D469" s="7" t="s">
        <v>622</v>
      </c>
      <c r="E469" s="7">
        <v>1219000544</v>
      </c>
      <c r="F469" s="7" t="s">
        <v>828</v>
      </c>
      <c r="G469" s="7" t="s">
        <v>333</v>
      </c>
      <c r="H469" s="7" t="s">
        <v>424</v>
      </c>
      <c r="I469" s="7" t="s">
        <v>2325</v>
      </c>
      <c r="J469" s="7" t="s">
        <v>2326</v>
      </c>
      <c r="K469" s="7">
        <v>1211080243</v>
      </c>
      <c r="L469" s="7" t="s">
        <v>85</v>
      </c>
      <c r="M469" s="7" t="s">
        <v>85</v>
      </c>
      <c r="N469" s="18">
        <v>46268</v>
      </c>
      <c r="O469" s="7" t="s">
        <v>573</v>
      </c>
      <c r="P469" s="13">
        <v>32</v>
      </c>
      <c r="Q469" s="12">
        <v>162549.31</v>
      </c>
      <c r="R469" s="7" t="s">
        <v>1371</v>
      </c>
    </row>
    <row r="470" spans="1:18">
      <c r="A470" s="7" t="s">
        <v>597</v>
      </c>
      <c r="B470" s="7" t="s">
        <v>598</v>
      </c>
      <c r="C470" s="7" t="s">
        <v>569</v>
      </c>
      <c r="D470" s="7" t="s">
        <v>673</v>
      </c>
      <c r="E470" s="7">
        <v>1219000579</v>
      </c>
      <c r="F470" s="7" t="s">
        <v>828</v>
      </c>
      <c r="G470" s="7" t="s">
        <v>813</v>
      </c>
      <c r="H470" s="7" t="s">
        <v>410</v>
      </c>
      <c r="I470" s="7" t="s">
        <v>2327</v>
      </c>
      <c r="J470" s="7" t="s">
        <v>2328</v>
      </c>
      <c r="K470" s="7">
        <v>1211080244</v>
      </c>
      <c r="L470" s="7" t="s">
        <v>85</v>
      </c>
      <c r="M470" s="7" t="s">
        <v>85</v>
      </c>
      <c r="N470" s="18">
        <v>46268</v>
      </c>
      <c r="O470" s="7" t="s">
        <v>573</v>
      </c>
      <c r="P470" s="13">
        <v>2000</v>
      </c>
      <c r="Q470" s="12">
        <v>203186.64</v>
      </c>
      <c r="R470" s="7" t="s">
        <v>1371</v>
      </c>
    </row>
    <row r="471" spans="1:18">
      <c r="A471" s="7" t="s">
        <v>646</v>
      </c>
      <c r="B471" s="7" t="s">
        <v>647</v>
      </c>
      <c r="C471" s="7" t="s">
        <v>569</v>
      </c>
      <c r="D471" s="7" t="s">
        <v>802</v>
      </c>
      <c r="E471" s="7">
        <v>1219000610</v>
      </c>
      <c r="F471" s="7" t="s">
        <v>824</v>
      </c>
      <c r="G471" s="7" t="s">
        <v>1654</v>
      </c>
      <c r="H471" s="7" t="s">
        <v>326</v>
      </c>
      <c r="I471" s="7" t="s">
        <v>2329</v>
      </c>
      <c r="J471" s="7" t="s">
        <v>2330</v>
      </c>
      <c r="K471" s="7">
        <v>1211080245</v>
      </c>
      <c r="L471" s="7" t="s">
        <v>85</v>
      </c>
      <c r="M471" s="7" t="s">
        <v>85</v>
      </c>
      <c r="N471" s="18">
        <v>46268</v>
      </c>
      <c r="O471" s="7" t="s">
        <v>573</v>
      </c>
      <c r="P471" s="13">
        <v>250</v>
      </c>
      <c r="Q471" s="12">
        <v>109890.11</v>
      </c>
      <c r="R471" s="7" t="s">
        <v>1371</v>
      </c>
    </row>
    <row r="472" spans="1:18">
      <c r="A472" s="7" t="s">
        <v>646</v>
      </c>
      <c r="B472" s="7" t="s">
        <v>647</v>
      </c>
      <c r="C472" s="7" t="s">
        <v>569</v>
      </c>
      <c r="D472" s="7" t="s">
        <v>603</v>
      </c>
      <c r="E472" s="7">
        <v>1219000758</v>
      </c>
      <c r="F472" s="7" t="s">
        <v>824</v>
      </c>
      <c r="G472" s="7" t="s">
        <v>145</v>
      </c>
      <c r="H472" s="7" t="s">
        <v>144</v>
      </c>
      <c r="I472" s="7" t="s">
        <v>2329</v>
      </c>
      <c r="J472" s="7" t="s">
        <v>2330</v>
      </c>
      <c r="K472" s="7">
        <v>1211080245</v>
      </c>
      <c r="L472" s="7" t="s">
        <v>85</v>
      </c>
      <c r="M472" s="7" t="s">
        <v>85</v>
      </c>
      <c r="N472" s="18">
        <v>46268</v>
      </c>
      <c r="O472" s="7" t="s">
        <v>573</v>
      </c>
      <c r="P472" s="13">
        <v>250</v>
      </c>
      <c r="Q472" s="12">
        <v>287212.78999999998</v>
      </c>
      <c r="R472" s="7" t="s">
        <v>1371</v>
      </c>
    </row>
    <row r="473" spans="1:18">
      <c r="A473" s="7" t="s">
        <v>653</v>
      </c>
      <c r="B473" s="7" t="s">
        <v>654</v>
      </c>
      <c r="C473" s="7" t="s">
        <v>569</v>
      </c>
      <c r="D473" s="7" t="s">
        <v>581</v>
      </c>
      <c r="E473" s="7">
        <v>1219000509</v>
      </c>
      <c r="F473" s="7" t="s">
        <v>1288</v>
      </c>
      <c r="G473" s="7" t="s">
        <v>1447</v>
      </c>
      <c r="H473" s="7" t="s">
        <v>171</v>
      </c>
      <c r="I473" s="7" t="s">
        <v>2331</v>
      </c>
      <c r="J473" s="7" t="s">
        <v>2332</v>
      </c>
      <c r="K473" s="7">
        <v>1211080247</v>
      </c>
      <c r="L473" s="7" t="s">
        <v>85</v>
      </c>
      <c r="M473" s="7" t="s">
        <v>85</v>
      </c>
      <c r="N473" s="18">
        <v>46268</v>
      </c>
      <c r="O473" s="7" t="s">
        <v>573</v>
      </c>
      <c r="P473" s="13">
        <v>600</v>
      </c>
      <c r="Q473" s="12">
        <v>149850.15</v>
      </c>
      <c r="R473" s="7" t="s">
        <v>1371</v>
      </c>
    </row>
    <row r="474" spans="1:18">
      <c r="A474" s="7" t="s">
        <v>653</v>
      </c>
      <c r="B474" s="7" t="s">
        <v>654</v>
      </c>
      <c r="C474" s="7" t="s">
        <v>569</v>
      </c>
      <c r="D474" s="7" t="s">
        <v>582</v>
      </c>
      <c r="E474" s="7">
        <v>1219000780</v>
      </c>
      <c r="F474" s="7" t="s">
        <v>1288</v>
      </c>
      <c r="G474" s="7" t="s">
        <v>269</v>
      </c>
      <c r="H474" s="7" t="s">
        <v>115</v>
      </c>
      <c r="I474" s="7" t="s">
        <v>2331</v>
      </c>
      <c r="J474" s="7" t="s">
        <v>2332</v>
      </c>
      <c r="K474" s="7">
        <v>1211080247</v>
      </c>
      <c r="L474" s="7" t="s">
        <v>85</v>
      </c>
      <c r="M474" s="7" t="s">
        <v>85</v>
      </c>
      <c r="N474" s="18">
        <v>46268</v>
      </c>
      <c r="O474" s="7" t="s">
        <v>573</v>
      </c>
      <c r="P474" s="13">
        <v>600</v>
      </c>
      <c r="Q474" s="12">
        <v>389610.39</v>
      </c>
      <c r="R474" s="7" t="s">
        <v>1371</v>
      </c>
    </row>
    <row r="475" spans="1:18">
      <c r="A475" s="7" t="s">
        <v>2085</v>
      </c>
      <c r="B475" s="7" t="s">
        <v>583</v>
      </c>
      <c r="C475" s="7" t="s">
        <v>569</v>
      </c>
      <c r="D475" s="7" t="s">
        <v>581</v>
      </c>
      <c r="E475" s="7">
        <v>1219000509</v>
      </c>
      <c r="F475" s="7" t="s">
        <v>1288</v>
      </c>
      <c r="G475" s="7" t="s">
        <v>1447</v>
      </c>
      <c r="H475" s="7" t="s">
        <v>171</v>
      </c>
      <c r="I475" s="7" t="s">
        <v>2333</v>
      </c>
      <c r="J475" s="7" t="s">
        <v>2334</v>
      </c>
      <c r="K475" s="7">
        <v>1211080248</v>
      </c>
      <c r="L475" s="7" t="s">
        <v>85</v>
      </c>
      <c r="M475" s="7" t="s">
        <v>85</v>
      </c>
      <c r="N475" s="18">
        <v>46268</v>
      </c>
      <c r="O475" s="7" t="s">
        <v>573</v>
      </c>
      <c r="P475" s="13">
        <v>3000</v>
      </c>
      <c r="Q475" s="12">
        <v>695304.7</v>
      </c>
      <c r="R475" s="7" t="s">
        <v>1371</v>
      </c>
    </row>
    <row r="476" spans="1:18">
      <c r="A476" s="7" t="s">
        <v>2085</v>
      </c>
      <c r="B476" s="7" t="s">
        <v>583</v>
      </c>
      <c r="C476" s="7" t="s">
        <v>569</v>
      </c>
      <c r="D476" s="7" t="s">
        <v>774</v>
      </c>
      <c r="E476" s="7">
        <v>1219001022</v>
      </c>
      <c r="F476" s="7" t="s">
        <v>1288</v>
      </c>
      <c r="G476" s="7" t="s">
        <v>1458</v>
      </c>
      <c r="H476" s="7" t="s">
        <v>238</v>
      </c>
      <c r="I476" s="7" t="s">
        <v>2333</v>
      </c>
      <c r="J476" s="7" t="s">
        <v>2334</v>
      </c>
      <c r="K476" s="7">
        <v>1211080248</v>
      </c>
      <c r="L476" s="7" t="s">
        <v>85</v>
      </c>
      <c r="M476" s="7" t="s">
        <v>85</v>
      </c>
      <c r="N476" s="18">
        <v>46268</v>
      </c>
      <c r="O476" s="7" t="s">
        <v>573</v>
      </c>
      <c r="P476" s="13">
        <v>3000</v>
      </c>
      <c r="Q476" s="12">
        <v>143856.14000000001</v>
      </c>
      <c r="R476" s="7" t="s">
        <v>1371</v>
      </c>
    </row>
    <row r="477" spans="1:18">
      <c r="A477" s="7" t="s">
        <v>2085</v>
      </c>
      <c r="B477" s="7" t="s">
        <v>583</v>
      </c>
      <c r="C477" s="7" t="s">
        <v>569</v>
      </c>
      <c r="D477" s="7" t="s">
        <v>590</v>
      </c>
      <c r="E477" s="7">
        <v>1219000741</v>
      </c>
      <c r="F477" s="7" t="s">
        <v>1288</v>
      </c>
      <c r="G477" s="7" t="s">
        <v>591</v>
      </c>
      <c r="H477" s="7" t="s">
        <v>592</v>
      </c>
      <c r="I477" s="7" t="s">
        <v>2335</v>
      </c>
      <c r="J477" s="7" t="s">
        <v>2336</v>
      </c>
      <c r="K477" s="7">
        <v>1211080249</v>
      </c>
      <c r="L477" s="7" t="s">
        <v>85</v>
      </c>
      <c r="M477" s="7" t="s">
        <v>85</v>
      </c>
      <c r="N477" s="18">
        <v>46268</v>
      </c>
      <c r="O477" s="7" t="s">
        <v>573</v>
      </c>
      <c r="P477" s="13">
        <v>100000</v>
      </c>
      <c r="Q477" s="12">
        <v>1998002</v>
      </c>
      <c r="R477" s="7" t="s">
        <v>1371</v>
      </c>
    </row>
    <row r="478" spans="1:18">
      <c r="A478" s="7" t="s">
        <v>2085</v>
      </c>
      <c r="B478" s="7" t="s">
        <v>583</v>
      </c>
      <c r="C478" s="7" t="s">
        <v>569</v>
      </c>
      <c r="D478" s="7" t="s">
        <v>582</v>
      </c>
      <c r="E478" s="7">
        <v>1219000780</v>
      </c>
      <c r="F478" s="7" t="s">
        <v>1288</v>
      </c>
      <c r="G478" s="7" t="s">
        <v>269</v>
      </c>
      <c r="H478" s="7" t="s">
        <v>115</v>
      </c>
      <c r="I478" s="7" t="s">
        <v>2335</v>
      </c>
      <c r="J478" s="7" t="s">
        <v>2336</v>
      </c>
      <c r="K478" s="7">
        <v>1211080249</v>
      </c>
      <c r="L478" s="7" t="s">
        <v>85</v>
      </c>
      <c r="M478" s="7" t="s">
        <v>85</v>
      </c>
      <c r="N478" s="18">
        <v>46268</v>
      </c>
      <c r="O478" s="7" t="s">
        <v>573</v>
      </c>
      <c r="P478" s="13">
        <v>1000</v>
      </c>
      <c r="Q478" s="12">
        <v>629370.63</v>
      </c>
      <c r="R478" s="7" t="s">
        <v>1371</v>
      </c>
    </row>
    <row r="479" spans="1:18">
      <c r="A479" s="7" t="s">
        <v>2085</v>
      </c>
      <c r="B479" s="7" t="s">
        <v>583</v>
      </c>
      <c r="C479" s="7" t="s">
        <v>569</v>
      </c>
      <c r="D479" s="7" t="s">
        <v>582</v>
      </c>
      <c r="E479" s="7">
        <v>1219000780</v>
      </c>
      <c r="F479" s="7" t="s">
        <v>1288</v>
      </c>
      <c r="G479" s="7" t="s">
        <v>269</v>
      </c>
      <c r="H479" s="7" t="s">
        <v>115</v>
      </c>
      <c r="I479" s="7" t="s">
        <v>2337</v>
      </c>
      <c r="J479" s="7" t="s">
        <v>2338</v>
      </c>
      <c r="K479" s="7">
        <v>1211080250</v>
      </c>
      <c r="L479" s="7" t="s">
        <v>85</v>
      </c>
      <c r="M479" s="7" t="s">
        <v>85</v>
      </c>
      <c r="N479" s="18">
        <v>46268</v>
      </c>
      <c r="O479" s="7" t="s">
        <v>573</v>
      </c>
      <c r="P479" s="13">
        <v>1000</v>
      </c>
      <c r="Q479" s="12">
        <v>629370.63</v>
      </c>
      <c r="R479" s="7" t="s">
        <v>1371</v>
      </c>
    </row>
    <row r="480" spans="1:18">
      <c r="A480" s="7" t="s">
        <v>667</v>
      </c>
      <c r="B480" s="7" t="s">
        <v>668</v>
      </c>
      <c r="C480" s="7" t="s">
        <v>569</v>
      </c>
      <c r="D480" s="7" t="s">
        <v>651</v>
      </c>
      <c r="E480" s="7">
        <v>1219000555</v>
      </c>
      <c r="F480" s="7" t="s">
        <v>828</v>
      </c>
      <c r="G480" s="7" t="s">
        <v>1320</v>
      </c>
      <c r="H480" s="7" t="s">
        <v>123</v>
      </c>
      <c r="I480" s="7" t="s">
        <v>2339</v>
      </c>
      <c r="J480" s="7" t="s">
        <v>2340</v>
      </c>
      <c r="K480" s="7">
        <v>1211080251</v>
      </c>
      <c r="L480" s="7" t="s">
        <v>85</v>
      </c>
      <c r="M480" s="7" t="s">
        <v>85</v>
      </c>
      <c r="N480" s="18">
        <v>46268</v>
      </c>
      <c r="O480" s="7" t="s">
        <v>573</v>
      </c>
      <c r="P480" s="13">
        <v>100</v>
      </c>
      <c r="Q480" s="12">
        <v>115000</v>
      </c>
      <c r="R480" s="7" t="s">
        <v>1371</v>
      </c>
    </row>
    <row r="481" spans="1:18">
      <c r="A481" s="7" t="s">
        <v>667</v>
      </c>
      <c r="B481" s="7" t="s">
        <v>668</v>
      </c>
      <c r="C481" s="7" t="s">
        <v>569</v>
      </c>
      <c r="D481" s="7" t="s">
        <v>2272</v>
      </c>
      <c r="E481" s="7">
        <v>1219000556</v>
      </c>
      <c r="F481" s="7" t="s">
        <v>828</v>
      </c>
      <c r="G481" s="7" t="s">
        <v>1320</v>
      </c>
      <c r="H481" s="7" t="s">
        <v>652</v>
      </c>
      <c r="I481" s="7" t="s">
        <v>2339</v>
      </c>
      <c r="J481" s="7" t="s">
        <v>2340</v>
      </c>
      <c r="K481" s="7">
        <v>1211080251</v>
      </c>
      <c r="L481" s="7" t="s">
        <v>85</v>
      </c>
      <c r="M481" s="7" t="s">
        <v>85</v>
      </c>
      <c r="N481" s="18">
        <v>46268</v>
      </c>
      <c r="O481" s="7" t="s">
        <v>573</v>
      </c>
      <c r="P481" s="13">
        <v>25</v>
      </c>
      <c r="Q481" s="12">
        <v>28750</v>
      </c>
      <c r="R481" s="7" t="s">
        <v>1371</v>
      </c>
    </row>
    <row r="482" spans="1:18">
      <c r="A482" s="7" t="s">
        <v>667</v>
      </c>
      <c r="B482" s="7" t="s">
        <v>668</v>
      </c>
      <c r="C482" s="7" t="s">
        <v>569</v>
      </c>
      <c r="D482" s="7" t="s">
        <v>669</v>
      </c>
      <c r="E482" s="7">
        <v>1219000558</v>
      </c>
      <c r="F482" s="7" t="s">
        <v>828</v>
      </c>
      <c r="G482" s="7" t="s">
        <v>1320</v>
      </c>
      <c r="H482" s="7" t="s">
        <v>124</v>
      </c>
      <c r="I482" s="7" t="s">
        <v>2339</v>
      </c>
      <c r="J482" s="7" t="s">
        <v>2340</v>
      </c>
      <c r="K482" s="7">
        <v>1211080251</v>
      </c>
      <c r="L482" s="7" t="s">
        <v>85</v>
      </c>
      <c r="M482" s="7" t="s">
        <v>85</v>
      </c>
      <c r="N482" s="18">
        <v>46268</v>
      </c>
      <c r="O482" s="7" t="s">
        <v>573</v>
      </c>
      <c r="P482" s="13">
        <v>25</v>
      </c>
      <c r="Q482" s="12">
        <v>28750</v>
      </c>
      <c r="R482" s="7" t="s">
        <v>1371</v>
      </c>
    </row>
    <row r="483" spans="1:18">
      <c r="A483" s="7" t="s">
        <v>1750</v>
      </c>
      <c r="B483" s="7" t="s">
        <v>707</v>
      </c>
      <c r="C483" s="7" t="s">
        <v>569</v>
      </c>
      <c r="D483" s="7" t="s">
        <v>582</v>
      </c>
      <c r="E483" s="7">
        <v>1219000780</v>
      </c>
      <c r="F483" s="7" t="s">
        <v>1288</v>
      </c>
      <c r="G483" s="7" t="s">
        <v>269</v>
      </c>
      <c r="H483" s="7" t="s">
        <v>115</v>
      </c>
      <c r="I483" s="7" t="s">
        <v>2341</v>
      </c>
      <c r="J483" s="7" t="s">
        <v>2342</v>
      </c>
      <c r="K483" s="7">
        <v>1211080255</v>
      </c>
      <c r="L483" s="7" t="s">
        <v>85</v>
      </c>
      <c r="M483" s="7" t="s">
        <v>85</v>
      </c>
      <c r="N483" s="18">
        <v>46268</v>
      </c>
      <c r="O483" s="7" t="s">
        <v>573</v>
      </c>
      <c r="P483" s="13">
        <v>1000</v>
      </c>
      <c r="Q483" s="12">
        <v>684315.68</v>
      </c>
      <c r="R483" s="7" t="s">
        <v>1371</v>
      </c>
    </row>
    <row r="484" spans="1:18">
      <c r="A484" s="7" t="s">
        <v>601</v>
      </c>
      <c r="B484" s="7" t="s">
        <v>602</v>
      </c>
      <c r="C484" s="7" t="s">
        <v>569</v>
      </c>
      <c r="D484" s="7" t="s">
        <v>658</v>
      </c>
      <c r="E484" s="7">
        <v>1219000799</v>
      </c>
      <c r="F484" s="7" t="s">
        <v>828</v>
      </c>
      <c r="G484" s="7" t="s">
        <v>360</v>
      </c>
      <c r="H484" s="7" t="s">
        <v>332</v>
      </c>
      <c r="I484" s="7" t="s">
        <v>2343</v>
      </c>
      <c r="J484" s="7" t="s">
        <v>2344</v>
      </c>
      <c r="K484" s="7">
        <v>1211080259</v>
      </c>
      <c r="L484" s="7" t="s">
        <v>85</v>
      </c>
      <c r="M484" s="7" t="s">
        <v>85</v>
      </c>
      <c r="N484" s="18">
        <v>46268</v>
      </c>
      <c r="O484" s="7" t="s">
        <v>573</v>
      </c>
      <c r="P484" s="13">
        <v>5000</v>
      </c>
      <c r="Q484" s="12">
        <v>290000</v>
      </c>
      <c r="R484" s="7" t="s">
        <v>1371</v>
      </c>
    </row>
    <row r="485" spans="1:18">
      <c r="A485" s="7" t="s">
        <v>635</v>
      </c>
      <c r="B485" s="7" t="s">
        <v>636</v>
      </c>
      <c r="C485" s="7" t="s">
        <v>569</v>
      </c>
      <c r="D485" s="7" t="s">
        <v>577</v>
      </c>
      <c r="E485" s="7">
        <v>1219000754</v>
      </c>
      <c r="F485" s="7" t="s">
        <v>824</v>
      </c>
      <c r="G485" s="7" t="s">
        <v>1693</v>
      </c>
      <c r="H485" s="7" t="s">
        <v>139</v>
      </c>
      <c r="I485" s="7" t="s">
        <v>2345</v>
      </c>
      <c r="J485" s="7" t="s">
        <v>2346</v>
      </c>
      <c r="K485" s="7">
        <v>1211080260</v>
      </c>
      <c r="L485" s="7" t="s">
        <v>85</v>
      </c>
      <c r="M485" s="7" t="s">
        <v>85</v>
      </c>
      <c r="N485" s="18">
        <v>46268</v>
      </c>
      <c r="O485" s="7" t="s">
        <v>573</v>
      </c>
      <c r="P485" s="13">
        <v>3104</v>
      </c>
      <c r="Q485" s="12">
        <v>3224935.06</v>
      </c>
      <c r="R485" s="7" t="s">
        <v>1371</v>
      </c>
    </row>
    <row r="486" spans="1:18">
      <c r="A486" s="7" t="s">
        <v>713</v>
      </c>
      <c r="B486" s="7" t="s">
        <v>714</v>
      </c>
      <c r="C486" s="7" t="s">
        <v>569</v>
      </c>
      <c r="D486" s="7" t="s">
        <v>617</v>
      </c>
      <c r="E486" s="7">
        <v>1219000660</v>
      </c>
      <c r="F486" s="7" t="s">
        <v>1288</v>
      </c>
      <c r="G486" s="7" t="s">
        <v>2281</v>
      </c>
      <c r="H486" s="7" t="s">
        <v>110</v>
      </c>
      <c r="I486" s="7" t="s">
        <v>2347</v>
      </c>
      <c r="J486" s="7" t="s">
        <v>2348</v>
      </c>
      <c r="K486" s="7">
        <v>1211080261</v>
      </c>
      <c r="L486" s="7" t="s">
        <v>85</v>
      </c>
      <c r="M486" s="7" t="s">
        <v>85</v>
      </c>
      <c r="N486" s="18">
        <v>46268</v>
      </c>
      <c r="O486" s="7" t="s">
        <v>573</v>
      </c>
      <c r="P486" s="13">
        <v>1100</v>
      </c>
      <c r="Q486" s="12">
        <v>132000</v>
      </c>
      <c r="R486" s="7" t="s">
        <v>1371</v>
      </c>
    </row>
    <row r="487" spans="1:18">
      <c r="A487" s="7" t="s">
        <v>1768</v>
      </c>
      <c r="B487" s="7" t="s">
        <v>715</v>
      </c>
      <c r="C487" s="7" t="s">
        <v>569</v>
      </c>
      <c r="D487" s="7" t="s">
        <v>641</v>
      </c>
      <c r="E487" s="7">
        <v>1219001002</v>
      </c>
      <c r="F487" s="7" t="s">
        <v>824</v>
      </c>
      <c r="G487" s="7" t="s">
        <v>1345</v>
      </c>
      <c r="H487" s="7" t="s">
        <v>187</v>
      </c>
      <c r="I487" s="7" t="s">
        <v>2349</v>
      </c>
      <c r="J487" s="7" t="s">
        <v>2350</v>
      </c>
      <c r="K487" s="7">
        <v>1211080262</v>
      </c>
      <c r="L487" s="7" t="s">
        <v>85</v>
      </c>
      <c r="M487" s="7" t="s">
        <v>85</v>
      </c>
      <c r="N487" s="18">
        <v>46268</v>
      </c>
      <c r="O487" s="7" t="s">
        <v>573</v>
      </c>
      <c r="P487" s="13">
        <v>150</v>
      </c>
      <c r="Q487" s="12">
        <v>52238.81</v>
      </c>
      <c r="R487" s="7" t="s">
        <v>1371</v>
      </c>
    </row>
    <row r="488" spans="1:18">
      <c r="A488" s="7" t="s">
        <v>1719</v>
      </c>
      <c r="B488" s="7" t="s">
        <v>1720</v>
      </c>
      <c r="C488" s="7" t="s">
        <v>569</v>
      </c>
      <c r="D488" s="7" t="s">
        <v>664</v>
      </c>
      <c r="E488" s="7">
        <v>1219000550</v>
      </c>
      <c r="F488" s="7" t="s">
        <v>828</v>
      </c>
      <c r="G488" s="7" t="s">
        <v>359</v>
      </c>
      <c r="H488" s="7" t="s">
        <v>358</v>
      </c>
      <c r="I488" s="7" t="s">
        <v>2351</v>
      </c>
      <c r="J488" s="7" t="s">
        <v>2352</v>
      </c>
      <c r="K488" s="7">
        <v>1211080264</v>
      </c>
      <c r="L488" s="7" t="s">
        <v>85</v>
      </c>
      <c r="M488" s="7" t="s">
        <v>85</v>
      </c>
      <c r="N488" s="18">
        <v>46268</v>
      </c>
      <c r="O488" s="7" t="s">
        <v>573</v>
      </c>
      <c r="P488" s="13">
        <v>8</v>
      </c>
      <c r="Q488" s="12">
        <v>42580.37</v>
      </c>
      <c r="R488" s="7" t="s">
        <v>1371</v>
      </c>
    </row>
    <row r="489" spans="1:18">
      <c r="A489" s="7" t="s">
        <v>1719</v>
      </c>
      <c r="B489" s="7" t="s">
        <v>1720</v>
      </c>
      <c r="C489" s="7" t="s">
        <v>569</v>
      </c>
      <c r="D489" s="7" t="s">
        <v>665</v>
      </c>
      <c r="E489" s="7">
        <v>1219000551</v>
      </c>
      <c r="F489" s="7" t="s">
        <v>828</v>
      </c>
      <c r="G489" s="7" t="s">
        <v>359</v>
      </c>
      <c r="H489" s="7" t="s">
        <v>120</v>
      </c>
      <c r="I489" s="7" t="s">
        <v>2351</v>
      </c>
      <c r="J489" s="7" t="s">
        <v>2352</v>
      </c>
      <c r="K489" s="7">
        <v>1211080264</v>
      </c>
      <c r="L489" s="7" t="s">
        <v>85</v>
      </c>
      <c r="M489" s="7" t="s">
        <v>85</v>
      </c>
      <c r="N489" s="18">
        <v>46268</v>
      </c>
      <c r="O489" s="7" t="s">
        <v>573</v>
      </c>
      <c r="P489" s="13">
        <v>8</v>
      </c>
      <c r="Q489" s="12">
        <v>42580.37</v>
      </c>
      <c r="R489" s="7" t="s">
        <v>1371</v>
      </c>
    </row>
    <row r="490" spans="1:18">
      <c r="A490" s="7" t="s">
        <v>1719</v>
      </c>
      <c r="B490" s="7" t="s">
        <v>1720</v>
      </c>
      <c r="C490" s="7" t="s">
        <v>569</v>
      </c>
      <c r="D490" s="7" t="s">
        <v>672</v>
      </c>
      <c r="E490" s="7">
        <v>1219000552</v>
      </c>
      <c r="F490" s="7" t="s">
        <v>828</v>
      </c>
      <c r="G490" s="7" t="s">
        <v>121</v>
      </c>
      <c r="H490" s="7" t="s">
        <v>271</v>
      </c>
      <c r="I490" s="7" t="s">
        <v>2351</v>
      </c>
      <c r="J490" s="7" t="s">
        <v>2352</v>
      </c>
      <c r="K490" s="7">
        <v>1211080264</v>
      </c>
      <c r="L490" s="7" t="s">
        <v>85</v>
      </c>
      <c r="M490" s="7" t="s">
        <v>85</v>
      </c>
      <c r="N490" s="18">
        <v>46268</v>
      </c>
      <c r="O490" s="7" t="s">
        <v>573</v>
      </c>
      <c r="P490" s="13">
        <v>8</v>
      </c>
      <c r="Q490" s="12">
        <v>42580.37</v>
      </c>
      <c r="R490" s="7" t="s">
        <v>1371</v>
      </c>
    </row>
    <row r="491" spans="1:18">
      <c r="A491" s="7" t="s">
        <v>1771</v>
      </c>
      <c r="B491" s="7" t="s">
        <v>618</v>
      </c>
      <c r="C491" s="7" t="s">
        <v>1487</v>
      </c>
      <c r="D491" s="7" t="s">
        <v>1764</v>
      </c>
      <c r="E491" s="7">
        <v>1219000510</v>
      </c>
      <c r="F491" s="7" t="s">
        <v>1288</v>
      </c>
      <c r="G491" s="7" t="s">
        <v>2076</v>
      </c>
      <c r="H491" s="7" t="s">
        <v>103</v>
      </c>
      <c r="I491" s="7" t="s">
        <v>2353</v>
      </c>
      <c r="J491" s="7" t="s">
        <v>2354</v>
      </c>
      <c r="K491" s="7">
        <v>1211080268</v>
      </c>
      <c r="L491" s="7" t="s">
        <v>85</v>
      </c>
      <c r="M491" s="7" t="s">
        <v>85</v>
      </c>
      <c r="N491" s="18">
        <v>46268</v>
      </c>
      <c r="O491" s="7" t="s">
        <v>573</v>
      </c>
      <c r="P491" s="13">
        <v>11000</v>
      </c>
      <c r="Q491" s="12">
        <v>7150000</v>
      </c>
      <c r="R491" s="7" t="s">
        <v>1371</v>
      </c>
    </row>
    <row r="492" spans="1:18">
      <c r="A492" s="7" t="s">
        <v>1771</v>
      </c>
      <c r="B492" s="7" t="s">
        <v>618</v>
      </c>
      <c r="C492" s="7" t="s">
        <v>1487</v>
      </c>
      <c r="D492" s="7" t="s">
        <v>582</v>
      </c>
      <c r="E492" s="7">
        <v>1219000780</v>
      </c>
      <c r="F492" s="7" t="s">
        <v>1288</v>
      </c>
      <c r="G492" s="7" t="s">
        <v>269</v>
      </c>
      <c r="H492" s="7" t="s">
        <v>115</v>
      </c>
      <c r="I492" s="7" t="s">
        <v>2353</v>
      </c>
      <c r="J492" s="7" t="s">
        <v>2354</v>
      </c>
      <c r="K492" s="7">
        <v>1211080268</v>
      </c>
      <c r="L492" s="7" t="s">
        <v>85</v>
      </c>
      <c r="M492" s="7" t="s">
        <v>85</v>
      </c>
      <c r="N492" s="18">
        <v>46268</v>
      </c>
      <c r="O492" s="7" t="s">
        <v>573</v>
      </c>
      <c r="P492" s="13">
        <v>6000</v>
      </c>
      <c r="Q492" s="12">
        <v>4770000</v>
      </c>
      <c r="R492" s="7" t="s">
        <v>1371</v>
      </c>
    </row>
    <row r="493" spans="1:18">
      <c r="A493" s="7" t="s">
        <v>1297</v>
      </c>
      <c r="B493" s="7" t="s">
        <v>1298</v>
      </c>
      <c r="C493" s="7" t="s">
        <v>569</v>
      </c>
      <c r="D493" s="7" t="s">
        <v>540</v>
      </c>
      <c r="E493" s="7">
        <v>1219000666</v>
      </c>
      <c r="F493" s="7" t="s">
        <v>828</v>
      </c>
      <c r="G493" s="7" t="s">
        <v>735</v>
      </c>
      <c r="H493" s="7" t="s">
        <v>541</v>
      </c>
      <c r="I493" s="7" t="s">
        <v>2355</v>
      </c>
      <c r="J493" s="7" t="s">
        <v>2356</v>
      </c>
      <c r="K493" s="7">
        <v>1211080270</v>
      </c>
      <c r="L493" s="7" t="s">
        <v>85</v>
      </c>
      <c r="M493" s="7" t="s">
        <v>85</v>
      </c>
      <c r="N493" s="18">
        <v>46268</v>
      </c>
      <c r="O493" s="7" t="s">
        <v>573</v>
      </c>
      <c r="P493" s="13">
        <v>1000</v>
      </c>
      <c r="Q493" s="12">
        <v>45644.07</v>
      </c>
      <c r="R493" s="7" t="s">
        <v>1371</v>
      </c>
    </row>
    <row r="494" spans="1:18">
      <c r="A494" s="7" t="s">
        <v>1297</v>
      </c>
      <c r="B494" s="7" t="s">
        <v>1298</v>
      </c>
      <c r="C494" s="7" t="s">
        <v>569</v>
      </c>
      <c r="D494" s="7" t="s">
        <v>544</v>
      </c>
      <c r="E494" s="7">
        <v>1219000667</v>
      </c>
      <c r="F494" s="7" t="s">
        <v>828</v>
      </c>
      <c r="G494" s="7" t="s">
        <v>2357</v>
      </c>
      <c r="H494" s="7" t="s">
        <v>545</v>
      </c>
      <c r="I494" s="7" t="s">
        <v>2355</v>
      </c>
      <c r="J494" s="7" t="s">
        <v>2356</v>
      </c>
      <c r="K494" s="7">
        <v>1211080270</v>
      </c>
      <c r="L494" s="7" t="s">
        <v>85</v>
      </c>
      <c r="M494" s="7" t="s">
        <v>85</v>
      </c>
      <c r="N494" s="18">
        <v>46268</v>
      </c>
      <c r="O494" s="7" t="s">
        <v>573</v>
      </c>
      <c r="P494" s="13">
        <v>1000</v>
      </c>
      <c r="Q494" s="12">
        <v>45644.07</v>
      </c>
      <c r="R494" s="7" t="s">
        <v>1371</v>
      </c>
    </row>
    <row r="495" spans="1:18">
      <c r="A495" s="7" t="s">
        <v>597</v>
      </c>
      <c r="B495" s="7" t="s">
        <v>598</v>
      </c>
      <c r="C495" s="7" t="s">
        <v>569</v>
      </c>
      <c r="D495" s="7" t="s">
        <v>719</v>
      </c>
      <c r="E495" s="7">
        <v>1219000574</v>
      </c>
      <c r="F495" s="7" t="s">
        <v>828</v>
      </c>
      <c r="G495" s="7" t="s">
        <v>1307</v>
      </c>
      <c r="H495" s="7" t="s">
        <v>133</v>
      </c>
      <c r="I495" s="7" t="s">
        <v>2358</v>
      </c>
      <c r="J495" s="7" t="s">
        <v>2359</v>
      </c>
      <c r="K495" s="7">
        <v>1211080281</v>
      </c>
      <c r="L495" s="7" t="s">
        <v>85</v>
      </c>
      <c r="M495" s="7" t="s">
        <v>85</v>
      </c>
      <c r="N495" s="18">
        <v>46269</v>
      </c>
      <c r="O495" s="7" t="s">
        <v>573</v>
      </c>
      <c r="P495" s="13">
        <v>2000</v>
      </c>
      <c r="Q495" s="12">
        <v>162549.31</v>
      </c>
      <c r="R495" s="7" t="s">
        <v>1371</v>
      </c>
    </row>
    <row r="496" spans="1:18">
      <c r="A496" s="7" t="s">
        <v>691</v>
      </c>
      <c r="B496" s="7" t="s">
        <v>692</v>
      </c>
      <c r="C496" s="7" t="s">
        <v>569</v>
      </c>
      <c r="D496" s="7" t="s">
        <v>672</v>
      </c>
      <c r="E496" s="7">
        <v>1219000552</v>
      </c>
      <c r="F496" s="7" t="s">
        <v>828</v>
      </c>
      <c r="G496" s="7" t="s">
        <v>121</v>
      </c>
      <c r="H496" s="7" t="s">
        <v>271</v>
      </c>
      <c r="I496" s="7" t="s">
        <v>2360</v>
      </c>
      <c r="J496" s="7" t="s">
        <v>2361</v>
      </c>
      <c r="K496" s="7">
        <v>1211080282</v>
      </c>
      <c r="L496" s="7" t="s">
        <v>85</v>
      </c>
      <c r="M496" s="7" t="s">
        <v>85</v>
      </c>
      <c r="N496" s="18">
        <v>46269</v>
      </c>
      <c r="O496" s="7" t="s">
        <v>573</v>
      </c>
      <c r="P496" s="13">
        <v>10</v>
      </c>
      <c r="Q496" s="12">
        <v>53813.56</v>
      </c>
      <c r="R496" s="7" t="s">
        <v>1371</v>
      </c>
    </row>
    <row r="497" spans="1:18">
      <c r="A497" s="7" t="s">
        <v>610</v>
      </c>
      <c r="B497" s="7" t="s">
        <v>611</v>
      </c>
      <c r="C497" s="7" t="s">
        <v>569</v>
      </c>
      <c r="D497" s="7" t="s">
        <v>617</v>
      </c>
      <c r="E497" s="7">
        <v>1219000660</v>
      </c>
      <c r="F497" s="7" t="s">
        <v>1288</v>
      </c>
      <c r="G497" s="7" t="s">
        <v>2281</v>
      </c>
      <c r="H497" s="7" t="s">
        <v>110</v>
      </c>
      <c r="I497" s="7" t="s">
        <v>2362</v>
      </c>
      <c r="J497" s="7" t="s">
        <v>2363</v>
      </c>
      <c r="K497" s="7">
        <v>1211080284</v>
      </c>
      <c r="L497" s="7" t="s">
        <v>85</v>
      </c>
      <c r="M497" s="7" t="s">
        <v>85</v>
      </c>
      <c r="N497" s="18">
        <v>46269</v>
      </c>
      <c r="O497" s="7" t="s">
        <v>573</v>
      </c>
      <c r="P497" s="13">
        <v>1000</v>
      </c>
      <c r="Q497" s="12">
        <v>118881.12</v>
      </c>
      <c r="R497" s="7" t="s">
        <v>1371</v>
      </c>
    </row>
    <row r="498" spans="1:18">
      <c r="A498" s="7" t="s">
        <v>610</v>
      </c>
      <c r="B498" s="7" t="s">
        <v>611</v>
      </c>
      <c r="C498" s="7" t="s">
        <v>569</v>
      </c>
      <c r="D498" s="7" t="s">
        <v>582</v>
      </c>
      <c r="E498" s="7">
        <v>1219000780</v>
      </c>
      <c r="F498" s="7" t="s">
        <v>1288</v>
      </c>
      <c r="G498" s="7" t="s">
        <v>269</v>
      </c>
      <c r="H498" s="7" t="s">
        <v>115</v>
      </c>
      <c r="I498" s="7" t="s">
        <v>2362</v>
      </c>
      <c r="J498" s="7" t="s">
        <v>2363</v>
      </c>
      <c r="K498" s="7">
        <v>1211080284</v>
      </c>
      <c r="L498" s="7" t="s">
        <v>85</v>
      </c>
      <c r="M498" s="7" t="s">
        <v>85</v>
      </c>
      <c r="N498" s="18">
        <v>46269</v>
      </c>
      <c r="O498" s="7" t="s">
        <v>573</v>
      </c>
      <c r="P498" s="13">
        <v>1000</v>
      </c>
      <c r="Q498" s="12">
        <v>639360.64</v>
      </c>
      <c r="R498" s="7" t="s">
        <v>1371</v>
      </c>
    </row>
    <row r="499" spans="1:18">
      <c r="A499" s="7" t="s">
        <v>606</v>
      </c>
      <c r="B499" s="7" t="s">
        <v>607</v>
      </c>
      <c r="C499" s="7" t="s">
        <v>569</v>
      </c>
      <c r="D499" s="7" t="s">
        <v>622</v>
      </c>
      <c r="E499" s="7">
        <v>1219000544</v>
      </c>
      <c r="F499" s="7" t="s">
        <v>828</v>
      </c>
      <c r="G499" s="7" t="s">
        <v>333</v>
      </c>
      <c r="H499" s="7" t="s">
        <v>424</v>
      </c>
      <c r="I499" s="7" t="s">
        <v>2364</v>
      </c>
      <c r="J499" s="7" t="s">
        <v>2365</v>
      </c>
      <c r="K499" s="7">
        <v>1211080293</v>
      </c>
      <c r="L499" s="7" t="s">
        <v>85</v>
      </c>
      <c r="M499" s="7" t="s">
        <v>85</v>
      </c>
      <c r="N499" s="18">
        <v>46272</v>
      </c>
      <c r="O499" s="7" t="s">
        <v>573</v>
      </c>
      <c r="P499" s="13">
        <v>1</v>
      </c>
      <c r="Q499" s="12">
        <v>6000</v>
      </c>
      <c r="R499" s="7" t="s">
        <v>1371</v>
      </c>
    </row>
    <row r="500" spans="1:18">
      <c r="A500" s="7" t="s">
        <v>606</v>
      </c>
      <c r="B500" s="7" t="s">
        <v>607</v>
      </c>
      <c r="C500" s="7" t="s">
        <v>569</v>
      </c>
      <c r="D500" s="7" t="s">
        <v>599</v>
      </c>
      <c r="E500" s="7">
        <v>1219000546</v>
      </c>
      <c r="F500" s="7" t="s">
        <v>828</v>
      </c>
      <c r="G500" s="7" t="s">
        <v>121</v>
      </c>
      <c r="H500" s="7" t="s">
        <v>357</v>
      </c>
      <c r="I500" s="7" t="s">
        <v>2364</v>
      </c>
      <c r="J500" s="7" t="s">
        <v>2365</v>
      </c>
      <c r="K500" s="7">
        <v>1211080293</v>
      </c>
      <c r="L500" s="7" t="s">
        <v>85</v>
      </c>
      <c r="M500" s="7" t="s">
        <v>85</v>
      </c>
      <c r="N500" s="18">
        <v>46272</v>
      </c>
      <c r="O500" s="7" t="s">
        <v>573</v>
      </c>
      <c r="P500" s="13">
        <v>1</v>
      </c>
      <c r="Q500" s="12">
        <v>6000</v>
      </c>
      <c r="R500" s="7" t="s">
        <v>1371</v>
      </c>
    </row>
    <row r="501" spans="1:18">
      <c r="A501" s="7" t="s">
        <v>742</v>
      </c>
      <c r="B501" s="7" t="s">
        <v>743</v>
      </c>
      <c r="C501" s="7" t="s">
        <v>569</v>
      </c>
      <c r="D501" s="7" t="s">
        <v>600</v>
      </c>
      <c r="E501" s="7">
        <v>1219001017</v>
      </c>
      <c r="F501" s="7" t="s">
        <v>824</v>
      </c>
      <c r="G501" s="7" t="s">
        <v>1697</v>
      </c>
      <c r="H501" s="7" t="s">
        <v>218</v>
      </c>
      <c r="I501" s="7" t="s">
        <v>2366</v>
      </c>
      <c r="J501" s="7" t="s">
        <v>2367</v>
      </c>
      <c r="K501" s="7">
        <v>1211080306</v>
      </c>
      <c r="L501" s="7" t="s">
        <v>85</v>
      </c>
      <c r="M501" s="7" t="s">
        <v>85</v>
      </c>
      <c r="N501" s="18">
        <v>46272</v>
      </c>
      <c r="O501" s="7" t="s">
        <v>573</v>
      </c>
      <c r="P501" s="13">
        <v>100</v>
      </c>
      <c r="Q501" s="12">
        <v>204795.2</v>
      </c>
      <c r="R501" s="7" t="s">
        <v>1371</v>
      </c>
    </row>
    <row r="502" spans="1:18">
      <c r="A502" s="7" t="s">
        <v>659</v>
      </c>
      <c r="B502" s="7" t="s">
        <v>660</v>
      </c>
      <c r="C502" s="7" t="s">
        <v>569</v>
      </c>
      <c r="D502" s="7" t="s">
        <v>658</v>
      </c>
      <c r="E502" s="7">
        <v>1219000799</v>
      </c>
      <c r="F502" s="7" t="s">
        <v>828</v>
      </c>
      <c r="G502" s="7" t="s">
        <v>360</v>
      </c>
      <c r="H502" s="7" t="s">
        <v>332</v>
      </c>
      <c r="I502" s="7" t="s">
        <v>2368</v>
      </c>
      <c r="J502" s="7" t="s">
        <v>2369</v>
      </c>
      <c r="K502" s="7">
        <v>1211080307</v>
      </c>
      <c r="L502" s="7" t="s">
        <v>85</v>
      </c>
      <c r="M502" s="7" t="s">
        <v>85</v>
      </c>
      <c r="N502" s="18">
        <v>46272</v>
      </c>
      <c r="O502" s="7" t="s">
        <v>573</v>
      </c>
      <c r="P502" s="13">
        <v>15000</v>
      </c>
      <c r="Q502" s="12">
        <v>719280.72</v>
      </c>
      <c r="R502" s="7" t="s">
        <v>1371</v>
      </c>
    </row>
    <row r="503" spans="1:18">
      <c r="A503" s="7" t="s">
        <v>793</v>
      </c>
      <c r="B503" s="7" t="s">
        <v>794</v>
      </c>
      <c r="C503" s="7" t="s">
        <v>569</v>
      </c>
      <c r="D503" s="7" t="s">
        <v>577</v>
      </c>
      <c r="E503" s="7">
        <v>1219000754</v>
      </c>
      <c r="F503" s="7" t="s">
        <v>824</v>
      </c>
      <c r="G503" s="7" t="s">
        <v>1693</v>
      </c>
      <c r="H503" s="7" t="s">
        <v>139</v>
      </c>
      <c r="I503" s="7" t="s">
        <v>2370</v>
      </c>
      <c r="J503" s="7" t="s">
        <v>2371</v>
      </c>
      <c r="K503" s="7">
        <v>1211080308</v>
      </c>
      <c r="L503" s="7" t="s">
        <v>85</v>
      </c>
      <c r="M503" s="7" t="s">
        <v>85</v>
      </c>
      <c r="N503" s="18">
        <v>46272</v>
      </c>
      <c r="O503" s="7" t="s">
        <v>573</v>
      </c>
      <c r="P503" s="13">
        <v>500</v>
      </c>
      <c r="Q503" s="12">
        <v>499500.5</v>
      </c>
      <c r="R503" s="7" t="s">
        <v>1371</v>
      </c>
    </row>
    <row r="504" spans="1:18">
      <c r="A504" s="7" t="s">
        <v>2372</v>
      </c>
      <c r="B504" s="7" t="s">
        <v>750</v>
      </c>
      <c r="C504" s="7" t="s">
        <v>569</v>
      </c>
      <c r="D504" s="7" t="s">
        <v>600</v>
      </c>
      <c r="E504" s="7">
        <v>1219001017</v>
      </c>
      <c r="F504" s="7" t="s">
        <v>824</v>
      </c>
      <c r="G504" s="7" t="s">
        <v>1697</v>
      </c>
      <c r="H504" s="7" t="s">
        <v>218</v>
      </c>
      <c r="I504" s="7" t="s">
        <v>2373</v>
      </c>
      <c r="J504" s="7" t="s">
        <v>2374</v>
      </c>
      <c r="K504" s="7">
        <v>1211080375</v>
      </c>
      <c r="L504" s="7" t="s">
        <v>85</v>
      </c>
      <c r="M504" s="7" t="s">
        <v>85</v>
      </c>
      <c r="N504" s="18">
        <v>46273</v>
      </c>
      <c r="O504" s="7" t="s">
        <v>573</v>
      </c>
      <c r="P504" s="13">
        <v>200</v>
      </c>
      <c r="Q504" s="12">
        <v>426200</v>
      </c>
      <c r="R504" s="7" t="s">
        <v>1371</v>
      </c>
    </row>
    <row r="505" spans="1:18">
      <c r="A505" s="7" t="s">
        <v>2375</v>
      </c>
      <c r="B505" s="7" t="s">
        <v>2376</v>
      </c>
      <c r="C505" s="7" t="s">
        <v>569</v>
      </c>
      <c r="D505" s="7" t="s">
        <v>577</v>
      </c>
      <c r="E505" s="7">
        <v>1219000754</v>
      </c>
      <c r="F505" s="7" t="s">
        <v>824</v>
      </c>
      <c r="G505" s="7" t="s">
        <v>1411</v>
      </c>
      <c r="H505" s="7" t="s">
        <v>139</v>
      </c>
      <c r="I505" s="7" t="s">
        <v>2377</v>
      </c>
      <c r="J505" s="7" t="s">
        <v>2378</v>
      </c>
      <c r="K505" s="7">
        <v>1211080544</v>
      </c>
      <c r="L505" s="7" t="s">
        <v>85</v>
      </c>
      <c r="M505" s="7" t="s">
        <v>85</v>
      </c>
      <c r="N505" s="18">
        <v>46274</v>
      </c>
      <c r="O505" s="7" t="s">
        <v>573</v>
      </c>
      <c r="P505" s="13">
        <v>98</v>
      </c>
      <c r="Q505" s="12">
        <v>102797.21</v>
      </c>
      <c r="R505" s="7" t="s">
        <v>1371</v>
      </c>
    </row>
    <row r="506" spans="1:18">
      <c r="A506" s="7" t="s">
        <v>2375</v>
      </c>
      <c r="B506" s="7" t="s">
        <v>2376</v>
      </c>
      <c r="C506" s="7" t="s">
        <v>569</v>
      </c>
      <c r="D506" s="7" t="s">
        <v>577</v>
      </c>
      <c r="E506" s="7">
        <v>1219000754</v>
      </c>
      <c r="F506" s="7" t="s">
        <v>824</v>
      </c>
      <c r="G506" s="7" t="s">
        <v>1693</v>
      </c>
      <c r="H506" s="7" t="s">
        <v>139</v>
      </c>
      <c r="I506" s="7" t="s">
        <v>2377</v>
      </c>
      <c r="J506" s="7" t="s">
        <v>2378</v>
      </c>
      <c r="K506" s="7">
        <v>1211080544</v>
      </c>
      <c r="L506" s="7" t="s">
        <v>85</v>
      </c>
      <c r="M506" s="7" t="s">
        <v>85</v>
      </c>
      <c r="N506" s="18">
        <v>46274</v>
      </c>
      <c r="O506" s="7" t="s">
        <v>573</v>
      </c>
      <c r="P506" s="13">
        <v>1902</v>
      </c>
      <c r="Q506" s="12">
        <v>1995104.89</v>
      </c>
      <c r="R506" s="7" t="s">
        <v>1371</v>
      </c>
    </row>
    <row r="507" spans="1:18">
      <c r="A507" s="7" t="s">
        <v>726</v>
      </c>
      <c r="B507" s="7" t="s">
        <v>727</v>
      </c>
      <c r="C507" s="7" t="s">
        <v>569</v>
      </c>
      <c r="D507" s="7" t="s">
        <v>600</v>
      </c>
      <c r="E507" s="7">
        <v>1219001017</v>
      </c>
      <c r="F507" s="7" t="s">
        <v>824</v>
      </c>
      <c r="G507" s="7" t="s">
        <v>1697</v>
      </c>
      <c r="H507" s="7" t="s">
        <v>218</v>
      </c>
      <c r="I507" s="7" t="s">
        <v>2379</v>
      </c>
      <c r="J507" s="7" t="s">
        <v>2380</v>
      </c>
      <c r="K507" s="7">
        <v>1211080545</v>
      </c>
      <c r="L507" s="7" t="s">
        <v>85</v>
      </c>
      <c r="M507" s="7" t="s">
        <v>85</v>
      </c>
      <c r="N507" s="18">
        <v>46274</v>
      </c>
      <c r="O507" s="7" t="s">
        <v>573</v>
      </c>
      <c r="P507" s="13">
        <v>357</v>
      </c>
      <c r="Q507" s="12">
        <v>747233.77</v>
      </c>
      <c r="R507" s="7" t="s">
        <v>1371</v>
      </c>
    </row>
    <row r="508" spans="1:18">
      <c r="A508" s="7" t="s">
        <v>2381</v>
      </c>
      <c r="B508" s="7" t="s">
        <v>781</v>
      </c>
      <c r="C508" s="7" t="s">
        <v>1487</v>
      </c>
      <c r="D508" s="7" t="s">
        <v>577</v>
      </c>
      <c r="E508" s="7">
        <v>1219000754</v>
      </c>
      <c r="F508" s="7" t="s">
        <v>824</v>
      </c>
      <c r="G508" s="7" t="s">
        <v>1693</v>
      </c>
      <c r="H508" s="7" t="s">
        <v>139</v>
      </c>
      <c r="I508" s="7" t="s">
        <v>2382</v>
      </c>
      <c r="J508" s="7" t="s">
        <v>2383</v>
      </c>
      <c r="K508" s="7">
        <v>1211080548</v>
      </c>
      <c r="L508" s="7" t="s">
        <v>85</v>
      </c>
      <c r="M508" s="7" t="s">
        <v>85</v>
      </c>
      <c r="N508" s="18">
        <v>46275</v>
      </c>
      <c r="O508" s="7" t="s">
        <v>573</v>
      </c>
      <c r="P508" s="13">
        <v>5400</v>
      </c>
      <c r="Q508" s="12">
        <v>6237000</v>
      </c>
      <c r="R508" s="7" t="s">
        <v>1371</v>
      </c>
    </row>
    <row r="509" spans="1:18">
      <c r="A509" s="7" t="s">
        <v>2381</v>
      </c>
      <c r="B509" s="7" t="s">
        <v>781</v>
      </c>
      <c r="C509" s="7" t="s">
        <v>1487</v>
      </c>
      <c r="D509" s="7" t="s">
        <v>619</v>
      </c>
      <c r="E509" s="7">
        <v>1219000753</v>
      </c>
      <c r="F509" s="7" t="s">
        <v>824</v>
      </c>
      <c r="G509" s="7" t="s">
        <v>1579</v>
      </c>
      <c r="H509" s="7" t="s">
        <v>78</v>
      </c>
      <c r="I509" s="7" t="s">
        <v>2382</v>
      </c>
      <c r="J509" s="7" t="s">
        <v>2383</v>
      </c>
      <c r="K509" s="7">
        <v>1211080548</v>
      </c>
      <c r="L509" s="7" t="s">
        <v>85</v>
      </c>
      <c r="M509" s="7" t="s">
        <v>85</v>
      </c>
      <c r="N509" s="18">
        <v>46275</v>
      </c>
      <c r="O509" s="7" t="s">
        <v>573</v>
      </c>
      <c r="P509" s="13">
        <v>600</v>
      </c>
      <c r="Q509" s="12">
        <v>693000</v>
      </c>
      <c r="R509" s="7" t="s">
        <v>1371</v>
      </c>
    </row>
    <row r="510" spans="1:18">
      <c r="A510" s="7" t="s">
        <v>2381</v>
      </c>
      <c r="B510" s="7" t="s">
        <v>781</v>
      </c>
      <c r="C510" s="7" t="s">
        <v>1487</v>
      </c>
      <c r="D510" s="7" t="s">
        <v>706</v>
      </c>
      <c r="E510" s="7">
        <v>1219000752</v>
      </c>
      <c r="F510" s="7" t="s">
        <v>824</v>
      </c>
      <c r="G510" s="7" t="s">
        <v>747</v>
      </c>
      <c r="H510" s="7" t="s">
        <v>151</v>
      </c>
      <c r="I510" s="7" t="s">
        <v>2382</v>
      </c>
      <c r="J510" s="7" t="s">
        <v>2383</v>
      </c>
      <c r="K510" s="7">
        <v>1211080548</v>
      </c>
      <c r="L510" s="7" t="s">
        <v>85</v>
      </c>
      <c r="M510" s="7" t="s">
        <v>85</v>
      </c>
      <c r="N510" s="18">
        <v>46275</v>
      </c>
      <c r="O510" s="7" t="s">
        <v>573</v>
      </c>
      <c r="P510" s="13">
        <v>600</v>
      </c>
      <c r="Q510" s="12">
        <v>693000</v>
      </c>
      <c r="R510" s="7" t="s">
        <v>1371</v>
      </c>
    </row>
    <row r="511" spans="1:18">
      <c r="A511" s="7" t="s">
        <v>608</v>
      </c>
      <c r="B511" s="7" t="s">
        <v>609</v>
      </c>
      <c r="C511" s="7" t="s">
        <v>569</v>
      </c>
      <c r="D511" s="7" t="s">
        <v>710</v>
      </c>
      <c r="E511" s="7">
        <v>1219000512</v>
      </c>
      <c r="F511" s="7" t="s">
        <v>1288</v>
      </c>
      <c r="G511" s="7" t="s">
        <v>711</v>
      </c>
      <c r="H511" s="7" t="s">
        <v>712</v>
      </c>
      <c r="I511" s="7" t="s">
        <v>2384</v>
      </c>
      <c r="J511" s="7" t="s">
        <v>2385</v>
      </c>
      <c r="K511" s="7">
        <v>1211080549</v>
      </c>
      <c r="L511" s="7" t="s">
        <v>85</v>
      </c>
      <c r="M511" s="7" t="s">
        <v>85</v>
      </c>
      <c r="N511" s="18">
        <v>46275</v>
      </c>
      <c r="O511" s="7" t="s">
        <v>573</v>
      </c>
      <c r="P511" s="13">
        <v>12</v>
      </c>
      <c r="Q511" s="12">
        <v>10789.21</v>
      </c>
      <c r="R511" s="7" t="s">
        <v>1371</v>
      </c>
    </row>
    <row r="512" spans="1:18">
      <c r="A512" s="7" t="s">
        <v>2144</v>
      </c>
      <c r="B512" s="7" t="s">
        <v>762</v>
      </c>
      <c r="C512" s="7" t="s">
        <v>1487</v>
      </c>
      <c r="D512" s="7" t="s">
        <v>617</v>
      </c>
      <c r="E512" s="7">
        <v>1219000660</v>
      </c>
      <c r="F512" s="7" t="s">
        <v>1288</v>
      </c>
      <c r="G512" s="7" t="s">
        <v>2281</v>
      </c>
      <c r="H512" s="7" t="s">
        <v>110</v>
      </c>
      <c r="I512" s="7" t="s">
        <v>2386</v>
      </c>
      <c r="J512" s="7" t="s">
        <v>2387</v>
      </c>
      <c r="K512" s="7">
        <v>1211080558</v>
      </c>
      <c r="L512" s="7" t="s">
        <v>85</v>
      </c>
      <c r="M512" s="7" t="s">
        <v>85</v>
      </c>
      <c r="N512" s="18">
        <v>46275</v>
      </c>
      <c r="O512" s="7" t="s">
        <v>573</v>
      </c>
      <c r="P512" s="13">
        <v>2500</v>
      </c>
      <c r="Q512" s="12">
        <v>300000</v>
      </c>
      <c r="R512" s="7" t="s">
        <v>1371</v>
      </c>
    </row>
    <row r="513" spans="1:18">
      <c r="A513" s="7" t="s">
        <v>2144</v>
      </c>
      <c r="B513" s="7" t="s">
        <v>762</v>
      </c>
      <c r="C513" s="7" t="s">
        <v>1487</v>
      </c>
      <c r="D513" s="7" t="s">
        <v>2145</v>
      </c>
      <c r="E513" s="7">
        <v>1219000744</v>
      </c>
      <c r="F513" s="7" t="s">
        <v>1288</v>
      </c>
      <c r="G513" s="7" t="s">
        <v>2146</v>
      </c>
      <c r="H513" s="7" t="s">
        <v>666</v>
      </c>
      <c r="I513" s="7" t="s">
        <v>2386</v>
      </c>
      <c r="J513" s="7" t="s">
        <v>2387</v>
      </c>
      <c r="K513" s="7">
        <v>1211080558</v>
      </c>
      <c r="L513" s="7" t="s">
        <v>85</v>
      </c>
      <c r="M513" s="7" t="s">
        <v>85</v>
      </c>
      <c r="N513" s="18">
        <v>46275</v>
      </c>
      <c r="O513" s="7" t="s">
        <v>573</v>
      </c>
      <c r="P513" s="13">
        <v>2500</v>
      </c>
      <c r="Q513" s="12">
        <v>1050000</v>
      </c>
      <c r="R513" s="7" t="s">
        <v>1371</v>
      </c>
    </row>
    <row r="514" spans="1:18">
      <c r="A514" s="7" t="s">
        <v>638</v>
      </c>
      <c r="B514" s="7" t="s">
        <v>607</v>
      </c>
      <c r="C514" s="7" t="s">
        <v>569</v>
      </c>
      <c r="D514" s="7" t="s">
        <v>643</v>
      </c>
      <c r="E514" s="7">
        <v>1219000825</v>
      </c>
      <c r="F514" s="7" t="s">
        <v>828</v>
      </c>
      <c r="G514" s="7" t="s">
        <v>675</v>
      </c>
      <c r="H514" s="7" t="s">
        <v>645</v>
      </c>
      <c r="I514" s="7" t="s">
        <v>2388</v>
      </c>
      <c r="J514" s="7" t="s">
        <v>2389</v>
      </c>
      <c r="K514" s="7">
        <v>1211080559</v>
      </c>
      <c r="L514" s="7" t="s">
        <v>85</v>
      </c>
      <c r="M514" s="7" t="s">
        <v>85</v>
      </c>
      <c r="N514" s="18">
        <v>46275</v>
      </c>
      <c r="O514" s="7" t="s">
        <v>573</v>
      </c>
      <c r="P514" s="13">
        <v>30</v>
      </c>
      <c r="Q514" s="12">
        <v>141000</v>
      </c>
      <c r="R514" s="7" t="s">
        <v>1371</v>
      </c>
    </row>
    <row r="515" spans="1:18">
      <c r="A515" s="7" t="s">
        <v>638</v>
      </c>
      <c r="B515" s="7" t="s">
        <v>607</v>
      </c>
      <c r="C515" s="7" t="s">
        <v>569</v>
      </c>
      <c r="D515" s="7" t="s">
        <v>678</v>
      </c>
      <c r="E515" s="7">
        <v>1219000826</v>
      </c>
      <c r="F515" s="7" t="s">
        <v>828</v>
      </c>
      <c r="G515" s="7" t="s">
        <v>675</v>
      </c>
      <c r="H515" s="7" t="s">
        <v>679</v>
      </c>
      <c r="I515" s="7" t="s">
        <v>2388</v>
      </c>
      <c r="J515" s="7" t="s">
        <v>2389</v>
      </c>
      <c r="K515" s="7">
        <v>1211080559</v>
      </c>
      <c r="L515" s="7" t="s">
        <v>85</v>
      </c>
      <c r="M515" s="7" t="s">
        <v>85</v>
      </c>
      <c r="N515" s="18">
        <v>46275</v>
      </c>
      <c r="O515" s="7" t="s">
        <v>573</v>
      </c>
      <c r="P515" s="13">
        <v>8</v>
      </c>
      <c r="Q515" s="12">
        <v>50400</v>
      </c>
      <c r="R515" s="7" t="s">
        <v>1371</v>
      </c>
    </row>
    <row r="516" spans="1:18">
      <c r="A516" s="7" t="s">
        <v>606</v>
      </c>
      <c r="B516" s="7" t="s">
        <v>607</v>
      </c>
      <c r="C516" s="7" t="s">
        <v>569</v>
      </c>
      <c r="D516" s="7" t="s">
        <v>664</v>
      </c>
      <c r="E516" s="7">
        <v>1219000550</v>
      </c>
      <c r="F516" s="7" t="s">
        <v>828</v>
      </c>
      <c r="G516" s="7" t="s">
        <v>359</v>
      </c>
      <c r="H516" s="7" t="s">
        <v>358</v>
      </c>
      <c r="I516" s="7" t="s">
        <v>2390</v>
      </c>
      <c r="J516" s="7" t="s">
        <v>2391</v>
      </c>
      <c r="K516" s="7">
        <v>1211080564</v>
      </c>
      <c r="L516" s="7" t="s">
        <v>85</v>
      </c>
      <c r="M516" s="7" t="s">
        <v>85</v>
      </c>
      <c r="N516" s="18">
        <v>46276</v>
      </c>
      <c r="O516" s="7" t="s">
        <v>573</v>
      </c>
      <c r="P516" s="13">
        <v>16</v>
      </c>
      <c r="Q516" s="12">
        <v>96000</v>
      </c>
      <c r="R516" s="7" t="s">
        <v>1371</v>
      </c>
    </row>
    <row r="517" spans="1:18">
      <c r="A517" s="7" t="s">
        <v>2085</v>
      </c>
      <c r="B517" s="7" t="s">
        <v>583</v>
      </c>
      <c r="C517" s="7" t="s">
        <v>569</v>
      </c>
      <c r="D517" s="7" t="s">
        <v>581</v>
      </c>
      <c r="E517" s="7">
        <v>1219000509</v>
      </c>
      <c r="F517" s="7" t="s">
        <v>1288</v>
      </c>
      <c r="G517" s="7" t="s">
        <v>1447</v>
      </c>
      <c r="H517" s="7" t="s">
        <v>171</v>
      </c>
      <c r="I517" s="7" t="s">
        <v>2392</v>
      </c>
      <c r="J517" s="7" t="s">
        <v>2393</v>
      </c>
      <c r="K517" s="7">
        <v>1211080566</v>
      </c>
      <c r="L517" s="7" t="s">
        <v>85</v>
      </c>
      <c r="M517" s="7" t="s">
        <v>85</v>
      </c>
      <c r="N517" s="18">
        <v>46276</v>
      </c>
      <c r="O517" s="7" t="s">
        <v>573</v>
      </c>
      <c r="P517" s="13">
        <v>1500</v>
      </c>
      <c r="Q517" s="12">
        <v>352147.85</v>
      </c>
      <c r="R517" s="7" t="s">
        <v>1371</v>
      </c>
    </row>
    <row r="518" spans="1:18">
      <c r="A518" s="7" t="s">
        <v>2085</v>
      </c>
      <c r="B518" s="7" t="s">
        <v>583</v>
      </c>
      <c r="C518" s="7" t="s">
        <v>569</v>
      </c>
      <c r="D518" s="7" t="s">
        <v>2145</v>
      </c>
      <c r="E518" s="7">
        <v>1219000744</v>
      </c>
      <c r="F518" s="7" t="s">
        <v>1288</v>
      </c>
      <c r="G518" s="7" t="s">
        <v>2146</v>
      </c>
      <c r="H518" s="7" t="s">
        <v>666</v>
      </c>
      <c r="I518" s="7" t="s">
        <v>2392</v>
      </c>
      <c r="J518" s="7" t="s">
        <v>2393</v>
      </c>
      <c r="K518" s="7">
        <v>1211080566</v>
      </c>
      <c r="L518" s="7" t="s">
        <v>85</v>
      </c>
      <c r="M518" s="7" t="s">
        <v>85</v>
      </c>
      <c r="N518" s="18">
        <v>46276</v>
      </c>
      <c r="O518" s="7" t="s">
        <v>573</v>
      </c>
      <c r="P518" s="13">
        <v>1000</v>
      </c>
      <c r="Q518" s="12">
        <v>279720.28000000003</v>
      </c>
      <c r="R518" s="7" t="s">
        <v>1371</v>
      </c>
    </row>
    <row r="519" spans="1:18">
      <c r="A519" s="7" t="s">
        <v>2085</v>
      </c>
      <c r="B519" s="7" t="s">
        <v>583</v>
      </c>
      <c r="C519" s="7" t="s">
        <v>569</v>
      </c>
      <c r="D519" s="7" t="s">
        <v>774</v>
      </c>
      <c r="E519" s="7">
        <v>1219001022</v>
      </c>
      <c r="F519" s="7" t="s">
        <v>1288</v>
      </c>
      <c r="G519" s="7" t="s">
        <v>265</v>
      </c>
      <c r="H519" s="7" t="s">
        <v>238</v>
      </c>
      <c r="I519" s="7" t="s">
        <v>2392</v>
      </c>
      <c r="J519" s="7" t="s">
        <v>2393</v>
      </c>
      <c r="K519" s="7">
        <v>1211080566</v>
      </c>
      <c r="L519" s="7" t="s">
        <v>85</v>
      </c>
      <c r="M519" s="7" t="s">
        <v>85</v>
      </c>
      <c r="N519" s="18">
        <v>46276</v>
      </c>
      <c r="O519" s="7" t="s">
        <v>573</v>
      </c>
      <c r="P519" s="13">
        <v>1500</v>
      </c>
      <c r="Q519" s="12">
        <v>67432.570000000007</v>
      </c>
      <c r="R519" s="7" t="s">
        <v>1371</v>
      </c>
    </row>
    <row r="520" spans="1:18">
      <c r="A520" s="7" t="s">
        <v>610</v>
      </c>
      <c r="B520" s="7" t="s">
        <v>611</v>
      </c>
      <c r="C520" s="7" t="s">
        <v>569</v>
      </c>
      <c r="D520" s="7" t="s">
        <v>617</v>
      </c>
      <c r="E520" s="7">
        <v>1219000660</v>
      </c>
      <c r="F520" s="7" t="s">
        <v>1288</v>
      </c>
      <c r="G520" s="7" t="s">
        <v>2281</v>
      </c>
      <c r="H520" s="7" t="s">
        <v>110</v>
      </c>
      <c r="I520" s="7" t="s">
        <v>2394</v>
      </c>
      <c r="J520" s="7" t="s">
        <v>2395</v>
      </c>
      <c r="K520" s="7">
        <v>1211080679</v>
      </c>
      <c r="L520" s="7" t="s">
        <v>85</v>
      </c>
      <c r="M520" s="7" t="s">
        <v>85</v>
      </c>
      <c r="N520" s="18">
        <v>46276</v>
      </c>
      <c r="O520" s="7" t="s">
        <v>573</v>
      </c>
      <c r="P520" s="13">
        <v>1000</v>
      </c>
      <c r="Q520" s="12">
        <v>118881.12</v>
      </c>
      <c r="R520" s="7" t="s">
        <v>1371</v>
      </c>
    </row>
    <row r="521" spans="1:18">
      <c r="A521" s="7" t="s">
        <v>610</v>
      </c>
      <c r="B521" s="7" t="s">
        <v>611</v>
      </c>
      <c r="C521" s="7" t="s">
        <v>569</v>
      </c>
      <c r="D521" s="7" t="s">
        <v>582</v>
      </c>
      <c r="E521" s="7">
        <v>1219000780</v>
      </c>
      <c r="F521" s="7" t="s">
        <v>1288</v>
      </c>
      <c r="G521" s="7" t="s">
        <v>269</v>
      </c>
      <c r="H521" s="7" t="s">
        <v>115</v>
      </c>
      <c r="I521" s="7" t="s">
        <v>2394</v>
      </c>
      <c r="J521" s="7" t="s">
        <v>2395</v>
      </c>
      <c r="K521" s="7">
        <v>1211080679</v>
      </c>
      <c r="L521" s="7" t="s">
        <v>85</v>
      </c>
      <c r="M521" s="7" t="s">
        <v>85</v>
      </c>
      <c r="N521" s="18">
        <v>46276</v>
      </c>
      <c r="O521" s="7" t="s">
        <v>573</v>
      </c>
      <c r="P521" s="13">
        <v>1000</v>
      </c>
      <c r="Q521" s="12">
        <v>639360.64</v>
      </c>
      <c r="R521" s="7" t="s">
        <v>1371</v>
      </c>
    </row>
    <row r="522" spans="1:18">
      <c r="A522" s="7" t="s">
        <v>2396</v>
      </c>
      <c r="B522" s="7" t="s">
        <v>2397</v>
      </c>
      <c r="C522" s="7" t="s">
        <v>569</v>
      </c>
      <c r="D522" s="7" t="s">
        <v>577</v>
      </c>
      <c r="E522" s="7">
        <v>1219000754</v>
      </c>
      <c r="F522" s="7" t="s">
        <v>824</v>
      </c>
      <c r="G522" s="7" t="s">
        <v>1693</v>
      </c>
      <c r="H522" s="7" t="s">
        <v>139</v>
      </c>
      <c r="I522" s="7" t="s">
        <v>2398</v>
      </c>
      <c r="J522" s="7" t="s">
        <v>2399</v>
      </c>
      <c r="K522" s="7">
        <v>1211080680</v>
      </c>
      <c r="L522" s="7" t="s">
        <v>85</v>
      </c>
      <c r="M522" s="7" t="s">
        <v>85</v>
      </c>
      <c r="N522" s="18">
        <v>46276</v>
      </c>
      <c r="O522" s="7" t="s">
        <v>573</v>
      </c>
      <c r="P522" s="13">
        <v>192</v>
      </c>
      <c r="Q522" s="12">
        <v>201600</v>
      </c>
      <c r="R522" s="7" t="s">
        <v>1371</v>
      </c>
    </row>
    <row r="523" spans="1:18">
      <c r="A523" s="7" t="s">
        <v>2144</v>
      </c>
      <c r="B523" s="7" t="s">
        <v>762</v>
      </c>
      <c r="C523" s="7" t="s">
        <v>1487</v>
      </c>
      <c r="D523" s="7" t="s">
        <v>2145</v>
      </c>
      <c r="E523" s="7">
        <v>1219000744</v>
      </c>
      <c r="F523" s="7" t="s">
        <v>1288</v>
      </c>
      <c r="G523" s="7" t="s">
        <v>2146</v>
      </c>
      <c r="H523" s="7" t="s">
        <v>666</v>
      </c>
      <c r="I523" s="7" t="s">
        <v>2400</v>
      </c>
      <c r="J523" s="7" t="s">
        <v>2401</v>
      </c>
      <c r="K523" s="7">
        <v>1213008097</v>
      </c>
      <c r="L523" s="7" t="s">
        <v>85</v>
      </c>
      <c r="M523" s="7" t="s">
        <v>595</v>
      </c>
      <c r="N523" s="18">
        <v>46275</v>
      </c>
      <c r="O523" s="7" t="s">
        <v>596</v>
      </c>
      <c r="P523" s="13">
        <v>-2500</v>
      </c>
      <c r="Q523" s="12">
        <v>-1350000</v>
      </c>
      <c r="R523" s="7" t="s">
        <v>1371</v>
      </c>
    </row>
  </sheetData>
  <autoFilter ref="A1:R5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opLeftCell="F1" workbookViewId="0">
      <pane ySplit="1" topLeftCell="A2" activePane="bottomLeft" state="frozen"/>
      <selection pane="bottomLeft" activeCell="P2" sqref="P2:Q10"/>
    </sheetView>
  </sheetViews>
  <sheetFormatPr defaultRowHeight="14.5"/>
  <cols>
    <col min="1" max="1" width="11.453125" bestFit="1" customWidth="1"/>
    <col min="2" max="2" width="39.08984375" bestFit="1" customWidth="1"/>
    <col min="3" max="3" width="39.08984375" customWidth="1"/>
    <col min="4" max="5" width="10.81640625" bestFit="1" customWidth="1"/>
    <col min="6" max="6" width="3.1796875" bestFit="1" customWidth="1"/>
    <col min="7" max="7" width="8.36328125" bestFit="1" customWidth="1"/>
    <col min="8" max="8" width="28" bestFit="1" customWidth="1"/>
    <col min="9" max="9" width="18.26953125" bestFit="1" customWidth="1"/>
    <col min="10" max="10" width="14" bestFit="1" customWidth="1"/>
    <col min="11" max="11" width="14.90625" bestFit="1" customWidth="1"/>
    <col min="12" max="12" width="16.08984375" bestFit="1" customWidth="1"/>
    <col min="13" max="13" width="7.26953125" bestFit="1" customWidth="1"/>
    <col min="14" max="14" width="10.08984375" bestFit="1" customWidth="1"/>
    <col min="15" max="15" width="10.1796875" bestFit="1" customWidth="1"/>
    <col min="16" max="16" width="8" bestFit="1" customWidth="1"/>
    <col min="17" max="17" width="11.26953125" bestFit="1" customWidth="1"/>
    <col min="18" max="18" width="8.7265625" bestFit="1" customWidth="1"/>
    <col min="19" max="19" width="7.81640625" bestFit="1" customWidth="1"/>
    <col min="20" max="20" width="42.453125" bestFit="1" customWidth="1"/>
    <col min="21" max="21" width="40.81640625" bestFit="1" customWidth="1"/>
    <col min="22" max="22" width="11.54296875" bestFit="1" customWidth="1"/>
    <col min="23" max="23" width="11.1796875" bestFit="1" customWidth="1"/>
    <col min="24" max="24" width="15.26953125" bestFit="1" customWidth="1"/>
    <col min="25" max="25" width="11.7265625" bestFit="1" customWidth="1"/>
    <col min="26" max="26" width="10" bestFit="1" customWidth="1"/>
    <col min="27" max="27" width="11.1796875" bestFit="1" customWidth="1"/>
    <col min="28" max="28" width="9.81640625" bestFit="1" customWidth="1"/>
    <col min="29" max="30" width="11" bestFit="1" customWidth="1"/>
    <col min="31" max="31" width="12.1796875" bestFit="1" customWidth="1"/>
    <col min="32" max="32" width="10.81640625" bestFit="1" customWidth="1"/>
    <col min="33" max="33" width="11.7265625" bestFit="1" customWidth="1"/>
    <col min="34" max="34" width="10.54296875" bestFit="1" customWidth="1"/>
    <col min="35" max="35" width="11.7265625" bestFit="1" customWidth="1"/>
    <col min="36" max="36" width="12.453125" bestFit="1" customWidth="1"/>
    <col min="37" max="37" width="10" bestFit="1" customWidth="1"/>
    <col min="38" max="39" width="11" bestFit="1" customWidth="1"/>
    <col min="40" max="40" width="11.54296875" bestFit="1" customWidth="1"/>
    <col min="41" max="41" width="10" bestFit="1" customWidth="1"/>
    <col min="42" max="42" width="11.7265625" bestFit="1" customWidth="1"/>
    <col min="43" max="43" width="12.26953125" bestFit="1" customWidth="1"/>
    <col min="44" max="44" width="10.81640625" bestFit="1" customWidth="1"/>
    <col min="45" max="45" width="11.54296875" bestFit="1" customWidth="1"/>
    <col min="46" max="46" width="11" bestFit="1" customWidth="1"/>
    <col min="47" max="47" width="12.26953125" bestFit="1" customWidth="1"/>
    <col min="48" max="48" width="11.54296875" bestFit="1" customWidth="1"/>
    <col min="49" max="49" width="8.1796875" bestFit="1" customWidth="1"/>
    <col min="50" max="50" width="5.1796875" bestFit="1" customWidth="1"/>
    <col min="51" max="51" width="16" bestFit="1" customWidth="1"/>
    <col min="52" max="52" width="13.1796875" bestFit="1" customWidth="1"/>
    <col min="53" max="53" width="10.1796875" bestFit="1" customWidth="1"/>
    <col min="54" max="54" width="12.453125" bestFit="1" customWidth="1"/>
    <col min="55" max="55" width="12.26953125" bestFit="1" customWidth="1"/>
    <col min="56" max="56" width="22.1796875" bestFit="1" customWidth="1"/>
    <col min="57" max="57" width="11.453125" bestFit="1" customWidth="1"/>
    <col min="58" max="80" width="11.54296875" bestFit="1" customWidth="1"/>
    <col min="81" max="81" width="12.54296875" bestFit="1" customWidth="1"/>
    <col min="82" max="82" width="11.54296875" bestFit="1" customWidth="1"/>
    <col min="83" max="83" width="12.54296875" bestFit="1" customWidth="1"/>
    <col min="84" max="84" width="11.54296875" bestFit="1" customWidth="1"/>
    <col min="85" max="85" width="12.54296875" bestFit="1" customWidth="1"/>
    <col min="86" max="98" width="11.54296875" bestFit="1" customWidth="1"/>
    <col min="99" max="99" width="15.26953125" bestFit="1" customWidth="1"/>
    <col min="100" max="100" width="13.453125" bestFit="1" customWidth="1"/>
    <col min="101" max="104" width="11.54296875" bestFit="1" customWidth="1"/>
    <col min="105" max="105" width="17.81640625" bestFit="1" customWidth="1"/>
    <col min="106" max="106" width="12.1796875" bestFit="1" customWidth="1"/>
    <col min="107" max="109" width="13.81640625" bestFit="1" customWidth="1"/>
    <col min="110" max="111" width="17" bestFit="1" customWidth="1"/>
    <col min="112" max="112" width="11.7265625" bestFit="1" customWidth="1"/>
    <col min="113" max="113" width="11.1796875" bestFit="1" customWidth="1"/>
    <col min="114" max="114" width="11.26953125" bestFit="1" customWidth="1"/>
    <col min="115" max="115" width="11.1796875" bestFit="1" customWidth="1"/>
    <col min="116" max="117" width="10" bestFit="1" customWidth="1"/>
    <col min="118" max="118" width="11.7265625" bestFit="1" customWidth="1"/>
    <col min="119" max="119" width="10.1796875" bestFit="1" customWidth="1"/>
    <col min="120" max="120" width="10.26953125" bestFit="1" customWidth="1"/>
    <col min="121" max="121" width="11.26953125" bestFit="1" customWidth="1"/>
    <col min="122" max="122" width="10.7265625" bestFit="1" customWidth="1"/>
    <col min="123" max="123" width="11.7265625" bestFit="1" customWidth="1"/>
    <col min="124" max="125" width="11" bestFit="1" customWidth="1"/>
    <col min="126" max="126" width="11.26953125" bestFit="1" customWidth="1"/>
    <col min="127" max="127" width="10.7265625" bestFit="1" customWidth="1"/>
    <col min="128" max="128" width="11.26953125" bestFit="1" customWidth="1"/>
    <col min="129" max="129" width="10.453125" bestFit="1" customWidth="1"/>
    <col min="130" max="130" width="10.54296875" bestFit="1" customWidth="1"/>
    <col min="131" max="131" width="10.7265625" bestFit="1" customWidth="1"/>
    <col min="132" max="132" width="11.26953125" bestFit="1" customWidth="1"/>
    <col min="133" max="133" width="11.54296875" bestFit="1" customWidth="1"/>
    <col min="134" max="134" width="12.1796875" bestFit="1" customWidth="1"/>
    <col min="135" max="136" width="11.7265625" bestFit="1" customWidth="1"/>
    <col min="137" max="137" width="11" bestFit="1" customWidth="1"/>
    <col min="138" max="138" width="11.7265625" bestFit="1" customWidth="1"/>
    <col min="139" max="139" width="10.81640625" bestFit="1" customWidth="1"/>
    <col min="140" max="140" width="11.7265625" bestFit="1" customWidth="1"/>
    <col min="141" max="141" width="11.54296875" bestFit="1" customWidth="1"/>
    <col min="142" max="142" width="11" bestFit="1" customWidth="1"/>
    <col min="143" max="143" width="10.7265625" bestFit="1" customWidth="1"/>
    <col min="144" max="150" width="10.81640625" bestFit="1" customWidth="1"/>
    <col min="151" max="151" width="11.1796875" bestFit="1" customWidth="1"/>
    <col min="152" max="152" width="11.453125" bestFit="1" customWidth="1"/>
    <col min="153" max="153" width="10.7265625" bestFit="1" customWidth="1"/>
    <col min="154" max="154" width="11.7265625" bestFit="1" customWidth="1"/>
    <col min="155" max="155" width="12.453125" bestFit="1" customWidth="1"/>
    <col min="156" max="157" width="10.1796875" bestFit="1" customWidth="1"/>
    <col min="158" max="158" width="10.26953125" bestFit="1" customWidth="1"/>
    <col min="159" max="159" width="10.453125" bestFit="1" customWidth="1"/>
    <col min="160" max="160" width="14.453125" bestFit="1" customWidth="1"/>
    <col min="161" max="161" width="12.81640625" bestFit="1" customWidth="1"/>
    <col min="162" max="166" width="8.453125" bestFit="1" customWidth="1"/>
    <col min="167" max="167" width="39.7265625" bestFit="1" customWidth="1"/>
    <col min="168" max="169" width="7.7265625" bestFit="1" customWidth="1"/>
    <col min="170" max="170" width="10.81640625" bestFit="1" customWidth="1"/>
    <col min="171" max="171" width="16.7265625" bestFit="1" customWidth="1"/>
    <col min="172" max="172" width="13.26953125" bestFit="1" customWidth="1"/>
    <col min="173" max="173" width="7.1796875" bestFit="1" customWidth="1"/>
    <col min="174" max="174" width="16.26953125" bestFit="1" customWidth="1"/>
    <col min="175" max="175" width="13.54296875" bestFit="1" customWidth="1"/>
    <col min="176" max="176" width="17.26953125" bestFit="1" customWidth="1"/>
    <col min="177" max="177" width="14.81640625" bestFit="1" customWidth="1"/>
    <col min="178" max="179" width="11.1796875" bestFit="1" customWidth="1"/>
    <col min="180" max="180" width="12" bestFit="1" customWidth="1"/>
    <col min="181" max="181" width="8" bestFit="1" customWidth="1"/>
    <col min="182" max="182" width="7.81640625" bestFit="1" customWidth="1"/>
    <col min="183" max="183" width="8.81640625" bestFit="1" customWidth="1"/>
    <col min="184" max="184" width="14.54296875" bestFit="1" customWidth="1"/>
    <col min="185" max="186" width="23.7265625" bestFit="1" customWidth="1"/>
  </cols>
  <sheetData>
    <row r="1" spans="1:18" ht="29">
      <c r="A1" s="1" t="s">
        <v>557</v>
      </c>
      <c r="B1" s="1" t="s">
        <v>558</v>
      </c>
      <c r="C1" s="1" t="s">
        <v>559</v>
      </c>
      <c r="D1" s="1" t="s">
        <v>9</v>
      </c>
      <c r="E1" s="1" t="s">
        <v>9</v>
      </c>
      <c r="F1" s="1" t="s">
        <v>10</v>
      </c>
      <c r="G1" s="1" t="s">
        <v>14</v>
      </c>
      <c r="H1" s="1" t="s">
        <v>11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  <c r="O1" s="1" t="s">
        <v>568</v>
      </c>
      <c r="P1" s="2" t="s">
        <v>566</v>
      </c>
      <c r="Q1" s="1" t="s">
        <v>567</v>
      </c>
      <c r="R1" s="1" t="s">
        <v>1395</v>
      </c>
    </row>
    <row r="2" spans="1:18">
      <c r="A2" s="7" t="s">
        <v>811</v>
      </c>
      <c r="B2" s="7" t="s">
        <v>812</v>
      </c>
      <c r="C2" s="7" t="s">
        <v>1487</v>
      </c>
      <c r="D2" s="7" t="s">
        <v>367</v>
      </c>
      <c r="E2" s="165" t="s">
        <v>367</v>
      </c>
      <c r="F2" s="7" t="s">
        <v>828</v>
      </c>
      <c r="G2" s="7" t="s">
        <v>1680</v>
      </c>
      <c r="H2" s="10" t="s">
        <v>368</v>
      </c>
      <c r="I2" s="7" t="s">
        <v>2402</v>
      </c>
      <c r="J2" s="7" t="s">
        <v>2403</v>
      </c>
      <c r="K2" s="7">
        <v>1015140700</v>
      </c>
      <c r="L2" s="7"/>
      <c r="M2" s="7"/>
      <c r="N2" s="18">
        <v>46262</v>
      </c>
      <c r="O2" s="7" t="s">
        <v>825</v>
      </c>
      <c r="P2" s="13">
        <v>5000</v>
      </c>
      <c r="Q2" s="12">
        <v>462750</v>
      </c>
      <c r="R2" s="7" t="s">
        <v>752</v>
      </c>
    </row>
    <row r="3" spans="1:18">
      <c r="A3" s="7" t="s">
        <v>811</v>
      </c>
      <c r="B3" s="7" t="s">
        <v>812</v>
      </c>
      <c r="C3" s="7" t="s">
        <v>1487</v>
      </c>
      <c r="D3" s="7" t="s">
        <v>377</v>
      </c>
      <c r="E3" s="165" t="s">
        <v>377</v>
      </c>
      <c r="F3" s="7" t="s">
        <v>828</v>
      </c>
      <c r="G3" s="7" t="s">
        <v>525</v>
      </c>
      <c r="H3" s="10" t="s">
        <v>125</v>
      </c>
      <c r="I3" s="7" t="s">
        <v>2402</v>
      </c>
      <c r="J3" s="7" t="s">
        <v>2403</v>
      </c>
      <c r="K3" s="7">
        <v>1015140700</v>
      </c>
      <c r="L3" s="7"/>
      <c r="M3" s="7"/>
      <c r="N3" s="18">
        <v>46262</v>
      </c>
      <c r="O3" s="7" t="s">
        <v>825</v>
      </c>
      <c r="P3" s="13">
        <v>74992</v>
      </c>
      <c r="Q3" s="12">
        <v>5881787.7999999998</v>
      </c>
      <c r="R3" s="7" t="s">
        <v>752</v>
      </c>
    </row>
    <row r="4" spans="1:18">
      <c r="A4" s="7" t="s">
        <v>811</v>
      </c>
      <c r="B4" s="7" t="s">
        <v>812</v>
      </c>
      <c r="C4" s="7" t="s">
        <v>1487</v>
      </c>
      <c r="D4" s="7" t="s">
        <v>377</v>
      </c>
      <c r="E4" s="165" t="s">
        <v>377</v>
      </c>
      <c r="F4" s="7" t="s">
        <v>828</v>
      </c>
      <c r="G4" s="7" t="s">
        <v>524</v>
      </c>
      <c r="H4" s="10" t="s">
        <v>125</v>
      </c>
      <c r="I4" s="7" t="s">
        <v>2402</v>
      </c>
      <c r="J4" s="7" t="s">
        <v>2403</v>
      </c>
      <c r="K4" s="7">
        <v>1015140700</v>
      </c>
      <c r="L4" s="7"/>
      <c r="M4" s="7"/>
      <c r="N4" s="18">
        <v>46262</v>
      </c>
      <c r="O4" s="7" t="s">
        <v>825</v>
      </c>
      <c r="P4" s="13">
        <v>25008</v>
      </c>
      <c r="Q4" s="12">
        <v>1961432.54</v>
      </c>
      <c r="R4" s="7" t="s">
        <v>752</v>
      </c>
    </row>
    <row r="5" spans="1:18">
      <c r="A5" s="7" t="s">
        <v>1669</v>
      </c>
      <c r="B5" s="7" t="s">
        <v>1672</v>
      </c>
      <c r="C5" s="7" t="s">
        <v>1487</v>
      </c>
      <c r="D5" s="7" t="s">
        <v>826</v>
      </c>
      <c r="E5" s="165" t="s">
        <v>826</v>
      </c>
      <c r="F5" s="7" t="s">
        <v>824</v>
      </c>
      <c r="G5" s="7" t="s">
        <v>1673</v>
      </c>
      <c r="H5" s="10" t="s">
        <v>827</v>
      </c>
      <c r="I5" s="7" t="s">
        <v>1670</v>
      </c>
      <c r="J5" s="7" t="s">
        <v>1671</v>
      </c>
      <c r="K5" s="7">
        <v>1015138168</v>
      </c>
      <c r="L5" s="7"/>
      <c r="M5" s="7"/>
      <c r="N5" s="18">
        <v>46219</v>
      </c>
      <c r="O5" s="7" t="s">
        <v>825</v>
      </c>
      <c r="P5" s="13">
        <v>2748</v>
      </c>
      <c r="Q5" s="12">
        <v>6086820</v>
      </c>
      <c r="R5" s="7" t="s">
        <v>752</v>
      </c>
    </row>
    <row r="6" spans="1:18">
      <c r="A6" s="7" t="s">
        <v>1669</v>
      </c>
      <c r="B6" s="7" t="s">
        <v>1672</v>
      </c>
      <c r="C6" s="7" t="s">
        <v>1487</v>
      </c>
      <c r="D6" s="7" t="s">
        <v>826</v>
      </c>
      <c r="E6" s="165" t="s">
        <v>826</v>
      </c>
      <c r="F6" s="7" t="s">
        <v>824</v>
      </c>
      <c r="G6" s="7" t="s">
        <v>1674</v>
      </c>
      <c r="H6" s="10" t="s">
        <v>827</v>
      </c>
      <c r="I6" s="7" t="s">
        <v>1670</v>
      </c>
      <c r="J6" s="7" t="s">
        <v>1671</v>
      </c>
      <c r="K6" s="7">
        <v>1015138168</v>
      </c>
      <c r="L6" s="7"/>
      <c r="M6" s="7"/>
      <c r="N6" s="18">
        <v>46219</v>
      </c>
      <c r="O6" s="7" t="s">
        <v>825</v>
      </c>
      <c r="P6" s="13">
        <v>2852</v>
      </c>
      <c r="Q6" s="12">
        <v>6317180</v>
      </c>
      <c r="R6" s="7" t="s">
        <v>752</v>
      </c>
    </row>
    <row r="7" spans="1:18">
      <c r="A7" s="7" t="s">
        <v>811</v>
      </c>
      <c r="B7" s="7" t="s">
        <v>812</v>
      </c>
      <c r="C7" s="7" t="s">
        <v>1487</v>
      </c>
      <c r="D7" s="7" t="s">
        <v>518</v>
      </c>
      <c r="E7" s="165" t="s">
        <v>518</v>
      </c>
      <c r="F7" s="7" t="s">
        <v>828</v>
      </c>
      <c r="G7" s="7" t="s">
        <v>829</v>
      </c>
      <c r="H7" s="10" t="s">
        <v>519</v>
      </c>
      <c r="I7" s="7" t="s">
        <v>1675</v>
      </c>
      <c r="J7" s="7" t="s">
        <v>1676</v>
      </c>
      <c r="K7" s="7">
        <v>1015138991</v>
      </c>
      <c r="L7" s="7"/>
      <c r="M7" s="7"/>
      <c r="N7" s="18">
        <v>46233</v>
      </c>
      <c r="O7" s="7" t="s">
        <v>825</v>
      </c>
      <c r="P7" s="13">
        <v>1000</v>
      </c>
      <c r="Q7" s="12">
        <v>92550</v>
      </c>
      <c r="R7" s="7" t="s">
        <v>752</v>
      </c>
    </row>
    <row r="8" spans="1:18">
      <c r="A8" s="7" t="s">
        <v>811</v>
      </c>
      <c r="B8" s="7" t="s">
        <v>812</v>
      </c>
      <c r="C8" s="7" t="s">
        <v>1487</v>
      </c>
      <c r="D8" s="7" t="s">
        <v>367</v>
      </c>
      <c r="E8" s="165" t="s">
        <v>367</v>
      </c>
      <c r="F8" s="7" t="s">
        <v>828</v>
      </c>
      <c r="G8" s="7" t="s">
        <v>1679</v>
      </c>
      <c r="H8" s="10" t="s">
        <v>368</v>
      </c>
      <c r="I8" s="7" t="s">
        <v>1677</v>
      </c>
      <c r="J8" s="7" t="s">
        <v>1678</v>
      </c>
      <c r="K8" s="7">
        <v>1015138992</v>
      </c>
      <c r="L8" s="7"/>
      <c r="M8" s="7"/>
      <c r="N8" s="18">
        <v>46233</v>
      </c>
      <c r="O8" s="7" t="s">
        <v>825</v>
      </c>
      <c r="P8" s="13">
        <v>510</v>
      </c>
      <c r="Q8" s="12">
        <v>47200.5</v>
      </c>
      <c r="R8" s="7" t="s">
        <v>752</v>
      </c>
    </row>
    <row r="9" spans="1:18">
      <c r="A9" s="7" t="s">
        <v>811</v>
      </c>
      <c r="B9" s="7" t="s">
        <v>812</v>
      </c>
      <c r="C9" s="7" t="s">
        <v>1487</v>
      </c>
      <c r="D9" s="7" t="s">
        <v>367</v>
      </c>
      <c r="E9" s="165" t="s">
        <v>367</v>
      </c>
      <c r="F9" s="7" t="s">
        <v>828</v>
      </c>
      <c r="G9" s="7" t="s">
        <v>1680</v>
      </c>
      <c r="H9" s="10" t="s">
        <v>368</v>
      </c>
      <c r="I9" s="7" t="s">
        <v>1677</v>
      </c>
      <c r="J9" s="7" t="s">
        <v>1678</v>
      </c>
      <c r="K9" s="7">
        <v>1015138992</v>
      </c>
      <c r="L9" s="7"/>
      <c r="M9" s="7"/>
      <c r="N9" s="18">
        <v>46233</v>
      </c>
      <c r="O9" s="7" t="s">
        <v>825</v>
      </c>
      <c r="P9" s="13">
        <v>5490</v>
      </c>
      <c r="Q9" s="12">
        <v>508099.5</v>
      </c>
      <c r="R9" s="7" t="s">
        <v>752</v>
      </c>
    </row>
    <row r="10" spans="1:18">
      <c r="A10" s="7" t="s">
        <v>772</v>
      </c>
      <c r="B10" s="7" t="s">
        <v>773</v>
      </c>
      <c r="C10" s="7" t="s">
        <v>1487</v>
      </c>
      <c r="D10" s="7" t="s">
        <v>367</v>
      </c>
      <c r="E10" s="165" t="s">
        <v>367</v>
      </c>
      <c r="F10" s="7" t="s">
        <v>828</v>
      </c>
      <c r="G10" s="7" t="s">
        <v>1680</v>
      </c>
      <c r="H10" s="10" t="s">
        <v>368</v>
      </c>
      <c r="I10" s="7" t="s">
        <v>1681</v>
      </c>
      <c r="J10" s="7" t="s">
        <v>1682</v>
      </c>
      <c r="K10" s="7">
        <v>1015139004</v>
      </c>
      <c r="L10" s="7"/>
      <c r="M10" s="7"/>
      <c r="N10" s="18">
        <v>46234</v>
      </c>
      <c r="O10" s="7" t="s">
        <v>825</v>
      </c>
      <c r="P10" s="13">
        <v>10000</v>
      </c>
      <c r="Q10" s="12">
        <v>945500</v>
      </c>
      <c r="R10" s="7" t="s">
        <v>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Views>
    <sheetView workbookViewId="0">
      <selection activeCell="I8" sqref="I8"/>
    </sheetView>
  </sheetViews>
  <sheetFormatPr defaultRowHeight="14.5"/>
  <cols>
    <col min="1" max="1" width="11.453125" bestFit="1" customWidth="1"/>
    <col min="2" max="2" width="19" bestFit="1" customWidth="1"/>
    <col min="3" max="3" width="28.81640625" bestFit="1" customWidth="1"/>
    <col min="4" max="4" width="15.54296875" customWidth="1"/>
    <col min="5" max="5" width="14.26953125" customWidth="1"/>
    <col min="6" max="6" width="19.7265625" customWidth="1"/>
    <col min="7" max="7" width="13.453125" customWidth="1"/>
    <col min="8" max="8" width="20.54296875" customWidth="1"/>
    <col min="9" max="9" width="20.7265625" customWidth="1"/>
    <col min="10" max="10" width="14.26953125" customWidth="1"/>
    <col min="11" max="11" width="24" customWidth="1"/>
    <col min="12" max="12" width="15" customWidth="1"/>
    <col min="13" max="13" width="8.54296875" customWidth="1"/>
    <col min="14" max="14" width="19.1796875" customWidth="1"/>
    <col min="15" max="15" width="18.1796875" customWidth="1"/>
    <col min="16" max="16" width="25.26953125" customWidth="1"/>
    <col min="17" max="17" width="41.54296875" customWidth="1"/>
    <col min="18" max="18" width="34" customWidth="1"/>
    <col min="19" max="19" width="36" customWidth="1"/>
    <col min="20" max="20" width="24.81640625" customWidth="1"/>
    <col min="21" max="21" width="22.453125" customWidth="1"/>
    <col min="22" max="22" width="51.1796875" customWidth="1"/>
    <col min="23" max="23" width="30" customWidth="1"/>
    <col min="24" max="24" width="22.1796875" customWidth="1"/>
    <col min="25" max="25" width="31.54296875" customWidth="1"/>
    <col min="26" max="27" width="11.54296875" customWidth="1"/>
    <col min="28" max="28" width="16" customWidth="1"/>
    <col min="29" max="29" width="21" customWidth="1"/>
    <col min="30" max="31" width="23.81640625" customWidth="1"/>
    <col min="32" max="32" width="49" customWidth="1"/>
    <col min="33" max="33" width="105" bestFit="1" customWidth="1"/>
    <col min="34" max="34" width="11.1796875" bestFit="1" customWidth="1"/>
  </cols>
  <sheetData>
    <row r="1" spans="1:33">
      <c r="A1" s="88" t="s">
        <v>830</v>
      </c>
      <c r="B1" s="88" t="s">
        <v>831</v>
      </c>
      <c r="C1" s="88" t="s">
        <v>832</v>
      </c>
      <c r="D1" s="88" t="s">
        <v>833</v>
      </c>
      <c r="E1" s="88" t="s">
        <v>834</v>
      </c>
      <c r="F1" s="88" t="s">
        <v>835</v>
      </c>
      <c r="G1" s="88" t="s">
        <v>836</v>
      </c>
      <c r="H1" s="88" t="s">
        <v>837</v>
      </c>
      <c r="I1" s="88" t="s">
        <v>838</v>
      </c>
      <c r="J1" s="88" t="s">
        <v>839</v>
      </c>
      <c r="K1" s="88" t="s">
        <v>840</v>
      </c>
      <c r="L1" s="88" t="s">
        <v>841</v>
      </c>
      <c r="M1" s="88" t="s">
        <v>842</v>
      </c>
      <c r="N1" s="88" t="s">
        <v>843</v>
      </c>
      <c r="O1" s="88" t="s">
        <v>844</v>
      </c>
      <c r="P1" s="88" t="s">
        <v>845</v>
      </c>
      <c r="Q1" s="88" t="s">
        <v>846</v>
      </c>
      <c r="R1" s="88" t="s">
        <v>847</v>
      </c>
      <c r="S1" s="88" t="s">
        <v>848</v>
      </c>
      <c r="T1" s="88" t="s">
        <v>849</v>
      </c>
      <c r="U1" s="88" t="s">
        <v>12</v>
      </c>
      <c r="V1" s="88" t="s">
        <v>850</v>
      </c>
      <c r="W1" s="88" t="s">
        <v>851</v>
      </c>
      <c r="X1" s="88" t="s">
        <v>852</v>
      </c>
      <c r="Y1" s="88" t="s">
        <v>853</v>
      </c>
      <c r="Z1" s="88" t="s">
        <v>854</v>
      </c>
      <c r="AA1" s="88" t="s">
        <v>70</v>
      </c>
      <c r="AB1" s="88" t="s">
        <v>71</v>
      </c>
      <c r="AC1" s="88" t="s">
        <v>855</v>
      </c>
      <c r="AD1" s="88" t="s">
        <v>856</v>
      </c>
      <c r="AE1" s="88" t="s">
        <v>72</v>
      </c>
      <c r="AF1" s="88" t="s">
        <v>857</v>
      </c>
      <c r="AG1" s="88" t="s">
        <v>858</v>
      </c>
    </row>
    <row r="2" spans="1:33">
      <c r="A2" s="23" t="s">
        <v>859</v>
      </c>
      <c r="B2" s="23" t="s">
        <v>860</v>
      </c>
      <c r="C2" s="23" t="s">
        <v>861</v>
      </c>
      <c r="D2" s="23" t="s">
        <v>1804</v>
      </c>
      <c r="E2" s="23" t="s">
        <v>1804</v>
      </c>
      <c r="F2" s="23" t="s">
        <v>388</v>
      </c>
      <c r="G2" s="23"/>
      <c r="H2" s="23" t="s">
        <v>388</v>
      </c>
      <c r="I2" s="23" t="s">
        <v>1804</v>
      </c>
      <c r="J2" s="23">
        <v>31878000</v>
      </c>
      <c r="K2" s="23" t="s">
        <v>388</v>
      </c>
      <c r="L2" s="23" t="s">
        <v>862</v>
      </c>
      <c r="M2" s="23" t="s">
        <v>863</v>
      </c>
      <c r="N2" s="23">
        <v>90496</v>
      </c>
      <c r="O2" s="23" t="s">
        <v>1805</v>
      </c>
      <c r="P2" s="23" t="s">
        <v>1806</v>
      </c>
      <c r="Q2" s="23" t="s">
        <v>388</v>
      </c>
      <c r="R2" s="23" t="s">
        <v>864</v>
      </c>
      <c r="S2" s="23" t="s">
        <v>1807</v>
      </c>
      <c r="T2" s="23" t="s">
        <v>1808</v>
      </c>
      <c r="U2" s="23">
        <v>13800</v>
      </c>
      <c r="V2" s="23" t="s">
        <v>865</v>
      </c>
      <c r="W2" s="23">
        <v>1155</v>
      </c>
      <c r="X2" s="23">
        <v>15939000</v>
      </c>
      <c r="Y2" s="23">
        <v>31878000</v>
      </c>
      <c r="Z2" s="23" t="s">
        <v>866</v>
      </c>
      <c r="AA2" s="23"/>
      <c r="AB2" s="23"/>
      <c r="AC2" s="23" t="s">
        <v>867</v>
      </c>
      <c r="AD2" s="23"/>
      <c r="AE2" s="23"/>
      <c r="AF2" s="23" t="s">
        <v>868</v>
      </c>
      <c r="AG2" s="23" t="s">
        <v>869</v>
      </c>
    </row>
    <row r="3" spans="1:33">
      <c r="A3" s="23" t="s">
        <v>859</v>
      </c>
      <c r="B3" s="23" t="s">
        <v>860</v>
      </c>
      <c r="C3" s="23" t="s">
        <v>861</v>
      </c>
      <c r="D3" s="23" t="s">
        <v>1804</v>
      </c>
      <c r="E3" s="23" t="s">
        <v>1804</v>
      </c>
      <c r="F3" s="23" t="s">
        <v>388</v>
      </c>
      <c r="G3" s="23"/>
      <c r="H3" s="23" t="s">
        <v>388</v>
      </c>
      <c r="I3" s="23" t="s">
        <v>1804</v>
      </c>
      <c r="J3" s="23">
        <v>1732500</v>
      </c>
      <c r="K3" s="23" t="s">
        <v>388</v>
      </c>
      <c r="L3" s="23" t="s">
        <v>862</v>
      </c>
      <c r="M3" s="23" t="s">
        <v>863</v>
      </c>
      <c r="N3" s="23">
        <v>90500</v>
      </c>
      <c r="O3" s="23" t="s">
        <v>1805</v>
      </c>
      <c r="P3" s="23" t="s">
        <v>1806</v>
      </c>
      <c r="Q3" s="23" t="s">
        <v>388</v>
      </c>
      <c r="R3" s="23" t="s">
        <v>864</v>
      </c>
      <c r="S3" s="23" t="s">
        <v>1807</v>
      </c>
      <c r="T3" s="23" t="s">
        <v>1808</v>
      </c>
      <c r="U3" s="23">
        <v>750</v>
      </c>
      <c r="V3" s="23" t="s">
        <v>870</v>
      </c>
      <c r="W3" s="23">
        <v>1155</v>
      </c>
      <c r="X3" s="23">
        <v>866250</v>
      </c>
      <c r="Y3" s="23">
        <v>1732500</v>
      </c>
      <c r="Z3" s="23" t="s">
        <v>866</v>
      </c>
      <c r="AA3" s="23"/>
      <c r="AB3" s="23"/>
      <c r="AC3" s="23" t="s">
        <v>867</v>
      </c>
      <c r="AD3" s="23"/>
      <c r="AE3" s="23"/>
      <c r="AF3" s="23" t="s">
        <v>868</v>
      </c>
      <c r="AG3" s="23" t="s">
        <v>869</v>
      </c>
    </row>
    <row r="4" spans="1:33">
      <c r="A4" s="23" t="s">
        <v>859</v>
      </c>
      <c r="B4" s="23" t="s">
        <v>860</v>
      </c>
      <c r="C4" s="23" t="s">
        <v>861</v>
      </c>
      <c r="D4" s="23" t="s">
        <v>1804</v>
      </c>
      <c r="E4" s="23" t="s">
        <v>1804</v>
      </c>
      <c r="F4" s="23" t="s">
        <v>388</v>
      </c>
      <c r="G4" s="23"/>
      <c r="H4" s="23" t="s">
        <v>388</v>
      </c>
      <c r="I4" s="23" t="s">
        <v>1804</v>
      </c>
      <c r="J4" s="23"/>
      <c r="K4" s="23" t="s">
        <v>388</v>
      </c>
      <c r="L4" s="23" t="s">
        <v>862</v>
      </c>
      <c r="M4" s="23" t="s">
        <v>863</v>
      </c>
      <c r="N4" s="23">
        <v>34044</v>
      </c>
      <c r="O4" s="23" t="s">
        <v>1809</v>
      </c>
      <c r="P4" s="23" t="s">
        <v>1810</v>
      </c>
      <c r="Q4" s="23" t="s">
        <v>388</v>
      </c>
      <c r="R4" s="23" t="s">
        <v>864</v>
      </c>
      <c r="S4" s="23" t="s">
        <v>1811</v>
      </c>
      <c r="T4" s="23"/>
      <c r="U4" s="23">
        <v>13800</v>
      </c>
      <c r="V4" s="23" t="s">
        <v>865</v>
      </c>
      <c r="W4" s="23">
        <v>1155</v>
      </c>
      <c r="X4" s="23">
        <v>15939000</v>
      </c>
      <c r="Y4" s="23"/>
      <c r="Z4" s="23" t="s">
        <v>866</v>
      </c>
      <c r="AA4" s="23"/>
      <c r="AB4" s="23"/>
      <c r="AC4" s="23" t="s">
        <v>1812</v>
      </c>
      <c r="AD4" s="23"/>
      <c r="AE4" s="23"/>
      <c r="AF4" s="23" t="s">
        <v>1813</v>
      </c>
      <c r="AG4" s="23" t="s">
        <v>900</v>
      </c>
    </row>
    <row r="5" spans="1:33">
      <c r="A5" s="23" t="s">
        <v>871</v>
      </c>
      <c r="B5" s="23" t="s">
        <v>860</v>
      </c>
      <c r="C5" s="23" t="s">
        <v>875</v>
      </c>
      <c r="D5" s="23" t="s">
        <v>1814</v>
      </c>
      <c r="E5" s="23" t="s">
        <v>1814</v>
      </c>
      <c r="F5" s="23" t="s">
        <v>388</v>
      </c>
      <c r="G5" s="23"/>
      <c r="H5" s="23" t="s">
        <v>388</v>
      </c>
      <c r="I5" s="23" t="s">
        <v>1814</v>
      </c>
      <c r="J5" s="23">
        <v>78540000</v>
      </c>
      <c r="K5" s="23" t="s">
        <v>388</v>
      </c>
      <c r="L5" s="23" t="s">
        <v>862</v>
      </c>
      <c r="M5" s="23" t="s">
        <v>863</v>
      </c>
      <c r="N5" s="23">
        <v>999</v>
      </c>
      <c r="O5" s="23" t="s">
        <v>1815</v>
      </c>
      <c r="P5" s="23" t="s">
        <v>1816</v>
      </c>
      <c r="Q5" s="23" t="s">
        <v>388</v>
      </c>
      <c r="R5" s="23" t="s">
        <v>864</v>
      </c>
      <c r="S5" s="23" t="s">
        <v>1817</v>
      </c>
      <c r="T5" s="23" t="s">
        <v>1818</v>
      </c>
      <c r="U5" s="23">
        <v>14000</v>
      </c>
      <c r="V5" s="23" t="s">
        <v>865</v>
      </c>
      <c r="W5" s="23">
        <v>1155</v>
      </c>
      <c r="X5" s="23">
        <v>16170000</v>
      </c>
      <c r="Y5" s="23"/>
      <c r="Z5" s="23" t="s">
        <v>866</v>
      </c>
      <c r="AA5" s="23"/>
      <c r="AB5" s="23"/>
      <c r="AC5" s="23" t="s">
        <v>867</v>
      </c>
      <c r="AD5" s="23" t="s">
        <v>874</v>
      </c>
      <c r="AE5" s="23"/>
      <c r="AF5" s="23" t="s">
        <v>1819</v>
      </c>
      <c r="AG5" s="23" t="s">
        <v>869</v>
      </c>
    </row>
    <row r="6" spans="1:33">
      <c r="A6" s="23" t="s">
        <v>871</v>
      </c>
      <c r="B6" s="23" t="s">
        <v>860</v>
      </c>
      <c r="C6" s="23" t="s">
        <v>872</v>
      </c>
      <c r="D6" s="23" t="s">
        <v>1814</v>
      </c>
      <c r="E6" s="23" t="s">
        <v>1814</v>
      </c>
      <c r="F6" s="23"/>
      <c r="G6" s="23"/>
      <c r="H6" s="23" t="s">
        <v>388</v>
      </c>
      <c r="I6" s="23" t="s">
        <v>1820</v>
      </c>
      <c r="J6" s="23"/>
      <c r="K6" s="23"/>
      <c r="L6" s="23"/>
      <c r="M6" s="23"/>
      <c r="N6" s="23">
        <v>60869</v>
      </c>
      <c r="O6" s="23" t="s">
        <v>1815</v>
      </c>
      <c r="P6" s="23" t="s">
        <v>1821</v>
      </c>
      <c r="Q6" s="23" t="s">
        <v>388</v>
      </c>
      <c r="R6" s="23"/>
      <c r="S6" s="23" t="s">
        <v>1821</v>
      </c>
      <c r="T6" s="23" t="s">
        <v>1822</v>
      </c>
      <c r="U6" s="23">
        <v>7000</v>
      </c>
      <c r="V6" s="23" t="s">
        <v>865</v>
      </c>
      <c r="W6" s="23">
        <v>1155</v>
      </c>
      <c r="X6" s="23">
        <v>8085000</v>
      </c>
      <c r="Y6" s="23"/>
      <c r="Z6" s="23" t="s">
        <v>866</v>
      </c>
      <c r="AA6" s="23"/>
      <c r="AB6" s="23"/>
      <c r="AC6" s="23"/>
      <c r="AD6" s="23"/>
      <c r="AE6" s="23"/>
      <c r="AF6" s="23"/>
      <c r="AG6" s="23"/>
    </row>
    <row r="7" spans="1:33">
      <c r="A7" s="23" t="s">
        <v>871</v>
      </c>
      <c r="B7" s="23" t="s">
        <v>860</v>
      </c>
      <c r="C7" s="23" t="s">
        <v>875</v>
      </c>
      <c r="D7" s="23" t="s">
        <v>1814</v>
      </c>
      <c r="E7" s="23" t="s">
        <v>1814</v>
      </c>
      <c r="F7" s="23"/>
      <c r="G7" s="23"/>
      <c r="H7" s="23" t="s">
        <v>388</v>
      </c>
      <c r="I7" s="23" t="s">
        <v>1823</v>
      </c>
      <c r="J7" s="23"/>
      <c r="K7" s="23"/>
      <c r="L7" s="23"/>
      <c r="M7" s="23"/>
      <c r="N7" s="23">
        <v>999</v>
      </c>
      <c r="O7" s="23" t="s">
        <v>1815</v>
      </c>
      <c r="P7" s="23" t="s">
        <v>1824</v>
      </c>
      <c r="Q7" s="23" t="s">
        <v>388</v>
      </c>
      <c r="R7" s="23"/>
      <c r="S7" s="23" t="s">
        <v>1825</v>
      </c>
      <c r="T7" s="23" t="s">
        <v>1825</v>
      </c>
      <c r="U7" s="23">
        <v>12000</v>
      </c>
      <c r="V7" s="23" t="s">
        <v>865</v>
      </c>
      <c r="W7" s="23">
        <v>1155</v>
      </c>
      <c r="X7" s="23">
        <v>13860000</v>
      </c>
      <c r="Y7" s="23"/>
      <c r="Z7" s="23" t="s">
        <v>866</v>
      </c>
      <c r="AA7" s="23"/>
      <c r="AB7" s="23"/>
      <c r="AC7" s="23"/>
      <c r="AD7" s="23"/>
      <c r="AE7" s="23"/>
      <c r="AF7" s="23"/>
      <c r="AG7" s="23"/>
    </row>
    <row r="8" spans="1:33">
      <c r="A8" s="23" t="s">
        <v>871</v>
      </c>
      <c r="B8" s="23" t="s">
        <v>860</v>
      </c>
      <c r="C8" s="23" t="s">
        <v>1826</v>
      </c>
      <c r="D8" s="23" t="s">
        <v>1814</v>
      </c>
      <c r="E8" s="23" t="s">
        <v>1814</v>
      </c>
      <c r="F8" s="23"/>
      <c r="G8" s="23"/>
      <c r="H8" s="23" t="s">
        <v>388</v>
      </c>
      <c r="I8" s="23" t="s">
        <v>1827</v>
      </c>
      <c r="J8" s="23"/>
      <c r="K8" s="23"/>
      <c r="L8" s="23"/>
      <c r="M8" s="23"/>
      <c r="N8" s="23">
        <v>60869</v>
      </c>
      <c r="O8" s="23" t="s">
        <v>1815</v>
      </c>
      <c r="P8" s="23" t="s">
        <v>1828</v>
      </c>
      <c r="Q8" s="23" t="s">
        <v>388</v>
      </c>
      <c r="R8" s="23"/>
      <c r="S8" s="23" t="s">
        <v>1829</v>
      </c>
      <c r="T8" s="23"/>
      <c r="U8" s="23">
        <v>10000</v>
      </c>
      <c r="V8" s="23" t="s">
        <v>865</v>
      </c>
      <c r="W8" s="23">
        <v>1155</v>
      </c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>
      <c r="A9" s="23" t="s">
        <v>871</v>
      </c>
      <c r="B9" s="23" t="s">
        <v>860</v>
      </c>
      <c r="C9" s="23" t="s">
        <v>875</v>
      </c>
      <c r="D9" s="23" t="s">
        <v>1814</v>
      </c>
      <c r="E9" s="23" t="s">
        <v>1814</v>
      </c>
      <c r="F9" s="23"/>
      <c r="G9" s="23"/>
      <c r="H9" s="23" t="s">
        <v>388</v>
      </c>
      <c r="I9" s="23" t="s">
        <v>1830</v>
      </c>
      <c r="J9" s="23"/>
      <c r="K9" s="23"/>
      <c r="L9" s="23"/>
      <c r="M9" s="23"/>
      <c r="N9" s="23">
        <v>60869</v>
      </c>
      <c r="O9" s="23" t="s">
        <v>1815</v>
      </c>
      <c r="P9" s="23" t="s">
        <v>1828</v>
      </c>
      <c r="Q9" s="23" t="s">
        <v>388</v>
      </c>
      <c r="R9" s="23" t="s">
        <v>864</v>
      </c>
      <c r="S9" s="23" t="s">
        <v>1831</v>
      </c>
      <c r="T9" s="23" t="s">
        <v>902</v>
      </c>
      <c r="U9" s="23">
        <v>6000</v>
      </c>
      <c r="V9" s="23" t="s">
        <v>865</v>
      </c>
      <c r="W9" s="23">
        <v>1155</v>
      </c>
      <c r="X9" s="23">
        <v>6930000</v>
      </c>
      <c r="Y9" s="23"/>
      <c r="Z9" s="23"/>
      <c r="AA9" s="23"/>
      <c r="AB9" s="23"/>
      <c r="AC9" s="23"/>
      <c r="AD9" s="23"/>
      <c r="AE9" s="23"/>
      <c r="AF9" s="23"/>
      <c r="AG9" s="23"/>
    </row>
    <row r="10" spans="1:33">
      <c r="A10" s="23" t="s">
        <v>876</v>
      </c>
      <c r="B10" s="23" t="s">
        <v>860</v>
      </c>
      <c r="C10" s="23" t="s">
        <v>877</v>
      </c>
      <c r="D10" s="23" t="s">
        <v>1832</v>
      </c>
      <c r="E10" s="23" t="s">
        <v>1832</v>
      </c>
      <c r="F10" s="23" t="s">
        <v>388</v>
      </c>
      <c r="G10" s="23"/>
      <c r="H10" s="23" t="s">
        <v>388</v>
      </c>
      <c r="I10" s="23" t="s">
        <v>1832</v>
      </c>
      <c r="J10" s="23">
        <v>17902500</v>
      </c>
      <c r="K10" s="23" t="s">
        <v>388</v>
      </c>
      <c r="L10" s="23" t="s">
        <v>862</v>
      </c>
      <c r="M10" s="23" t="s">
        <v>863</v>
      </c>
      <c r="N10" s="23" t="s">
        <v>878</v>
      </c>
      <c r="O10" s="23" t="s">
        <v>1833</v>
      </c>
      <c r="P10" s="23" t="s">
        <v>1834</v>
      </c>
      <c r="Q10" s="23" t="s">
        <v>388</v>
      </c>
      <c r="R10" s="23" t="s">
        <v>864</v>
      </c>
      <c r="S10" s="23" t="s">
        <v>1835</v>
      </c>
      <c r="T10" s="23" t="s">
        <v>1836</v>
      </c>
      <c r="U10" s="23">
        <v>2500</v>
      </c>
      <c r="V10" s="23" t="s">
        <v>865</v>
      </c>
      <c r="W10" s="23">
        <v>1155</v>
      </c>
      <c r="X10" s="23">
        <v>2887500</v>
      </c>
      <c r="Y10" s="23"/>
      <c r="Z10" s="23" t="s">
        <v>866</v>
      </c>
      <c r="AA10" s="23"/>
      <c r="AB10" s="23"/>
      <c r="AC10" s="23" t="s">
        <v>1837</v>
      </c>
      <c r="AD10" s="23"/>
      <c r="AE10" s="23"/>
      <c r="AF10" s="23" t="s">
        <v>880</v>
      </c>
      <c r="AG10" s="23" t="s">
        <v>881</v>
      </c>
    </row>
    <row r="11" spans="1:33">
      <c r="A11" s="23" t="s">
        <v>876</v>
      </c>
      <c r="B11" s="23" t="s">
        <v>860</v>
      </c>
      <c r="C11" s="23" t="s">
        <v>877</v>
      </c>
      <c r="D11" s="23" t="s">
        <v>1832</v>
      </c>
      <c r="E11" s="23" t="s">
        <v>1832</v>
      </c>
      <c r="F11" s="23" t="s">
        <v>388</v>
      </c>
      <c r="G11" s="23"/>
      <c r="H11" s="23" t="s">
        <v>388</v>
      </c>
      <c r="I11" s="23" t="s">
        <v>1832</v>
      </c>
      <c r="J11" s="23">
        <v>1659000</v>
      </c>
      <c r="K11" s="23" t="s">
        <v>388</v>
      </c>
      <c r="L11" s="23" t="s">
        <v>862</v>
      </c>
      <c r="M11" s="23" t="s">
        <v>863</v>
      </c>
      <c r="N11" s="23">
        <v>5048</v>
      </c>
      <c r="O11" s="23">
        <v>45931</v>
      </c>
      <c r="P11" s="23" t="s">
        <v>1834</v>
      </c>
      <c r="Q11" s="23" t="s">
        <v>388</v>
      </c>
      <c r="R11" s="23" t="s">
        <v>864</v>
      </c>
      <c r="S11" s="23" t="s">
        <v>1835</v>
      </c>
      <c r="T11" s="23" t="s">
        <v>1836</v>
      </c>
      <c r="U11" s="23">
        <v>500</v>
      </c>
      <c r="V11" s="23" t="s">
        <v>882</v>
      </c>
      <c r="W11" s="23">
        <v>1580</v>
      </c>
      <c r="X11" s="23">
        <v>790000</v>
      </c>
      <c r="Y11" s="23"/>
      <c r="Z11" s="23" t="s">
        <v>866</v>
      </c>
      <c r="AA11" s="23"/>
      <c r="AB11" s="23"/>
      <c r="AC11" s="23"/>
      <c r="AD11" s="23"/>
      <c r="AE11" s="23"/>
      <c r="AF11" s="23" t="s">
        <v>883</v>
      </c>
      <c r="AG11" s="23" t="s">
        <v>884</v>
      </c>
    </row>
    <row r="12" spans="1:33">
      <c r="A12" s="23" t="s">
        <v>876</v>
      </c>
      <c r="B12" s="23" t="s">
        <v>860</v>
      </c>
      <c r="C12" s="23" t="s">
        <v>877</v>
      </c>
      <c r="D12" s="23" t="s">
        <v>1832</v>
      </c>
      <c r="E12" s="23" t="s">
        <v>1832</v>
      </c>
      <c r="F12" s="23" t="s">
        <v>388</v>
      </c>
      <c r="G12" s="23"/>
      <c r="H12" s="23" t="s">
        <v>388</v>
      </c>
      <c r="I12" s="23" t="s">
        <v>1832</v>
      </c>
      <c r="J12" s="23"/>
      <c r="K12" s="23" t="s">
        <v>388</v>
      </c>
      <c r="L12" s="23" t="s">
        <v>862</v>
      </c>
      <c r="M12" s="23" t="s">
        <v>863</v>
      </c>
      <c r="N12" s="23" t="s">
        <v>878</v>
      </c>
      <c r="O12" s="23" t="s">
        <v>1838</v>
      </c>
      <c r="P12" s="23" t="s">
        <v>1834</v>
      </c>
      <c r="Q12" s="23" t="s">
        <v>388</v>
      </c>
      <c r="R12" s="23" t="s">
        <v>864</v>
      </c>
      <c r="S12" s="23" t="s">
        <v>1839</v>
      </c>
      <c r="T12" s="23" t="s">
        <v>1840</v>
      </c>
      <c r="U12" s="23">
        <v>5000</v>
      </c>
      <c r="V12" s="23" t="s">
        <v>865</v>
      </c>
      <c r="W12" s="23">
        <v>1155</v>
      </c>
      <c r="X12" s="23">
        <v>5775000</v>
      </c>
      <c r="Y12" s="23"/>
      <c r="Z12" s="23" t="s">
        <v>866</v>
      </c>
      <c r="AA12" s="23"/>
      <c r="AB12" s="23"/>
      <c r="AC12" s="23"/>
      <c r="AD12" s="23"/>
      <c r="AE12" s="23"/>
      <c r="AF12" s="23"/>
      <c r="AG12" s="23" t="s">
        <v>1841</v>
      </c>
    </row>
    <row r="13" spans="1:33">
      <c r="A13" s="23" t="s">
        <v>876</v>
      </c>
      <c r="B13" s="23" t="s">
        <v>860</v>
      </c>
      <c r="C13" s="23" t="s">
        <v>877</v>
      </c>
      <c r="D13" s="23" t="s">
        <v>1832</v>
      </c>
      <c r="E13" s="23" t="s">
        <v>1832</v>
      </c>
      <c r="F13" s="23" t="s">
        <v>388</v>
      </c>
      <c r="G13" s="23"/>
      <c r="H13" s="23" t="s">
        <v>388</v>
      </c>
      <c r="I13" s="23" t="s">
        <v>1832</v>
      </c>
      <c r="J13" s="23"/>
      <c r="K13" s="23" t="s">
        <v>388</v>
      </c>
      <c r="L13" s="23" t="s">
        <v>862</v>
      </c>
      <c r="M13" s="23" t="s">
        <v>863</v>
      </c>
      <c r="N13" s="23">
        <v>5048</v>
      </c>
      <c r="O13" s="23">
        <v>45667</v>
      </c>
      <c r="P13" s="23" t="s">
        <v>1834</v>
      </c>
      <c r="Q13" s="23" t="s">
        <v>388</v>
      </c>
      <c r="R13" s="23" t="s">
        <v>864</v>
      </c>
      <c r="S13" s="23" t="s">
        <v>1839</v>
      </c>
      <c r="T13" s="23" t="s">
        <v>1840</v>
      </c>
      <c r="U13" s="23">
        <v>500</v>
      </c>
      <c r="V13" s="23" t="s">
        <v>882</v>
      </c>
      <c r="W13" s="23">
        <v>1580</v>
      </c>
      <c r="X13" s="23">
        <v>790000</v>
      </c>
      <c r="Y13" s="23"/>
      <c r="Z13" s="23" t="s">
        <v>866</v>
      </c>
      <c r="AA13" s="23"/>
      <c r="AB13" s="23"/>
      <c r="AC13" s="23"/>
      <c r="AD13" s="23"/>
      <c r="AE13" s="23"/>
      <c r="AF13" s="23"/>
      <c r="AG13" s="23" t="s">
        <v>1842</v>
      </c>
    </row>
    <row r="14" spans="1:33">
      <c r="A14" s="23" t="s">
        <v>1375</v>
      </c>
      <c r="B14" s="23" t="s">
        <v>885</v>
      </c>
      <c r="C14" s="23" t="s">
        <v>877</v>
      </c>
      <c r="D14" s="23" t="s">
        <v>1832</v>
      </c>
      <c r="E14" s="23" t="s">
        <v>1832</v>
      </c>
      <c r="F14" s="23" t="s">
        <v>388</v>
      </c>
      <c r="G14" s="23"/>
      <c r="H14" s="23" t="s">
        <v>388</v>
      </c>
      <c r="I14" s="23" t="s">
        <v>1832</v>
      </c>
      <c r="J14" s="23">
        <v>8010000</v>
      </c>
      <c r="K14" s="23" t="s">
        <v>388</v>
      </c>
      <c r="L14" s="23" t="s">
        <v>862</v>
      </c>
      <c r="M14" s="23" t="s">
        <v>863</v>
      </c>
      <c r="N14" s="23" t="s">
        <v>886</v>
      </c>
      <c r="O14" s="23" t="s">
        <v>1843</v>
      </c>
      <c r="P14" s="23" t="s">
        <v>1844</v>
      </c>
      <c r="Q14" s="23" t="s">
        <v>388</v>
      </c>
      <c r="R14" s="23" t="s">
        <v>864</v>
      </c>
      <c r="S14" s="23" t="s">
        <v>1845</v>
      </c>
      <c r="T14" s="23" t="s">
        <v>1846</v>
      </c>
      <c r="U14" s="23" t="s">
        <v>1847</v>
      </c>
      <c r="V14" s="23" t="s">
        <v>888</v>
      </c>
      <c r="W14" s="23">
        <v>445</v>
      </c>
      <c r="X14" s="23">
        <v>6675000</v>
      </c>
      <c r="Y14" s="23">
        <v>8010000</v>
      </c>
      <c r="Z14" s="23" t="s">
        <v>866</v>
      </c>
      <c r="AA14" s="23"/>
      <c r="AB14" s="23"/>
      <c r="AC14" s="23" t="s">
        <v>867</v>
      </c>
      <c r="AD14" s="23"/>
      <c r="AE14" s="23"/>
      <c r="AF14" s="23" t="s">
        <v>889</v>
      </c>
      <c r="AG14" s="23" t="s">
        <v>890</v>
      </c>
    </row>
    <row r="15" spans="1:33">
      <c r="A15" s="23" t="s">
        <v>891</v>
      </c>
      <c r="B15" s="23" t="s">
        <v>860</v>
      </c>
      <c r="C15" s="23" t="s">
        <v>892</v>
      </c>
      <c r="D15" s="23" t="s">
        <v>1848</v>
      </c>
      <c r="E15" s="23" t="s">
        <v>1848</v>
      </c>
      <c r="F15" s="23" t="s">
        <v>388</v>
      </c>
      <c r="G15" s="23"/>
      <c r="H15" s="23" t="s">
        <v>388</v>
      </c>
      <c r="I15" s="23" t="s">
        <v>1848</v>
      </c>
      <c r="J15" s="23">
        <v>50820000</v>
      </c>
      <c r="K15" s="23" t="s">
        <v>388</v>
      </c>
      <c r="L15" s="23" t="s">
        <v>862</v>
      </c>
      <c r="M15" s="23" t="s">
        <v>863</v>
      </c>
      <c r="N15" s="23" t="s">
        <v>1376</v>
      </c>
      <c r="O15" s="23" t="s">
        <v>1849</v>
      </c>
      <c r="P15" s="23" t="s">
        <v>1850</v>
      </c>
      <c r="Q15" s="23" t="s">
        <v>388</v>
      </c>
      <c r="R15" s="23" t="s">
        <v>864</v>
      </c>
      <c r="S15" s="23" t="s">
        <v>1851</v>
      </c>
      <c r="T15" s="23" t="s">
        <v>1852</v>
      </c>
      <c r="U15" s="23">
        <v>18000</v>
      </c>
      <c r="V15" s="23" t="s">
        <v>865</v>
      </c>
      <c r="W15" s="23">
        <v>1155</v>
      </c>
      <c r="X15" s="23">
        <v>20790000</v>
      </c>
      <c r="Y15" s="23">
        <v>50820000</v>
      </c>
      <c r="Z15" s="23" t="s">
        <v>866</v>
      </c>
      <c r="AA15" s="23"/>
      <c r="AB15" s="23"/>
      <c r="AC15" s="23" t="s">
        <v>867</v>
      </c>
      <c r="AD15" s="23"/>
      <c r="AE15" s="23"/>
      <c r="AF15" s="23" t="s">
        <v>1813</v>
      </c>
      <c r="AG15" s="23" t="s">
        <v>869</v>
      </c>
    </row>
    <row r="16" spans="1:33">
      <c r="A16" s="23" t="s">
        <v>891</v>
      </c>
      <c r="B16" s="23" t="s">
        <v>860</v>
      </c>
      <c r="C16" s="23" t="s">
        <v>892</v>
      </c>
      <c r="D16" s="23" t="s">
        <v>1848</v>
      </c>
      <c r="E16" s="23" t="s">
        <v>1848</v>
      </c>
      <c r="F16" s="23" t="s">
        <v>388</v>
      </c>
      <c r="G16" s="23"/>
      <c r="H16" s="23" t="s">
        <v>388</v>
      </c>
      <c r="I16" s="23" t="s">
        <v>1848</v>
      </c>
      <c r="J16" s="23"/>
      <c r="K16" s="23" t="s">
        <v>388</v>
      </c>
      <c r="L16" s="23" t="s">
        <v>862</v>
      </c>
      <c r="M16" s="23" t="s">
        <v>863</v>
      </c>
      <c r="N16" s="23" t="s">
        <v>1376</v>
      </c>
      <c r="O16" s="23" t="s">
        <v>1849</v>
      </c>
      <c r="P16" s="23" t="s">
        <v>1850</v>
      </c>
      <c r="Q16" s="23" t="s">
        <v>388</v>
      </c>
      <c r="R16" s="23" t="s">
        <v>864</v>
      </c>
      <c r="S16" s="23" t="s">
        <v>1851</v>
      </c>
      <c r="T16" s="23" t="s">
        <v>1853</v>
      </c>
      <c r="U16" s="23">
        <v>1500</v>
      </c>
      <c r="V16" s="23" t="s">
        <v>882</v>
      </c>
      <c r="W16" s="23">
        <v>1155</v>
      </c>
      <c r="X16" s="23">
        <v>1732500</v>
      </c>
      <c r="Y16" s="23"/>
      <c r="Z16" s="23" t="s">
        <v>866</v>
      </c>
      <c r="AA16" s="23"/>
      <c r="AB16" s="23"/>
      <c r="AC16" s="23" t="s">
        <v>867</v>
      </c>
      <c r="AD16" s="23"/>
      <c r="AE16" s="23"/>
      <c r="AF16" s="23" t="s">
        <v>1813</v>
      </c>
      <c r="AG16" s="23" t="s">
        <v>869</v>
      </c>
    </row>
    <row r="17" spans="1:33">
      <c r="A17" s="23" t="s">
        <v>891</v>
      </c>
      <c r="B17" s="23" t="s">
        <v>860</v>
      </c>
      <c r="C17" s="23" t="s">
        <v>892</v>
      </c>
      <c r="D17" s="23" t="s">
        <v>1848</v>
      </c>
      <c r="E17" s="23" t="s">
        <v>1848</v>
      </c>
      <c r="F17" s="23" t="s">
        <v>388</v>
      </c>
      <c r="G17" s="23"/>
      <c r="H17" s="23" t="s">
        <v>388</v>
      </c>
      <c r="I17" s="23" t="s">
        <v>1848</v>
      </c>
      <c r="J17" s="23"/>
      <c r="K17" s="23" t="s">
        <v>388</v>
      </c>
      <c r="L17" s="23" t="s">
        <v>862</v>
      </c>
      <c r="M17" s="23" t="s">
        <v>863</v>
      </c>
      <c r="N17" s="23" t="s">
        <v>1376</v>
      </c>
      <c r="O17" s="23" t="s">
        <v>1849</v>
      </c>
      <c r="P17" s="23" t="s">
        <v>1850</v>
      </c>
      <c r="Q17" s="23" t="s">
        <v>388</v>
      </c>
      <c r="R17" s="23" t="s">
        <v>864</v>
      </c>
      <c r="S17" s="23" t="s">
        <v>1851</v>
      </c>
      <c r="T17" s="23" t="s">
        <v>1853</v>
      </c>
      <c r="U17" s="23">
        <v>1500</v>
      </c>
      <c r="V17" s="23" t="s">
        <v>870</v>
      </c>
      <c r="W17" s="23">
        <v>1155</v>
      </c>
      <c r="X17" s="23">
        <v>1732500</v>
      </c>
      <c r="Y17" s="23"/>
      <c r="Z17" s="23" t="s">
        <v>866</v>
      </c>
      <c r="AA17" s="23"/>
      <c r="AB17" s="23"/>
      <c r="AC17" s="23" t="s">
        <v>867</v>
      </c>
      <c r="AD17" s="23"/>
      <c r="AE17" s="23"/>
      <c r="AF17" s="23" t="s">
        <v>1813</v>
      </c>
      <c r="AG17" s="23" t="s">
        <v>869</v>
      </c>
    </row>
    <row r="18" spans="1:33">
      <c r="A18" s="23" t="s">
        <v>897</v>
      </c>
      <c r="B18" s="23" t="s">
        <v>860</v>
      </c>
      <c r="C18" s="23" t="s">
        <v>898</v>
      </c>
      <c r="D18" s="23" t="s">
        <v>1848</v>
      </c>
      <c r="E18" s="23" t="s">
        <v>1854</v>
      </c>
      <c r="F18" s="23" t="s">
        <v>388</v>
      </c>
      <c r="G18" s="23"/>
      <c r="H18" s="23" t="s">
        <v>388</v>
      </c>
      <c r="I18" s="23" t="s">
        <v>1854</v>
      </c>
      <c r="J18" s="23">
        <v>23100000</v>
      </c>
      <c r="K18" s="23" t="s">
        <v>899</v>
      </c>
      <c r="L18" s="23" t="s">
        <v>862</v>
      </c>
      <c r="M18" s="23" t="s">
        <v>863</v>
      </c>
      <c r="N18" s="23">
        <v>8139</v>
      </c>
      <c r="O18" s="23" t="s">
        <v>1855</v>
      </c>
      <c r="P18" s="23" t="s">
        <v>1856</v>
      </c>
      <c r="Q18" s="23" t="s">
        <v>388</v>
      </c>
      <c r="R18" s="23" t="s">
        <v>864</v>
      </c>
      <c r="S18" s="23" t="s">
        <v>1857</v>
      </c>
      <c r="T18" s="23" t="s">
        <v>1858</v>
      </c>
      <c r="U18" s="23">
        <v>4500</v>
      </c>
      <c r="V18" s="23" t="s">
        <v>865</v>
      </c>
      <c r="W18" s="23">
        <v>1155</v>
      </c>
      <c r="X18" s="23">
        <v>5197500</v>
      </c>
      <c r="Y18" s="23">
        <v>23100000</v>
      </c>
      <c r="Z18" s="23" t="s">
        <v>866</v>
      </c>
      <c r="AA18" s="23"/>
      <c r="AB18" s="23"/>
      <c r="AC18" s="23" t="s">
        <v>867</v>
      </c>
      <c r="AD18" s="23"/>
      <c r="AE18" s="23"/>
      <c r="AF18" s="23" t="s">
        <v>896</v>
      </c>
      <c r="AG18" s="23" t="s">
        <v>869</v>
      </c>
    </row>
    <row r="19" spans="1:33">
      <c r="A19" s="23" t="s">
        <v>897</v>
      </c>
      <c r="B19" s="23" t="s">
        <v>860</v>
      </c>
      <c r="C19" s="23" t="s">
        <v>898</v>
      </c>
      <c r="D19" s="23" t="s">
        <v>1848</v>
      </c>
      <c r="E19" s="23" t="s">
        <v>1854</v>
      </c>
      <c r="F19" s="23" t="s">
        <v>388</v>
      </c>
      <c r="G19" s="23"/>
      <c r="H19" s="23" t="s">
        <v>388</v>
      </c>
      <c r="I19" s="23" t="s">
        <v>1854</v>
      </c>
      <c r="J19" s="23"/>
      <c r="K19" s="23" t="s">
        <v>899</v>
      </c>
      <c r="L19" s="23" t="s">
        <v>862</v>
      </c>
      <c r="M19" s="23" t="s">
        <v>863</v>
      </c>
      <c r="N19" s="23"/>
      <c r="O19" s="23" t="s">
        <v>1855</v>
      </c>
      <c r="P19" s="23" t="s">
        <v>1859</v>
      </c>
      <c r="Q19" s="23" t="s">
        <v>388</v>
      </c>
      <c r="R19" s="23" t="s">
        <v>864</v>
      </c>
      <c r="S19" s="23" t="s">
        <v>1860</v>
      </c>
      <c r="T19" s="23" t="s">
        <v>1861</v>
      </c>
      <c r="U19" s="23">
        <v>400</v>
      </c>
      <c r="V19" s="23" t="s">
        <v>882</v>
      </c>
      <c r="W19" s="23">
        <v>1155</v>
      </c>
      <c r="X19" s="23">
        <v>462000</v>
      </c>
      <c r="Y19" s="23"/>
      <c r="Z19" s="23" t="s">
        <v>866</v>
      </c>
      <c r="AA19" s="23"/>
      <c r="AB19" s="23"/>
      <c r="AC19" s="23" t="s">
        <v>867</v>
      </c>
      <c r="AD19" s="23"/>
      <c r="AE19" s="23"/>
      <c r="AF19" s="23" t="s">
        <v>896</v>
      </c>
      <c r="AG19" s="23" t="s">
        <v>869</v>
      </c>
    </row>
    <row r="20" spans="1:33">
      <c r="A20" s="23" t="s">
        <v>897</v>
      </c>
      <c r="B20" s="23" t="s">
        <v>860</v>
      </c>
      <c r="C20" s="23" t="s">
        <v>898</v>
      </c>
      <c r="D20" s="23" t="s">
        <v>1848</v>
      </c>
      <c r="E20" s="23" t="s">
        <v>1854</v>
      </c>
      <c r="F20" s="23" t="s">
        <v>388</v>
      </c>
      <c r="G20" s="23"/>
      <c r="H20" s="23" t="s">
        <v>388</v>
      </c>
      <c r="I20" s="23" t="s">
        <v>1854</v>
      </c>
      <c r="J20" s="23"/>
      <c r="K20" s="23" t="s">
        <v>899</v>
      </c>
      <c r="L20" s="23" t="s">
        <v>862</v>
      </c>
      <c r="M20" s="23" t="s">
        <v>863</v>
      </c>
      <c r="N20" s="23"/>
      <c r="O20" s="23" t="s">
        <v>1855</v>
      </c>
      <c r="P20" s="23" t="s">
        <v>1859</v>
      </c>
      <c r="Q20" s="23" t="s">
        <v>388</v>
      </c>
      <c r="R20" s="23" t="s">
        <v>864</v>
      </c>
      <c r="S20" s="23" t="s">
        <v>1860</v>
      </c>
      <c r="T20" s="23" t="s">
        <v>1861</v>
      </c>
      <c r="U20" s="23">
        <v>400</v>
      </c>
      <c r="V20" s="23" t="s">
        <v>870</v>
      </c>
      <c r="W20" s="23">
        <v>1155</v>
      </c>
      <c r="X20" s="23">
        <v>462000</v>
      </c>
      <c r="Y20" s="23"/>
      <c r="Z20" s="23" t="s">
        <v>866</v>
      </c>
      <c r="AA20" s="23"/>
      <c r="AB20" s="23"/>
      <c r="AC20" s="23" t="s">
        <v>867</v>
      </c>
      <c r="AD20" s="23"/>
      <c r="AE20" s="23"/>
      <c r="AF20" s="23" t="s">
        <v>896</v>
      </c>
      <c r="AG20" s="23" t="s">
        <v>869</v>
      </c>
    </row>
    <row r="21" spans="1:33">
      <c r="A21" s="23" t="s">
        <v>904</v>
      </c>
      <c r="B21" s="23" t="s">
        <v>885</v>
      </c>
      <c r="C21" s="23" t="s">
        <v>905</v>
      </c>
      <c r="D21" s="23" t="s">
        <v>1862</v>
      </c>
      <c r="E21" s="23" t="s">
        <v>1862</v>
      </c>
      <c r="F21" s="23" t="s">
        <v>388</v>
      </c>
      <c r="G21" s="23"/>
      <c r="H21" s="23" t="s">
        <v>388</v>
      </c>
      <c r="I21" s="23" t="s">
        <v>1862</v>
      </c>
      <c r="J21" s="23">
        <v>5340000</v>
      </c>
      <c r="K21" s="23" t="s">
        <v>388</v>
      </c>
      <c r="L21" s="23" t="s">
        <v>862</v>
      </c>
      <c r="M21" s="23" t="s">
        <v>863</v>
      </c>
      <c r="N21" s="23">
        <v>5216</v>
      </c>
      <c r="O21" s="23" t="s">
        <v>1863</v>
      </c>
      <c r="P21" s="23" t="s">
        <v>1864</v>
      </c>
      <c r="Q21" s="23" t="s">
        <v>388</v>
      </c>
      <c r="R21" s="23" t="s">
        <v>864</v>
      </c>
      <c r="S21" s="23" t="s">
        <v>1865</v>
      </c>
      <c r="T21" s="23" t="s">
        <v>1866</v>
      </c>
      <c r="U21" s="23" t="s">
        <v>1867</v>
      </c>
      <c r="V21" s="23" t="s">
        <v>888</v>
      </c>
      <c r="W21" s="23">
        <v>445</v>
      </c>
      <c r="X21" s="23">
        <v>5340000</v>
      </c>
      <c r="Y21" s="23">
        <v>5340000</v>
      </c>
      <c r="Z21" s="23" t="s">
        <v>866</v>
      </c>
      <c r="AA21" s="23"/>
      <c r="AB21" s="23"/>
      <c r="AC21" s="23" t="s">
        <v>867</v>
      </c>
      <c r="AD21" s="23"/>
      <c r="AE21" s="23"/>
      <c r="AF21" s="23" t="s">
        <v>906</v>
      </c>
      <c r="AG21" s="23" t="s">
        <v>907</v>
      </c>
    </row>
    <row r="22" spans="1:33">
      <c r="A22" s="23" t="s">
        <v>908</v>
      </c>
      <c r="B22" s="23" t="s">
        <v>860</v>
      </c>
      <c r="C22" s="23" t="s">
        <v>905</v>
      </c>
      <c r="D22" s="23" t="s">
        <v>1862</v>
      </c>
      <c r="E22" s="23" t="s">
        <v>1862</v>
      </c>
      <c r="F22" s="23" t="s">
        <v>388</v>
      </c>
      <c r="G22" s="23"/>
      <c r="H22" s="23" t="s">
        <v>388</v>
      </c>
      <c r="I22" s="23" t="s">
        <v>1862</v>
      </c>
      <c r="J22" s="23">
        <v>17325000</v>
      </c>
      <c r="K22" s="23" t="s">
        <v>388</v>
      </c>
      <c r="L22" s="23" t="s">
        <v>862</v>
      </c>
      <c r="M22" s="23" t="s">
        <v>863</v>
      </c>
      <c r="N22" s="23">
        <v>532</v>
      </c>
      <c r="O22" s="23" t="s">
        <v>1868</v>
      </c>
      <c r="P22" s="23" t="s">
        <v>1869</v>
      </c>
      <c r="Q22" s="23" t="s">
        <v>388</v>
      </c>
      <c r="R22" s="23" t="s">
        <v>864</v>
      </c>
      <c r="S22" s="23" t="s">
        <v>1870</v>
      </c>
      <c r="T22" s="23" t="s">
        <v>1871</v>
      </c>
      <c r="U22" s="23">
        <v>4000</v>
      </c>
      <c r="V22" s="23" t="s">
        <v>1383</v>
      </c>
      <c r="W22" s="23">
        <v>1155</v>
      </c>
      <c r="X22" s="23">
        <v>4620000</v>
      </c>
      <c r="Y22" s="23">
        <v>17325000</v>
      </c>
      <c r="Z22" s="23" t="s">
        <v>866</v>
      </c>
      <c r="AA22" s="23"/>
      <c r="AB22" s="23"/>
      <c r="AC22" s="23" t="s">
        <v>867</v>
      </c>
      <c r="AD22" s="23"/>
      <c r="AE22" s="23"/>
      <c r="AF22" s="23" t="s">
        <v>1872</v>
      </c>
      <c r="AG22" s="23" t="s">
        <v>1414</v>
      </c>
    </row>
    <row r="23" spans="1:33">
      <c r="A23" s="23" t="s">
        <v>909</v>
      </c>
      <c r="B23" s="23" t="s">
        <v>860</v>
      </c>
      <c r="C23" s="23" t="s">
        <v>910</v>
      </c>
      <c r="D23" s="23" t="s">
        <v>1873</v>
      </c>
      <c r="E23" s="23" t="s">
        <v>1873</v>
      </c>
      <c r="F23" s="23" t="s">
        <v>388</v>
      </c>
      <c r="G23" s="23"/>
      <c r="H23" s="23" t="s">
        <v>388</v>
      </c>
      <c r="I23" s="23" t="s">
        <v>1873</v>
      </c>
      <c r="J23" s="23">
        <v>50860000</v>
      </c>
      <c r="K23" s="23" t="s">
        <v>388</v>
      </c>
      <c r="L23" s="23" t="s">
        <v>862</v>
      </c>
      <c r="M23" s="23" t="s">
        <v>863</v>
      </c>
      <c r="N23" s="23">
        <v>4107</v>
      </c>
      <c r="O23" s="23" t="s">
        <v>1874</v>
      </c>
      <c r="P23" s="23" t="s">
        <v>1875</v>
      </c>
      <c r="Q23" s="23" t="s">
        <v>388</v>
      </c>
      <c r="R23" s="23" t="s">
        <v>864</v>
      </c>
      <c r="S23" s="23" t="s">
        <v>1876</v>
      </c>
      <c r="T23" s="23" t="s">
        <v>1877</v>
      </c>
      <c r="U23" s="23">
        <v>20000</v>
      </c>
      <c r="V23" s="23" t="s">
        <v>865</v>
      </c>
      <c r="W23" s="23">
        <v>1155</v>
      </c>
      <c r="X23" s="23">
        <v>46200000</v>
      </c>
      <c r="Y23" s="23">
        <v>50860000</v>
      </c>
      <c r="Z23" s="23" t="s">
        <v>866</v>
      </c>
      <c r="AA23" s="23"/>
      <c r="AB23" s="23"/>
      <c r="AC23" s="23" t="s">
        <v>867</v>
      </c>
      <c r="AD23" s="23"/>
      <c r="AE23" s="23"/>
      <c r="AF23" s="23" t="s">
        <v>1390</v>
      </c>
      <c r="AG23" s="23" t="s">
        <v>869</v>
      </c>
    </row>
    <row r="24" spans="1:33">
      <c r="A24" s="23" t="s">
        <v>909</v>
      </c>
      <c r="B24" s="23" t="s">
        <v>860</v>
      </c>
      <c r="C24" s="23" t="s">
        <v>910</v>
      </c>
      <c r="D24" s="23" t="s">
        <v>1873</v>
      </c>
      <c r="E24" s="23" t="s">
        <v>1873</v>
      </c>
      <c r="F24" s="23" t="s">
        <v>388</v>
      </c>
      <c r="G24" s="23"/>
      <c r="H24" s="23" t="s">
        <v>388</v>
      </c>
      <c r="I24" s="23" t="s">
        <v>1873</v>
      </c>
      <c r="J24" s="23"/>
      <c r="K24" s="23" t="s">
        <v>388</v>
      </c>
      <c r="L24" s="23" t="s">
        <v>862</v>
      </c>
      <c r="M24" s="23" t="s">
        <v>863</v>
      </c>
      <c r="N24" s="23">
        <v>4107</v>
      </c>
      <c r="O24" s="23" t="s">
        <v>1874</v>
      </c>
      <c r="P24" s="23" t="s">
        <v>1875</v>
      </c>
      <c r="Q24" s="23" t="s">
        <v>388</v>
      </c>
      <c r="R24" s="23" t="s">
        <v>864</v>
      </c>
      <c r="S24" s="23" t="s">
        <v>1878</v>
      </c>
      <c r="T24" s="23" t="s">
        <v>1879</v>
      </c>
      <c r="U24" s="23">
        <v>20000</v>
      </c>
      <c r="V24" s="23" t="s">
        <v>865</v>
      </c>
      <c r="W24" s="23">
        <v>1155</v>
      </c>
      <c r="X24" s="23">
        <v>46200000</v>
      </c>
      <c r="Y24" s="23"/>
      <c r="Z24" s="23" t="s">
        <v>866</v>
      </c>
      <c r="AA24" s="23"/>
      <c r="AB24" s="23"/>
      <c r="AC24" s="23" t="s">
        <v>867</v>
      </c>
      <c r="AD24" s="23"/>
      <c r="AE24" s="23"/>
      <c r="AF24" s="23" t="s">
        <v>1391</v>
      </c>
      <c r="AG24" s="23" t="s">
        <v>869</v>
      </c>
    </row>
    <row r="25" spans="1:33">
      <c r="A25" s="23" t="s">
        <v>909</v>
      </c>
      <c r="B25" s="23" t="s">
        <v>860</v>
      </c>
      <c r="C25" s="23" t="s">
        <v>910</v>
      </c>
      <c r="D25" s="23" t="s">
        <v>1873</v>
      </c>
      <c r="E25" s="23" t="s">
        <v>1873</v>
      </c>
      <c r="F25" s="23" t="s">
        <v>388</v>
      </c>
      <c r="G25" s="23"/>
      <c r="H25" s="23" t="s">
        <v>388</v>
      </c>
      <c r="I25" s="23" t="s">
        <v>1873</v>
      </c>
      <c r="J25" s="23"/>
      <c r="K25" s="23" t="s">
        <v>388</v>
      </c>
      <c r="L25" s="23" t="s">
        <v>862</v>
      </c>
      <c r="M25" s="23" t="s">
        <v>863</v>
      </c>
      <c r="N25" s="23">
        <v>4103</v>
      </c>
      <c r="O25" s="23" t="s">
        <v>1874</v>
      </c>
      <c r="P25" s="23" t="s">
        <v>1875</v>
      </c>
      <c r="Q25" s="23" t="s">
        <v>388</v>
      </c>
      <c r="R25" s="23" t="s">
        <v>864</v>
      </c>
      <c r="S25" s="23" t="s">
        <v>1876</v>
      </c>
      <c r="T25" s="23" t="s">
        <v>1877</v>
      </c>
      <c r="U25" s="23">
        <v>1000</v>
      </c>
      <c r="V25" s="23" t="s">
        <v>882</v>
      </c>
      <c r="W25" s="23">
        <v>1165</v>
      </c>
      <c r="X25" s="23">
        <v>1165000</v>
      </c>
      <c r="Y25" s="23"/>
      <c r="Z25" s="23" t="s">
        <v>866</v>
      </c>
      <c r="AA25" s="23"/>
      <c r="AB25" s="23"/>
      <c r="AC25" s="23" t="s">
        <v>867</v>
      </c>
      <c r="AD25" s="23"/>
      <c r="AE25" s="23"/>
      <c r="AF25" s="23" t="s">
        <v>903</v>
      </c>
      <c r="AG25" s="23" t="s">
        <v>869</v>
      </c>
    </row>
    <row r="26" spans="1:33">
      <c r="A26" s="23" t="s">
        <v>911</v>
      </c>
      <c r="B26" s="23" t="s">
        <v>885</v>
      </c>
      <c r="C26" s="23" t="s">
        <v>912</v>
      </c>
      <c r="D26" s="23" t="s">
        <v>1814</v>
      </c>
      <c r="E26" s="23" t="s">
        <v>1814</v>
      </c>
      <c r="F26" s="23" t="s">
        <v>388</v>
      </c>
      <c r="G26" s="23"/>
      <c r="H26" s="23" t="s">
        <v>388</v>
      </c>
      <c r="I26" s="23" t="s">
        <v>1814</v>
      </c>
      <c r="J26" s="23">
        <v>400500</v>
      </c>
      <c r="K26" s="23" t="s">
        <v>388</v>
      </c>
      <c r="L26" s="23" t="s">
        <v>862</v>
      </c>
      <c r="M26" s="23" t="s">
        <v>863</v>
      </c>
      <c r="N26" s="23" t="s">
        <v>913</v>
      </c>
      <c r="O26" s="23" t="s">
        <v>1880</v>
      </c>
      <c r="P26" s="23" t="s">
        <v>1881</v>
      </c>
      <c r="Q26" s="23" t="s">
        <v>388</v>
      </c>
      <c r="R26" s="23" t="s">
        <v>864</v>
      </c>
      <c r="S26" s="23" t="s">
        <v>1882</v>
      </c>
      <c r="T26" s="23" t="s">
        <v>1883</v>
      </c>
      <c r="U26" s="23" t="s">
        <v>1884</v>
      </c>
      <c r="V26" s="23" t="s">
        <v>888</v>
      </c>
      <c r="W26" s="23">
        <v>445</v>
      </c>
      <c r="X26" s="23">
        <v>1068000</v>
      </c>
      <c r="Y26" s="23">
        <v>400500</v>
      </c>
      <c r="Z26" s="23" t="s">
        <v>866</v>
      </c>
      <c r="AA26" s="23"/>
      <c r="AB26" s="23"/>
      <c r="AC26" s="23" t="s">
        <v>867</v>
      </c>
      <c r="AD26" s="23"/>
      <c r="AE26" s="23"/>
      <c r="AF26" s="23" t="s">
        <v>914</v>
      </c>
      <c r="AG26" s="23" t="s">
        <v>869</v>
      </c>
    </row>
    <row r="27" spans="1:33">
      <c r="A27" s="23" t="s">
        <v>1885</v>
      </c>
      <c r="B27" s="23" t="s">
        <v>885</v>
      </c>
      <c r="C27" s="23" t="s">
        <v>917</v>
      </c>
      <c r="D27" s="23" t="s">
        <v>1886</v>
      </c>
      <c r="E27" s="23" t="s">
        <v>1886</v>
      </c>
      <c r="F27" s="23" t="s">
        <v>388</v>
      </c>
      <c r="G27" s="23"/>
      <c r="H27" s="23" t="s">
        <v>388</v>
      </c>
      <c r="I27" s="23" t="s">
        <v>1886</v>
      </c>
      <c r="J27" s="23">
        <v>3115000</v>
      </c>
      <c r="K27" s="23" t="s">
        <v>388</v>
      </c>
      <c r="L27" s="23" t="s">
        <v>862</v>
      </c>
      <c r="M27" s="23" t="s">
        <v>863</v>
      </c>
      <c r="N27" s="23">
        <v>10321</v>
      </c>
      <c r="O27" s="23" t="s">
        <v>1887</v>
      </c>
      <c r="P27" s="23" t="s">
        <v>1888</v>
      </c>
      <c r="Q27" s="23" t="s">
        <v>388</v>
      </c>
      <c r="R27" s="23" t="s">
        <v>864</v>
      </c>
      <c r="S27" s="23" t="s">
        <v>1888</v>
      </c>
      <c r="T27" s="23" t="s">
        <v>902</v>
      </c>
      <c r="U27" s="23" t="s">
        <v>1889</v>
      </c>
      <c r="V27" s="23" t="s">
        <v>888</v>
      </c>
      <c r="W27" s="23">
        <v>445</v>
      </c>
      <c r="X27" s="23">
        <v>1780000</v>
      </c>
      <c r="Y27" s="23">
        <v>3115000</v>
      </c>
      <c r="Z27" s="23" t="s">
        <v>866</v>
      </c>
      <c r="AA27" s="23"/>
      <c r="AB27" s="23"/>
      <c r="AC27" s="23" t="s">
        <v>867</v>
      </c>
      <c r="AD27" s="23"/>
      <c r="AE27" s="23"/>
      <c r="AF27" s="23" t="s">
        <v>896</v>
      </c>
      <c r="AG27" s="23" t="s">
        <v>869</v>
      </c>
    </row>
    <row r="28" spans="1:33">
      <c r="A28" s="23" t="s">
        <v>1890</v>
      </c>
      <c r="B28" s="23" t="s">
        <v>860</v>
      </c>
      <c r="C28" s="23" t="s">
        <v>918</v>
      </c>
      <c r="D28" s="23" t="s">
        <v>1891</v>
      </c>
      <c r="E28" s="23" t="s">
        <v>1891</v>
      </c>
      <c r="F28" s="23" t="s">
        <v>388</v>
      </c>
      <c r="G28" s="23"/>
      <c r="H28" s="23" t="s">
        <v>388</v>
      </c>
      <c r="I28" s="23" t="s">
        <v>1891</v>
      </c>
      <c r="J28" s="23">
        <v>13860000</v>
      </c>
      <c r="K28" s="23" t="s">
        <v>388</v>
      </c>
      <c r="L28" s="23" t="s">
        <v>862</v>
      </c>
      <c r="M28" s="23" t="s">
        <v>863</v>
      </c>
      <c r="N28" s="23" t="s">
        <v>919</v>
      </c>
      <c r="O28" s="23" t="s">
        <v>1892</v>
      </c>
      <c r="P28" s="23" t="s">
        <v>1893</v>
      </c>
      <c r="Q28" s="23" t="s">
        <v>388</v>
      </c>
      <c r="R28" s="23" t="s">
        <v>864</v>
      </c>
      <c r="S28" s="23" t="s">
        <v>1894</v>
      </c>
      <c r="T28" s="23" t="s">
        <v>902</v>
      </c>
      <c r="U28" s="23">
        <v>12000</v>
      </c>
      <c r="V28" s="23" t="s">
        <v>873</v>
      </c>
      <c r="W28" s="23">
        <v>1155</v>
      </c>
      <c r="X28" s="23">
        <v>13860000</v>
      </c>
      <c r="Y28" s="23">
        <v>13860000</v>
      </c>
      <c r="Z28" s="23" t="s">
        <v>866</v>
      </c>
      <c r="AA28" s="23"/>
      <c r="AB28" s="23"/>
      <c r="AC28" s="23" t="s">
        <v>867</v>
      </c>
      <c r="AD28" s="23"/>
      <c r="AE28" s="23"/>
      <c r="AF28" s="23" t="s">
        <v>903</v>
      </c>
      <c r="AG28" s="23" t="s">
        <v>869</v>
      </c>
    </row>
    <row r="29" spans="1:33">
      <c r="A29" s="23" t="s">
        <v>1895</v>
      </c>
      <c r="B29" s="23" t="s">
        <v>860</v>
      </c>
      <c r="C29" s="23" t="s">
        <v>920</v>
      </c>
      <c r="D29" s="23" t="s">
        <v>1848</v>
      </c>
      <c r="E29" s="23" t="s">
        <v>1848</v>
      </c>
      <c r="F29" s="23" t="s">
        <v>388</v>
      </c>
      <c r="G29" s="23"/>
      <c r="H29" s="23" t="s">
        <v>388</v>
      </c>
      <c r="I29" s="23" t="s">
        <v>1848</v>
      </c>
      <c r="J29" s="23">
        <v>17214120</v>
      </c>
      <c r="K29" s="23" t="s">
        <v>388</v>
      </c>
      <c r="L29" s="23" t="s">
        <v>862</v>
      </c>
      <c r="M29" s="23" t="s">
        <v>863</v>
      </c>
      <c r="N29" s="23">
        <v>7717</v>
      </c>
      <c r="O29" s="23" t="s">
        <v>1896</v>
      </c>
      <c r="P29" s="23" t="s">
        <v>1897</v>
      </c>
      <c r="Q29" s="23" t="s">
        <v>388</v>
      </c>
      <c r="R29" s="23" t="s">
        <v>864</v>
      </c>
      <c r="S29" s="23" t="s">
        <v>1898</v>
      </c>
      <c r="T29" s="23" t="s">
        <v>1899</v>
      </c>
      <c r="U29" s="23">
        <v>14904</v>
      </c>
      <c r="V29" s="23" t="s">
        <v>873</v>
      </c>
      <c r="W29" s="23">
        <v>1155</v>
      </c>
      <c r="X29" s="23">
        <v>17214120</v>
      </c>
      <c r="Y29" s="23">
        <v>17214120</v>
      </c>
      <c r="Z29" s="23" t="s">
        <v>866</v>
      </c>
      <c r="AA29" s="23"/>
      <c r="AB29" s="23"/>
      <c r="AC29" s="23" t="s">
        <v>895</v>
      </c>
      <c r="AD29" s="23"/>
      <c r="AE29" s="23"/>
      <c r="AF29" s="23" t="s">
        <v>903</v>
      </c>
      <c r="AG29" s="23" t="s">
        <v>869</v>
      </c>
    </row>
    <row r="30" spans="1:33">
      <c r="A30" s="23" t="s">
        <v>1900</v>
      </c>
      <c r="B30" s="23" t="s">
        <v>885</v>
      </c>
      <c r="C30" s="23" t="s">
        <v>921</v>
      </c>
      <c r="D30" s="23" t="s">
        <v>1901</v>
      </c>
      <c r="E30" s="23" t="s">
        <v>1901</v>
      </c>
      <c r="F30" s="23" t="s">
        <v>388</v>
      </c>
      <c r="G30" s="23"/>
      <c r="H30" s="23" t="s">
        <v>388</v>
      </c>
      <c r="I30" s="23" t="s">
        <v>1901</v>
      </c>
      <c r="J30" s="23">
        <v>13290000</v>
      </c>
      <c r="K30" s="23" t="s">
        <v>388</v>
      </c>
      <c r="L30" s="23" t="s">
        <v>862</v>
      </c>
      <c r="M30" s="23" t="s">
        <v>863</v>
      </c>
      <c r="N30" s="23">
        <v>8059</v>
      </c>
      <c r="O30" s="23" t="s">
        <v>1902</v>
      </c>
      <c r="P30" s="23" t="s">
        <v>1903</v>
      </c>
      <c r="Q30" s="23" t="s">
        <v>388</v>
      </c>
      <c r="R30" s="23" t="s">
        <v>864</v>
      </c>
      <c r="S30" s="23" t="s">
        <v>1865</v>
      </c>
      <c r="T30" s="23" t="s">
        <v>1904</v>
      </c>
      <c r="U30" s="23" t="s">
        <v>1905</v>
      </c>
      <c r="V30" s="23" t="s">
        <v>888</v>
      </c>
      <c r="W30" s="23">
        <v>443</v>
      </c>
      <c r="X30" s="23">
        <v>6645000</v>
      </c>
      <c r="Y30" s="23">
        <v>13290000</v>
      </c>
      <c r="Z30" s="23" t="s">
        <v>866</v>
      </c>
      <c r="AA30" s="23"/>
      <c r="AB30" s="23"/>
      <c r="AC30" s="23" t="s">
        <v>895</v>
      </c>
      <c r="AD30" s="23"/>
      <c r="AE30" s="23"/>
      <c r="AF30" s="23" t="s">
        <v>922</v>
      </c>
      <c r="AG30" s="23" t="s">
        <v>923</v>
      </c>
    </row>
    <row r="31" spans="1:33">
      <c r="A31" s="23" t="s">
        <v>1906</v>
      </c>
      <c r="B31" s="23" t="s">
        <v>860</v>
      </c>
      <c r="C31" s="23" t="s">
        <v>925</v>
      </c>
      <c r="D31" s="23" t="s">
        <v>1804</v>
      </c>
      <c r="E31" s="23" t="s">
        <v>1804</v>
      </c>
      <c r="F31" s="23" t="s">
        <v>388</v>
      </c>
      <c r="G31" s="23"/>
      <c r="H31" s="23" t="s">
        <v>388</v>
      </c>
      <c r="I31" s="23" t="s">
        <v>1804</v>
      </c>
      <c r="J31" s="23">
        <v>23100000</v>
      </c>
      <c r="K31" s="23" t="s">
        <v>388</v>
      </c>
      <c r="L31" s="23" t="s">
        <v>862</v>
      </c>
      <c r="M31" s="23" t="s">
        <v>863</v>
      </c>
      <c r="N31" s="23" t="s">
        <v>1389</v>
      </c>
      <c r="O31" s="23" t="s">
        <v>1907</v>
      </c>
      <c r="P31" s="23" t="s">
        <v>1908</v>
      </c>
      <c r="Q31" s="23" t="s">
        <v>899</v>
      </c>
      <c r="R31" s="23" t="s">
        <v>864</v>
      </c>
      <c r="S31" s="23" t="s">
        <v>1888</v>
      </c>
      <c r="T31" s="23" t="s">
        <v>1909</v>
      </c>
      <c r="U31" s="23">
        <v>4000</v>
      </c>
      <c r="V31" s="23" t="s">
        <v>873</v>
      </c>
      <c r="W31" s="23">
        <v>1155</v>
      </c>
      <c r="X31" s="23">
        <v>4620000</v>
      </c>
      <c r="Y31" s="23">
        <v>23100000</v>
      </c>
      <c r="Z31" s="23" t="s">
        <v>866</v>
      </c>
      <c r="AA31" s="23"/>
      <c r="AB31" s="23"/>
      <c r="AC31" s="23" t="s">
        <v>916</v>
      </c>
      <c r="AD31" s="23"/>
      <c r="AE31" s="23"/>
      <c r="AF31" s="23" t="s">
        <v>1910</v>
      </c>
      <c r="AG31" s="23"/>
    </row>
    <row r="32" spans="1:33">
      <c r="A32" s="23" t="s">
        <v>1946</v>
      </c>
      <c r="B32" s="23" t="s">
        <v>860</v>
      </c>
      <c r="C32" s="23" t="s">
        <v>933</v>
      </c>
      <c r="D32" s="23" t="s">
        <v>1911</v>
      </c>
      <c r="E32" s="23" t="s">
        <v>1911</v>
      </c>
      <c r="F32" s="23" t="s">
        <v>388</v>
      </c>
      <c r="G32" s="23"/>
      <c r="H32" s="23" t="s">
        <v>388</v>
      </c>
      <c r="I32" s="23" t="s">
        <v>1911</v>
      </c>
      <c r="J32" s="23">
        <v>594049680</v>
      </c>
      <c r="K32" s="23" t="s">
        <v>899</v>
      </c>
      <c r="L32" s="23" t="s">
        <v>927</v>
      </c>
      <c r="M32" s="23" t="s">
        <v>899</v>
      </c>
      <c r="N32" s="23"/>
      <c r="O32" s="23"/>
      <c r="P32" s="23"/>
      <c r="Q32" s="23"/>
      <c r="R32" s="23"/>
      <c r="S32" s="23"/>
      <c r="T32" s="23"/>
      <c r="U32" s="23">
        <v>420120</v>
      </c>
      <c r="V32" s="23" t="s">
        <v>935</v>
      </c>
      <c r="W32" s="23">
        <v>1168</v>
      </c>
      <c r="X32" s="23"/>
      <c r="Y32" s="23">
        <v>490700160</v>
      </c>
      <c r="Z32" s="23" t="s">
        <v>866</v>
      </c>
      <c r="AA32" s="23"/>
      <c r="AB32" s="23"/>
      <c r="AC32" s="23" t="s">
        <v>867</v>
      </c>
      <c r="AD32" s="23"/>
      <c r="AE32" s="23"/>
      <c r="AF32" s="23" t="s">
        <v>934</v>
      </c>
      <c r="AG32" s="23" t="s">
        <v>1912</v>
      </c>
    </row>
    <row r="33" spans="1:33">
      <c r="A33" s="23" t="s">
        <v>1913</v>
      </c>
      <c r="B33" s="23" t="s">
        <v>885</v>
      </c>
      <c r="C33" s="23" t="s">
        <v>662</v>
      </c>
      <c r="D33" s="23" t="s">
        <v>1814</v>
      </c>
      <c r="E33" s="23" t="s">
        <v>1814</v>
      </c>
      <c r="F33" s="23" t="s">
        <v>388</v>
      </c>
      <c r="G33" s="23"/>
      <c r="H33" s="23" t="s">
        <v>388</v>
      </c>
      <c r="I33" s="23" t="s">
        <v>1814</v>
      </c>
      <c r="J33" s="23">
        <v>29400000</v>
      </c>
      <c r="K33" s="23" t="s">
        <v>388</v>
      </c>
      <c r="L33" s="23" t="s">
        <v>862</v>
      </c>
      <c r="M33" s="23" t="s">
        <v>863</v>
      </c>
      <c r="N33" s="23" t="s">
        <v>936</v>
      </c>
      <c r="O33" s="23" t="s">
        <v>1914</v>
      </c>
      <c r="P33" s="23" t="s">
        <v>1915</v>
      </c>
      <c r="Q33" s="23" t="s">
        <v>388</v>
      </c>
      <c r="R33" s="23" t="s">
        <v>864</v>
      </c>
      <c r="S33" s="23"/>
      <c r="T33" s="23" t="s">
        <v>1916</v>
      </c>
      <c r="U33" s="23">
        <v>6500</v>
      </c>
      <c r="V33" s="23" t="s">
        <v>932</v>
      </c>
      <c r="W33" s="23">
        <v>443</v>
      </c>
      <c r="X33" s="23">
        <v>2879500</v>
      </c>
      <c r="Y33" s="23">
        <v>10632000</v>
      </c>
      <c r="Z33" s="23" t="s">
        <v>866</v>
      </c>
      <c r="AA33" s="23"/>
      <c r="AB33" s="23"/>
      <c r="AC33" s="23" t="s">
        <v>937</v>
      </c>
      <c r="AD33" s="23"/>
      <c r="AE33" s="23"/>
      <c r="AF33" s="23" t="s">
        <v>869</v>
      </c>
      <c r="AG33" s="23" t="s">
        <v>938</v>
      </c>
    </row>
    <row r="34" spans="1:33">
      <c r="A34" s="23" t="s">
        <v>1913</v>
      </c>
      <c r="B34" s="23" t="s">
        <v>885</v>
      </c>
      <c r="C34" s="23" t="s">
        <v>662</v>
      </c>
      <c r="D34" s="23" t="s">
        <v>1814</v>
      </c>
      <c r="E34" s="23" t="s">
        <v>1814</v>
      </c>
      <c r="F34" s="23" t="s">
        <v>388</v>
      </c>
      <c r="G34" s="23"/>
      <c r="H34" s="23" t="s">
        <v>388</v>
      </c>
      <c r="I34" s="23" t="s">
        <v>1814</v>
      </c>
      <c r="J34" s="23"/>
      <c r="K34" s="23" t="s">
        <v>388</v>
      </c>
      <c r="L34" s="23" t="s">
        <v>862</v>
      </c>
      <c r="M34" s="23" t="s">
        <v>863</v>
      </c>
      <c r="N34" s="23" t="s">
        <v>939</v>
      </c>
      <c r="O34" s="23" t="s">
        <v>1917</v>
      </c>
      <c r="P34" s="23" t="s">
        <v>1918</v>
      </c>
      <c r="Q34" s="23" t="s">
        <v>388</v>
      </c>
      <c r="R34" s="23" t="s">
        <v>864</v>
      </c>
      <c r="S34" s="23"/>
      <c r="T34" s="23" t="s">
        <v>1916</v>
      </c>
      <c r="U34" s="23">
        <v>6500</v>
      </c>
      <c r="V34" s="23" t="s">
        <v>932</v>
      </c>
      <c r="W34" s="23">
        <v>443</v>
      </c>
      <c r="X34" s="23">
        <v>2879500</v>
      </c>
      <c r="Y34" s="23">
        <v>2879500</v>
      </c>
      <c r="Z34" s="23" t="s">
        <v>866</v>
      </c>
      <c r="AA34" s="23"/>
      <c r="AB34" s="23"/>
      <c r="AC34" s="23" t="s">
        <v>937</v>
      </c>
      <c r="AD34" s="23"/>
      <c r="AE34" s="23"/>
      <c r="AF34" s="23" t="s">
        <v>869</v>
      </c>
      <c r="AG34" s="23" t="s">
        <v>938</v>
      </c>
    </row>
    <row r="35" spans="1:33">
      <c r="A35" s="23" t="s">
        <v>1913</v>
      </c>
      <c r="B35" s="23" t="s">
        <v>885</v>
      </c>
      <c r="C35" s="23" t="s">
        <v>662</v>
      </c>
      <c r="D35" s="23" t="s">
        <v>1814</v>
      </c>
      <c r="E35" s="23" t="s">
        <v>1814</v>
      </c>
      <c r="F35" s="23" t="s">
        <v>388</v>
      </c>
      <c r="G35" s="23"/>
      <c r="H35" s="23" t="s">
        <v>388</v>
      </c>
      <c r="I35" s="23" t="s">
        <v>1814</v>
      </c>
      <c r="J35" s="23"/>
      <c r="K35" s="23" t="s">
        <v>388</v>
      </c>
      <c r="L35" s="23" t="s">
        <v>862</v>
      </c>
      <c r="M35" s="23" t="s">
        <v>863</v>
      </c>
      <c r="N35" s="23" t="s">
        <v>940</v>
      </c>
      <c r="O35" s="23" t="s">
        <v>1919</v>
      </c>
      <c r="P35" s="23" t="s">
        <v>1920</v>
      </c>
      <c r="Q35" s="23" t="s">
        <v>388</v>
      </c>
      <c r="R35" s="23" t="s">
        <v>864</v>
      </c>
      <c r="S35" s="23"/>
      <c r="T35" s="23" t="s">
        <v>1921</v>
      </c>
      <c r="U35" s="23">
        <v>6500</v>
      </c>
      <c r="V35" s="23" t="s">
        <v>932</v>
      </c>
      <c r="W35" s="23">
        <v>443</v>
      </c>
      <c r="X35" s="23">
        <v>2879500</v>
      </c>
      <c r="Y35" s="23">
        <v>2879500</v>
      </c>
      <c r="Z35" s="23" t="s">
        <v>866</v>
      </c>
      <c r="AA35" s="23"/>
      <c r="AB35" s="23"/>
      <c r="AC35" s="23" t="s">
        <v>937</v>
      </c>
      <c r="AD35" s="23"/>
      <c r="AE35" s="23"/>
      <c r="AF35" s="23" t="s">
        <v>869</v>
      </c>
      <c r="AG35" s="23" t="s">
        <v>938</v>
      </c>
    </row>
    <row r="36" spans="1:33">
      <c r="A36" s="23" t="s">
        <v>1913</v>
      </c>
      <c r="B36" s="23" t="s">
        <v>885</v>
      </c>
      <c r="C36" s="23" t="s">
        <v>662</v>
      </c>
      <c r="D36" s="23" t="s">
        <v>1814</v>
      </c>
      <c r="E36" s="23" t="s">
        <v>1814</v>
      </c>
      <c r="F36" s="23" t="s">
        <v>388</v>
      </c>
      <c r="G36" s="23"/>
      <c r="H36" s="23" t="s">
        <v>388</v>
      </c>
      <c r="I36" s="23" t="s">
        <v>1814</v>
      </c>
      <c r="J36" s="23"/>
      <c r="K36" s="23" t="s">
        <v>388</v>
      </c>
      <c r="L36" s="23" t="s">
        <v>862</v>
      </c>
      <c r="M36" s="23" t="s">
        <v>863</v>
      </c>
      <c r="N36" s="23" t="s">
        <v>941</v>
      </c>
      <c r="O36" s="23" t="s">
        <v>1922</v>
      </c>
      <c r="P36" s="23" t="s">
        <v>1923</v>
      </c>
      <c r="Q36" s="23" t="s">
        <v>388</v>
      </c>
      <c r="R36" s="23" t="s">
        <v>864</v>
      </c>
      <c r="S36" s="23"/>
      <c r="T36" s="23" t="s">
        <v>1921</v>
      </c>
      <c r="U36" s="23">
        <v>5000</v>
      </c>
      <c r="V36" s="23" t="s">
        <v>932</v>
      </c>
      <c r="W36" s="23">
        <v>443</v>
      </c>
      <c r="X36" s="23">
        <v>2215000</v>
      </c>
      <c r="Y36" s="23">
        <v>2215000</v>
      </c>
      <c r="Z36" s="23" t="s">
        <v>866</v>
      </c>
      <c r="AA36" s="23"/>
      <c r="AB36" s="23"/>
      <c r="AC36" s="23" t="s">
        <v>937</v>
      </c>
      <c r="AD36" s="23"/>
      <c r="AE36" s="23"/>
      <c r="AF36" s="23" t="s">
        <v>869</v>
      </c>
      <c r="AG36" s="23" t="s">
        <v>938</v>
      </c>
    </row>
    <row r="37" spans="1:33">
      <c r="A37" s="23" t="s">
        <v>1913</v>
      </c>
      <c r="B37" s="23" t="s">
        <v>885</v>
      </c>
      <c r="C37" s="23" t="s">
        <v>662</v>
      </c>
      <c r="D37" s="23" t="s">
        <v>1814</v>
      </c>
      <c r="E37" s="23" t="s">
        <v>1814</v>
      </c>
      <c r="F37" s="23" t="s">
        <v>388</v>
      </c>
      <c r="G37" s="23"/>
      <c r="H37" s="23" t="s">
        <v>388</v>
      </c>
      <c r="I37" s="23" t="s">
        <v>1814</v>
      </c>
      <c r="J37" s="23"/>
      <c r="K37" s="23" t="s">
        <v>388</v>
      </c>
      <c r="L37" s="23" t="s">
        <v>862</v>
      </c>
      <c r="M37" s="23" t="s">
        <v>863</v>
      </c>
      <c r="N37" s="23" t="s">
        <v>942</v>
      </c>
      <c r="O37" s="23" t="s">
        <v>1917</v>
      </c>
      <c r="P37" s="23" t="s">
        <v>1918</v>
      </c>
      <c r="Q37" s="23" t="s">
        <v>388</v>
      </c>
      <c r="R37" s="23" t="s">
        <v>864</v>
      </c>
      <c r="S37" s="23"/>
      <c r="T37" s="23" t="s">
        <v>1924</v>
      </c>
      <c r="U37" s="23">
        <v>5000</v>
      </c>
      <c r="V37" s="23" t="s">
        <v>943</v>
      </c>
      <c r="W37" s="23">
        <v>44</v>
      </c>
      <c r="X37" s="23">
        <v>220000</v>
      </c>
      <c r="Y37" s="23">
        <v>220000</v>
      </c>
      <c r="Z37" s="23" t="s">
        <v>866</v>
      </c>
      <c r="AA37" s="23"/>
      <c r="AB37" s="23"/>
      <c r="AC37" s="23"/>
      <c r="AD37" s="23" t="s">
        <v>1925</v>
      </c>
      <c r="AE37" s="23"/>
      <c r="AF37" s="23" t="s">
        <v>1926</v>
      </c>
      <c r="AG37" s="23" t="s">
        <v>1392</v>
      </c>
    </row>
    <row r="38" spans="1:33">
      <c r="A38" s="23" t="s">
        <v>1913</v>
      </c>
      <c r="B38" s="23" t="s">
        <v>885</v>
      </c>
      <c r="C38" s="23" t="s">
        <v>662</v>
      </c>
      <c r="D38" s="23" t="s">
        <v>1814</v>
      </c>
      <c r="E38" s="23" t="s">
        <v>1814</v>
      </c>
      <c r="F38" s="23" t="s">
        <v>388</v>
      </c>
      <c r="G38" s="23"/>
      <c r="H38" s="23" t="s">
        <v>388</v>
      </c>
      <c r="I38" s="23" t="s">
        <v>1814</v>
      </c>
      <c r="J38" s="23"/>
      <c r="K38" s="23" t="s">
        <v>388</v>
      </c>
      <c r="L38" s="23" t="s">
        <v>862</v>
      </c>
      <c r="M38" s="23" t="s">
        <v>863</v>
      </c>
      <c r="N38" s="23" t="s">
        <v>944</v>
      </c>
      <c r="O38" s="23" t="s">
        <v>1927</v>
      </c>
      <c r="P38" s="23" t="s">
        <v>1928</v>
      </c>
      <c r="Q38" s="23" t="s">
        <v>388</v>
      </c>
      <c r="R38" s="23" t="s">
        <v>864</v>
      </c>
      <c r="S38" s="23"/>
      <c r="T38" s="23" t="s">
        <v>1929</v>
      </c>
      <c r="U38" s="23">
        <v>6500</v>
      </c>
      <c r="V38" s="23" t="s">
        <v>943</v>
      </c>
      <c r="W38" s="23">
        <v>44</v>
      </c>
      <c r="X38" s="23">
        <v>286000</v>
      </c>
      <c r="Y38" s="23">
        <v>286000</v>
      </c>
      <c r="Z38" s="23" t="s">
        <v>866</v>
      </c>
      <c r="AA38" s="23"/>
      <c r="AB38" s="23"/>
      <c r="AC38" s="23" t="s">
        <v>937</v>
      </c>
      <c r="AD38" s="23"/>
      <c r="AE38" s="23"/>
      <c r="AF38" s="23" t="s">
        <v>869</v>
      </c>
      <c r="AG38" s="23" t="s">
        <v>938</v>
      </c>
    </row>
    <row r="39" spans="1:33">
      <c r="A39" s="23" t="s">
        <v>1913</v>
      </c>
      <c r="B39" s="23" t="s">
        <v>885</v>
      </c>
      <c r="C39" s="23" t="s">
        <v>662</v>
      </c>
      <c r="D39" s="23" t="s">
        <v>1814</v>
      </c>
      <c r="E39" s="23" t="s">
        <v>1814</v>
      </c>
      <c r="F39" s="23" t="s">
        <v>388</v>
      </c>
      <c r="G39" s="23"/>
      <c r="H39" s="23" t="s">
        <v>388</v>
      </c>
      <c r="I39" s="23" t="s">
        <v>1814</v>
      </c>
      <c r="J39" s="23"/>
      <c r="K39" s="23" t="s">
        <v>388</v>
      </c>
      <c r="L39" s="23" t="s">
        <v>862</v>
      </c>
      <c r="M39" s="23" t="s">
        <v>863</v>
      </c>
      <c r="N39" s="23" t="s">
        <v>945</v>
      </c>
      <c r="O39" s="23" t="s">
        <v>1930</v>
      </c>
      <c r="P39" s="23" t="s">
        <v>1931</v>
      </c>
      <c r="Q39" s="23" t="s">
        <v>388</v>
      </c>
      <c r="R39" s="23" t="s">
        <v>864</v>
      </c>
      <c r="S39" s="23"/>
      <c r="T39" s="23" t="s">
        <v>1932</v>
      </c>
      <c r="U39" s="23">
        <v>1500</v>
      </c>
      <c r="V39" s="23" t="s">
        <v>946</v>
      </c>
      <c r="W39" s="23">
        <v>310</v>
      </c>
      <c r="X39" s="23">
        <v>465000</v>
      </c>
      <c r="Y39" s="23">
        <v>3100000</v>
      </c>
      <c r="Z39" s="23" t="s">
        <v>866</v>
      </c>
      <c r="AA39" s="23"/>
      <c r="AB39" s="23"/>
      <c r="AC39" s="23" t="s">
        <v>937</v>
      </c>
      <c r="AD39" s="23"/>
      <c r="AE39" s="23"/>
      <c r="AF39" s="23" t="s">
        <v>869</v>
      </c>
      <c r="AG39" s="23" t="s">
        <v>938</v>
      </c>
    </row>
    <row r="40" spans="1:33">
      <c r="A40" s="23" t="s">
        <v>1913</v>
      </c>
      <c r="B40" s="23" t="s">
        <v>885</v>
      </c>
      <c r="C40" s="23" t="s">
        <v>662</v>
      </c>
      <c r="D40" s="23" t="s">
        <v>1814</v>
      </c>
      <c r="E40" s="23" t="s">
        <v>1814</v>
      </c>
      <c r="F40" s="23" t="s">
        <v>388</v>
      </c>
      <c r="G40" s="23"/>
      <c r="H40" s="23" t="s">
        <v>388</v>
      </c>
      <c r="I40" s="23" t="s">
        <v>1814</v>
      </c>
      <c r="J40" s="23"/>
      <c r="K40" s="23" t="s">
        <v>388</v>
      </c>
      <c r="L40" s="23" t="s">
        <v>862</v>
      </c>
      <c r="M40" s="23" t="s">
        <v>863</v>
      </c>
      <c r="N40" s="23" t="s">
        <v>947</v>
      </c>
      <c r="O40" s="23" t="s">
        <v>1917</v>
      </c>
      <c r="P40" s="23" t="s">
        <v>1933</v>
      </c>
      <c r="Q40" s="23" t="s">
        <v>388</v>
      </c>
      <c r="R40" s="23" t="s">
        <v>864</v>
      </c>
      <c r="S40" s="23"/>
      <c r="T40" s="23" t="s">
        <v>1899</v>
      </c>
      <c r="U40" s="23">
        <v>5000</v>
      </c>
      <c r="V40" s="23" t="s">
        <v>946</v>
      </c>
      <c r="W40" s="23">
        <v>310</v>
      </c>
      <c r="X40" s="23">
        <v>1550000</v>
      </c>
      <c r="Y40" s="23">
        <v>3100000</v>
      </c>
      <c r="Z40" s="23" t="s">
        <v>866</v>
      </c>
      <c r="AA40" s="23"/>
      <c r="AB40" s="23"/>
      <c r="AC40" s="23" t="s">
        <v>937</v>
      </c>
      <c r="AD40" s="23"/>
      <c r="AE40" s="23"/>
      <c r="AF40" s="23" t="s">
        <v>1926</v>
      </c>
      <c r="AG40" s="23" t="s">
        <v>1392</v>
      </c>
    </row>
    <row r="41" spans="1:33">
      <c r="A41" s="23" t="s">
        <v>1913</v>
      </c>
      <c r="B41" s="23" t="s">
        <v>885</v>
      </c>
      <c r="C41" s="23" t="s">
        <v>662</v>
      </c>
      <c r="D41" s="23" t="s">
        <v>1814</v>
      </c>
      <c r="E41" s="23" t="s">
        <v>1814</v>
      </c>
      <c r="F41" s="23" t="s">
        <v>388</v>
      </c>
      <c r="G41" s="23"/>
      <c r="H41" s="23" t="s">
        <v>388</v>
      </c>
      <c r="I41" s="23" t="s">
        <v>1814</v>
      </c>
      <c r="J41" s="23"/>
      <c r="K41" s="23" t="s">
        <v>388</v>
      </c>
      <c r="L41" s="23" t="s">
        <v>862</v>
      </c>
      <c r="M41" s="23" t="s">
        <v>863</v>
      </c>
      <c r="N41" s="23" t="s">
        <v>1393</v>
      </c>
      <c r="O41" s="23" t="s">
        <v>1934</v>
      </c>
      <c r="P41" s="23" t="s">
        <v>1935</v>
      </c>
      <c r="Q41" s="23" t="s">
        <v>388</v>
      </c>
      <c r="R41" s="23" t="s">
        <v>864</v>
      </c>
      <c r="S41" s="23"/>
      <c r="T41" s="23"/>
      <c r="U41" s="23">
        <v>5000</v>
      </c>
      <c r="V41" s="23" t="s">
        <v>946</v>
      </c>
      <c r="W41" s="23">
        <v>310</v>
      </c>
      <c r="X41" s="23">
        <v>1550000</v>
      </c>
      <c r="Y41" s="23">
        <v>3100000</v>
      </c>
      <c r="Z41" s="23" t="s">
        <v>866</v>
      </c>
      <c r="AA41" s="23"/>
      <c r="AB41" s="23"/>
      <c r="AC41" s="23"/>
      <c r="AD41" s="23" t="s">
        <v>1925</v>
      </c>
      <c r="AE41" s="23"/>
      <c r="AF41" s="23" t="s">
        <v>869</v>
      </c>
      <c r="AG41" s="23" t="s">
        <v>938</v>
      </c>
    </row>
    <row r="42" spans="1:33">
      <c r="A42" s="23" t="s">
        <v>1936</v>
      </c>
      <c r="B42" s="23" t="s">
        <v>860</v>
      </c>
      <c r="C42" s="23" t="s">
        <v>1937</v>
      </c>
      <c r="D42" s="23" t="s">
        <v>1938</v>
      </c>
      <c r="E42" s="23" t="s">
        <v>1938</v>
      </c>
      <c r="F42" s="23" t="s">
        <v>388</v>
      </c>
      <c r="G42" s="23"/>
      <c r="H42" s="23" t="s">
        <v>388</v>
      </c>
      <c r="I42" s="23" t="s">
        <v>1938</v>
      </c>
      <c r="J42" s="23" t="s">
        <v>1939</v>
      </c>
      <c r="K42" s="23" t="s">
        <v>899</v>
      </c>
      <c r="L42" s="23" t="s">
        <v>1940</v>
      </c>
      <c r="M42" s="23" t="s">
        <v>899</v>
      </c>
      <c r="N42" s="23"/>
      <c r="O42" s="23"/>
      <c r="P42" s="23"/>
      <c r="Q42" s="23"/>
      <c r="R42" s="23"/>
      <c r="S42" s="23"/>
      <c r="T42" s="23"/>
      <c r="U42" s="23" t="s">
        <v>1941</v>
      </c>
      <c r="V42" s="23" t="s">
        <v>865</v>
      </c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 t="s">
        <v>1942</v>
      </c>
    </row>
    <row r="43" spans="1:33">
      <c r="A43" s="23" t="s">
        <v>1936</v>
      </c>
      <c r="B43" s="23" t="s">
        <v>860</v>
      </c>
      <c r="C43" s="23" t="s">
        <v>1937</v>
      </c>
      <c r="D43" s="23" t="s">
        <v>1938</v>
      </c>
      <c r="E43" s="23" t="s">
        <v>1938</v>
      </c>
      <c r="F43" s="23" t="s">
        <v>388</v>
      </c>
      <c r="G43" s="23"/>
      <c r="H43" s="23" t="s">
        <v>388</v>
      </c>
      <c r="I43" s="23" t="s">
        <v>1938</v>
      </c>
      <c r="J43" s="23" t="s">
        <v>1939</v>
      </c>
      <c r="K43" s="23" t="s">
        <v>899</v>
      </c>
      <c r="L43" s="23" t="s">
        <v>1940</v>
      </c>
      <c r="M43" s="23" t="s">
        <v>899</v>
      </c>
      <c r="N43" s="23"/>
      <c r="O43" s="23"/>
      <c r="P43" s="23"/>
      <c r="Q43" s="23"/>
      <c r="R43" s="23"/>
      <c r="S43" s="23"/>
      <c r="T43" s="23"/>
      <c r="U43" s="23" t="s">
        <v>1941</v>
      </c>
      <c r="V43" s="23" t="s">
        <v>882</v>
      </c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 t="s">
        <v>1942</v>
      </c>
    </row>
    <row r="44" spans="1:33">
      <c r="A44" s="23" t="s">
        <v>1936</v>
      </c>
      <c r="B44" s="23" t="s">
        <v>885</v>
      </c>
      <c r="C44" s="23" t="s">
        <v>1937</v>
      </c>
      <c r="D44" s="23" t="s">
        <v>1938</v>
      </c>
      <c r="E44" s="23" t="s">
        <v>1938</v>
      </c>
      <c r="F44" s="23" t="s">
        <v>388</v>
      </c>
      <c r="G44" s="23"/>
      <c r="H44" s="23" t="s">
        <v>388</v>
      </c>
      <c r="I44" s="23" t="s">
        <v>1938</v>
      </c>
      <c r="J44" s="23" t="s">
        <v>1939</v>
      </c>
      <c r="K44" s="23" t="s">
        <v>899</v>
      </c>
      <c r="L44" s="23" t="s">
        <v>1940</v>
      </c>
      <c r="M44" s="23" t="s">
        <v>899</v>
      </c>
      <c r="N44" s="23"/>
      <c r="O44" s="23"/>
      <c r="P44" s="23"/>
      <c r="Q44" s="23"/>
      <c r="R44" s="23"/>
      <c r="S44" s="23"/>
      <c r="T44" s="23"/>
      <c r="U44" s="23" t="s">
        <v>1941</v>
      </c>
      <c r="V44" s="23" t="s">
        <v>888</v>
      </c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 t="s">
        <v>1942</v>
      </c>
    </row>
    <row r="45" spans="1:33">
      <c r="A45" s="23" t="s">
        <v>1943</v>
      </c>
      <c r="B45" s="23" t="s">
        <v>860</v>
      </c>
      <c r="C45" s="23" t="s">
        <v>1944</v>
      </c>
      <c r="D45" s="23" t="s">
        <v>1945</v>
      </c>
      <c r="E45" s="23" t="s">
        <v>1945</v>
      </c>
      <c r="F45" s="23" t="s">
        <v>388</v>
      </c>
      <c r="G45" s="23"/>
      <c r="H45" s="23" t="s">
        <v>388</v>
      </c>
      <c r="I45" s="23" t="s">
        <v>1945</v>
      </c>
      <c r="J45" s="23" t="s">
        <v>1939</v>
      </c>
      <c r="K45" s="23" t="s">
        <v>899</v>
      </c>
      <c r="L45" s="23" t="s">
        <v>1940</v>
      </c>
      <c r="M45" s="23" t="s">
        <v>899</v>
      </c>
      <c r="N45" s="23"/>
      <c r="O45" s="23"/>
      <c r="P45" s="23"/>
      <c r="Q45" s="23"/>
      <c r="R45" s="23"/>
      <c r="S45" s="23"/>
      <c r="T45" s="23"/>
      <c r="U45" s="23" t="s">
        <v>1941</v>
      </c>
      <c r="V45" s="23" t="s">
        <v>865</v>
      </c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>
      <c r="A46" s="23" t="s">
        <v>1943</v>
      </c>
      <c r="B46" s="23" t="s">
        <v>885</v>
      </c>
      <c r="C46" s="23" t="s">
        <v>1944</v>
      </c>
      <c r="D46" s="23" t="s">
        <v>1945</v>
      </c>
      <c r="E46" s="23" t="s">
        <v>1945</v>
      </c>
      <c r="F46" s="23" t="s">
        <v>388</v>
      </c>
      <c r="G46" s="23"/>
      <c r="H46" s="23" t="s">
        <v>388</v>
      </c>
      <c r="I46" s="23" t="s">
        <v>1945</v>
      </c>
      <c r="J46" s="23" t="s">
        <v>1939</v>
      </c>
      <c r="K46" s="23" t="s">
        <v>899</v>
      </c>
      <c r="L46" s="23" t="s">
        <v>1940</v>
      </c>
      <c r="M46" s="23" t="s">
        <v>899</v>
      </c>
      <c r="N46" s="23"/>
      <c r="O46" s="23"/>
      <c r="P46" s="23"/>
      <c r="Q46" s="23"/>
      <c r="R46" s="23"/>
      <c r="S46" s="23"/>
      <c r="T46" s="23"/>
      <c r="U46" s="23" t="s">
        <v>1941</v>
      </c>
      <c r="V46" s="23" t="s">
        <v>888</v>
      </c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"/>
  <sheetViews>
    <sheetView workbookViewId="0">
      <selection activeCell="A2" sqref="A2"/>
    </sheetView>
  </sheetViews>
  <sheetFormatPr defaultRowHeight="14.5"/>
  <cols>
    <col min="1" max="1" width="11" bestFit="1" customWidth="1"/>
    <col min="2" max="2" width="43.81640625" bestFit="1" customWidth="1"/>
    <col min="3" max="3" width="37.1796875" bestFit="1" customWidth="1"/>
    <col min="4" max="4" width="10.81640625" bestFit="1" customWidth="1"/>
    <col min="5" max="5" width="9.7265625" bestFit="1" customWidth="1"/>
    <col min="6" max="6" width="11" bestFit="1" customWidth="1"/>
    <col min="7" max="7" width="11.1796875" bestFit="1" customWidth="1"/>
    <col min="8" max="8" width="11.453125" bestFit="1" customWidth="1"/>
    <col min="9" max="9" width="11.1796875" bestFit="1" customWidth="1"/>
    <col min="10" max="10" width="15.26953125" bestFit="1" customWidth="1"/>
    <col min="11" max="11" width="11.26953125" bestFit="1" customWidth="1"/>
    <col min="12" max="12" width="13.54296875" bestFit="1" customWidth="1"/>
    <col min="13" max="13" width="36.26953125" bestFit="1" customWidth="1"/>
    <col min="14" max="14" width="13.54296875" bestFit="1" customWidth="1"/>
    <col min="15" max="15" width="10.7265625" bestFit="1" customWidth="1"/>
    <col min="16" max="16" width="8.7265625" bestFit="1" customWidth="1"/>
    <col min="17" max="17" width="10.7265625" bestFit="1" customWidth="1"/>
    <col min="18" max="18" width="11.54296875" bestFit="1" customWidth="1"/>
    <col min="19" max="19" width="11.1796875" bestFit="1" customWidth="1"/>
    <col min="20" max="20" width="11.453125" bestFit="1" customWidth="1"/>
    <col min="21" max="21" width="10.81640625" bestFit="1" customWidth="1"/>
    <col min="22" max="22" width="11" bestFit="1" customWidth="1"/>
    <col min="23" max="23" width="51.1796875" bestFit="1" customWidth="1"/>
    <col min="24" max="24" width="30" bestFit="1" customWidth="1"/>
    <col min="25" max="25" width="17.453125" bestFit="1" customWidth="1"/>
    <col min="26" max="26" width="28.54296875" bestFit="1" customWidth="1"/>
    <col min="27" max="27" width="10.26953125" bestFit="1" customWidth="1"/>
    <col min="28" max="29" width="12.54296875" bestFit="1" customWidth="1"/>
    <col min="30" max="30" width="11.1796875" bestFit="1" customWidth="1"/>
    <col min="31" max="32" width="11.453125" bestFit="1" customWidth="1"/>
    <col min="33" max="33" width="40.453125" bestFit="1" customWidth="1"/>
    <col min="34" max="34" width="61.26953125" bestFit="1" customWidth="1"/>
  </cols>
  <sheetData>
    <row r="1" spans="1:34" ht="44" thickBot="1">
      <c r="A1" s="145" t="s">
        <v>949</v>
      </c>
      <c r="B1" s="146" t="s">
        <v>950</v>
      </c>
      <c r="C1" s="146" t="s">
        <v>832</v>
      </c>
      <c r="D1" s="146" t="s">
        <v>833</v>
      </c>
      <c r="E1" s="146" t="s">
        <v>834</v>
      </c>
      <c r="F1" s="146" t="s">
        <v>951</v>
      </c>
      <c r="G1" s="146" t="s">
        <v>836</v>
      </c>
      <c r="H1" s="146" t="s">
        <v>952</v>
      </c>
      <c r="I1" s="146" t="s">
        <v>953</v>
      </c>
      <c r="J1" s="146" t="s">
        <v>954</v>
      </c>
      <c r="K1" s="146" t="s">
        <v>955</v>
      </c>
      <c r="L1" s="146" t="s">
        <v>841</v>
      </c>
      <c r="M1" s="146" t="s">
        <v>956</v>
      </c>
      <c r="N1" s="146" t="s">
        <v>842</v>
      </c>
      <c r="O1" s="146" t="s">
        <v>843</v>
      </c>
      <c r="P1" s="146" t="s">
        <v>844</v>
      </c>
      <c r="Q1" s="146" t="s">
        <v>960</v>
      </c>
      <c r="R1" s="146" t="s">
        <v>961</v>
      </c>
      <c r="S1" s="147" t="s">
        <v>847</v>
      </c>
      <c r="T1" t="s">
        <v>848</v>
      </c>
      <c r="U1" t="s">
        <v>849</v>
      </c>
      <c r="V1" s="146" t="s">
        <v>12</v>
      </c>
      <c r="W1" s="146" t="s">
        <v>850</v>
      </c>
      <c r="X1" s="146" t="s">
        <v>851</v>
      </c>
      <c r="Y1" s="146" t="s">
        <v>852</v>
      </c>
      <c r="Z1" s="146" t="s">
        <v>962</v>
      </c>
      <c r="AA1" s="146" t="s">
        <v>963</v>
      </c>
      <c r="AB1" s="146" t="s">
        <v>957</v>
      </c>
      <c r="AC1" s="146" t="s">
        <v>958</v>
      </c>
      <c r="AD1" s="146" t="s">
        <v>964</v>
      </c>
      <c r="AE1" s="146" t="s">
        <v>965</v>
      </c>
      <c r="AF1" s="146" t="s">
        <v>959</v>
      </c>
      <c r="AG1" s="146" t="s">
        <v>857</v>
      </c>
      <c r="AH1" s="148" t="s">
        <v>858</v>
      </c>
    </row>
    <row r="2" spans="1:34" ht="15" thickTop="1">
      <c r="A2" s="104"/>
      <c r="B2" s="105" t="s">
        <v>1997</v>
      </c>
      <c r="C2" s="105" t="s">
        <v>975</v>
      </c>
      <c r="D2" s="105" t="s">
        <v>1998</v>
      </c>
      <c r="E2" s="105" t="s">
        <v>1998</v>
      </c>
      <c r="F2" s="105" t="s">
        <v>388</v>
      </c>
      <c r="G2" s="105"/>
      <c r="H2" s="105" t="s">
        <v>388</v>
      </c>
      <c r="I2" s="105" t="s">
        <v>1998</v>
      </c>
      <c r="J2" s="149">
        <f>Dashboard[[#This Row],[PO Value]]</f>
        <v>4727500</v>
      </c>
      <c r="K2" s="105" t="s">
        <v>388</v>
      </c>
      <c r="L2" s="105" t="s">
        <v>862</v>
      </c>
      <c r="M2" s="105"/>
      <c r="N2" s="105" t="s">
        <v>976</v>
      </c>
      <c r="O2" s="105" t="s">
        <v>1999</v>
      </c>
      <c r="P2" s="150" t="s">
        <v>2000</v>
      </c>
      <c r="Q2" s="110" t="s">
        <v>2001</v>
      </c>
      <c r="R2" s="105" t="s">
        <v>388</v>
      </c>
      <c r="S2" s="105" t="s">
        <v>864</v>
      </c>
      <c r="T2" s="110" t="s">
        <v>2002</v>
      </c>
      <c r="U2" s="110" t="s">
        <v>2003</v>
      </c>
      <c r="V2" s="105">
        <v>50000</v>
      </c>
      <c r="W2" s="105" t="s">
        <v>999</v>
      </c>
      <c r="X2" s="105">
        <v>94.55</v>
      </c>
      <c r="Y2" s="105">
        <f>Dashboard[[#This Row],[Quantity]]*Dashboard[[#This Row],[Unit Rate]]</f>
        <v>4727500</v>
      </c>
      <c r="Z2" s="106">
        <f>Dashboard[[#This Row],[PO Value]]</f>
        <v>4727500</v>
      </c>
      <c r="AA2" s="105" t="s">
        <v>866</v>
      </c>
      <c r="AB2" s="105"/>
      <c r="AC2" s="105"/>
      <c r="AD2" s="110" t="s">
        <v>979</v>
      </c>
      <c r="AE2" s="110" t="s">
        <v>2004</v>
      </c>
      <c r="AF2" s="105">
        <v>28</v>
      </c>
      <c r="AG2" s="105"/>
      <c r="AH2" s="151" t="s">
        <v>980</v>
      </c>
    </row>
    <row r="3" spans="1:34">
      <c r="A3" s="104"/>
      <c r="B3" s="105" t="s">
        <v>2005</v>
      </c>
      <c r="C3" s="105" t="s">
        <v>975</v>
      </c>
      <c r="D3" s="105" t="s">
        <v>1998</v>
      </c>
      <c r="E3" s="105" t="s">
        <v>1998</v>
      </c>
      <c r="F3" s="105" t="s">
        <v>388</v>
      </c>
      <c r="G3" s="105"/>
      <c r="H3" s="105" t="s">
        <v>388</v>
      </c>
      <c r="I3" s="105" t="s">
        <v>1998</v>
      </c>
      <c r="J3" s="149">
        <f>Dashboard[[#This Row],[PO Value]]</f>
        <v>16073500</v>
      </c>
      <c r="K3" s="105" t="s">
        <v>388</v>
      </c>
      <c r="L3" s="105" t="s">
        <v>862</v>
      </c>
      <c r="M3" s="105"/>
      <c r="N3" s="105" t="s">
        <v>976</v>
      </c>
      <c r="O3" s="105" t="s">
        <v>2006</v>
      </c>
      <c r="P3" s="150" t="s">
        <v>2000</v>
      </c>
      <c r="Q3" s="110" t="s">
        <v>2001</v>
      </c>
      <c r="R3" s="105" t="s">
        <v>388</v>
      </c>
      <c r="S3" s="138" t="s">
        <v>864</v>
      </c>
      <c r="T3" s="110" t="s">
        <v>2007</v>
      </c>
      <c r="U3" s="110" t="s">
        <v>2008</v>
      </c>
      <c r="V3" s="105">
        <v>170000</v>
      </c>
      <c r="W3" s="105" t="s">
        <v>1023</v>
      </c>
      <c r="X3" s="105">
        <v>94.55</v>
      </c>
      <c r="Y3" s="105">
        <f>Dashboard[[#This Row],[Quantity]]*Dashboard[[#This Row],[Unit Rate]]</f>
        <v>16073500</v>
      </c>
      <c r="Z3" s="106">
        <f>Dashboard[[#This Row],[PO Value]]</f>
        <v>16073500</v>
      </c>
      <c r="AA3" s="105" t="s">
        <v>866</v>
      </c>
      <c r="AB3" s="105"/>
      <c r="AC3" s="105"/>
      <c r="AD3" s="110" t="s">
        <v>1362</v>
      </c>
      <c r="AE3" s="110"/>
      <c r="AF3" s="105"/>
      <c r="AG3" s="115"/>
      <c r="AH3" s="152" t="s">
        <v>2009</v>
      </c>
    </row>
    <row r="4" spans="1:34">
      <c r="A4" s="104"/>
      <c r="B4" s="105" t="s">
        <v>2010</v>
      </c>
      <c r="C4" s="105" t="s">
        <v>975</v>
      </c>
      <c r="D4" s="105" t="s">
        <v>1998</v>
      </c>
      <c r="E4" s="105" t="s">
        <v>1998</v>
      </c>
      <c r="F4" s="105" t="s">
        <v>388</v>
      </c>
      <c r="G4" s="105"/>
      <c r="H4" s="105" t="s">
        <v>388</v>
      </c>
      <c r="I4" s="105" t="s">
        <v>1998</v>
      </c>
      <c r="J4" s="149">
        <f>Dashboard[[#This Row],[PO Value]]</f>
        <v>37247000</v>
      </c>
      <c r="K4" s="105" t="s">
        <v>388</v>
      </c>
      <c r="L4" s="105" t="s">
        <v>862</v>
      </c>
      <c r="M4" s="105"/>
      <c r="N4" s="105" t="s">
        <v>976</v>
      </c>
      <c r="O4" s="105" t="s">
        <v>2011</v>
      </c>
      <c r="P4" s="150" t="s">
        <v>2000</v>
      </c>
      <c r="Q4" s="110" t="s">
        <v>2001</v>
      </c>
      <c r="R4" s="105" t="s">
        <v>2012</v>
      </c>
      <c r="S4" s="138" t="s">
        <v>864</v>
      </c>
      <c r="T4" s="110" t="s">
        <v>2013</v>
      </c>
      <c r="U4" s="110"/>
      <c r="V4" s="105">
        <v>340000</v>
      </c>
      <c r="W4" s="105" t="s">
        <v>990</v>
      </c>
      <c r="X4" s="105">
        <v>109.55</v>
      </c>
      <c r="Y4" s="105">
        <f>Dashboard[[#This Row],[Quantity]]*Dashboard[[#This Row],[Unit Rate]]</f>
        <v>37247000</v>
      </c>
      <c r="Z4" s="106">
        <f>Dashboard[[#This Row],[PO Value]]</f>
        <v>37247000</v>
      </c>
      <c r="AA4" s="105" t="s">
        <v>866</v>
      </c>
      <c r="AB4" s="105"/>
      <c r="AC4" s="105"/>
      <c r="AD4" s="110"/>
      <c r="AE4" s="110"/>
      <c r="AF4" s="105"/>
      <c r="AG4" s="115" t="s">
        <v>983</v>
      </c>
      <c r="AH4" s="152" t="s">
        <v>2009</v>
      </c>
    </row>
    <row r="5" spans="1:34">
      <c r="A5" s="109" t="s">
        <v>987</v>
      </c>
      <c r="B5" s="105" t="s">
        <v>1963</v>
      </c>
      <c r="C5" s="110" t="s">
        <v>988</v>
      </c>
      <c r="D5" s="110" t="s">
        <v>2014</v>
      </c>
      <c r="E5" s="110" t="s">
        <v>2014</v>
      </c>
      <c r="F5" s="110" t="s">
        <v>388</v>
      </c>
      <c r="G5" s="110"/>
      <c r="H5" s="110" t="s">
        <v>388</v>
      </c>
      <c r="I5" s="110" t="s">
        <v>2014</v>
      </c>
      <c r="J5" s="149">
        <f>Dashboard[[#This Row],[PO Value]]</f>
        <v>1095500</v>
      </c>
      <c r="K5" s="110" t="s">
        <v>899</v>
      </c>
      <c r="L5" s="110" t="s">
        <v>862</v>
      </c>
      <c r="M5" s="110"/>
      <c r="N5" s="110" t="s">
        <v>976</v>
      </c>
      <c r="O5" s="110">
        <v>7831</v>
      </c>
      <c r="P5" s="150" t="s">
        <v>2015</v>
      </c>
      <c r="Q5" s="105" t="s">
        <v>2016</v>
      </c>
      <c r="R5" s="110" t="s">
        <v>2012</v>
      </c>
      <c r="S5" s="137" t="s">
        <v>864</v>
      </c>
      <c r="T5" s="110" t="s">
        <v>2017</v>
      </c>
      <c r="U5" s="110"/>
      <c r="V5" s="110">
        <v>10000</v>
      </c>
      <c r="W5" s="110" t="s">
        <v>990</v>
      </c>
      <c r="X5" s="110">
        <v>109.55</v>
      </c>
      <c r="Y5" s="105">
        <f>Dashboard[[#This Row],[Quantity]]*Dashboard[[#This Row],[Unit Rate]]</f>
        <v>1095500</v>
      </c>
      <c r="Z5" s="106">
        <f>Dashboard[[#This Row],[PO Value]]</f>
        <v>1095500</v>
      </c>
      <c r="AA5" s="105" t="s">
        <v>866</v>
      </c>
      <c r="AB5" s="110"/>
      <c r="AC5" s="110"/>
      <c r="AD5" s="110"/>
      <c r="AE5" s="110"/>
      <c r="AF5" s="110"/>
      <c r="AG5" s="115" t="s">
        <v>991</v>
      </c>
      <c r="AH5" s="153" t="s">
        <v>2009</v>
      </c>
    </row>
    <row r="6" spans="1:34">
      <c r="A6" s="104" t="s">
        <v>2018</v>
      </c>
      <c r="B6" s="105" t="s">
        <v>1963</v>
      </c>
      <c r="C6" s="105" t="s">
        <v>997</v>
      </c>
      <c r="D6" s="105" t="s">
        <v>2019</v>
      </c>
      <c r="E6" s="105" t="s">
        <v>2019</v>
      </c>
      <c r="F6" s="105" t="s">
        <v>388</v>
      </c>
      <c r="G6" s="105"/>
      <c r="H6" s="105" t="s">
        <v>388</v>
      </c>
      <c r="I6" s="105" t="s">
        <v>2019</v>
      </c>
      <c r="J6" s="149">
        <f>Dashboard[[#This Row],[PO Value]]</f>
        <v>3782000</v>
      </c>
      <c r="K6" s="105" t="s">
        <v>388</v>
      </c>
      <c r="L6" s="105" t="s">
        <v>862</v>
      </c>
      <c r="M6" s="105"/>
      <c r="N6" s="105" t="s">
        <v>976</v>
      </c>
      <c r="O6" s="105" t="s">
        <v>998</v>
      </c>
      <c r="P6" s="150" t="s">
        <v>2020</v>
      </c>
      <c r="Q6" s="105" t="s">
        <v>2021</v>
      </c>
      <c r="R6" s="105" t="s">
        <v>2012</v>
      </c>
      <c r="S6" s="138" t="s">
        <v>864</v>
      </c>
      <c r="T6" s="105" t="s">
        <v>2022</v>
      </c>
      <c r="U6" s="105"/>
      <c r="V6" s="105">
        <v>40000</v>
      </c>
      <c r="W6" s="105" t="s">
        <v>1020</v>
      </c>
      <c r="X6" s="105">
        <v>94.55</v>
      </c>
      <c r="Y6" s="105">
        <f>Dashboard[[#This Row],[Quantity]]*Dashboard[[#This Row],[Unit Rate]]</f>
        <v>3782000</v>
      </c>
      <c r="Z6" s="106">
        <f>Dashboard[[#This Row],[PO Value]]</f>
        <v>3782000</v>
      </c>
      <c r="AA6" s="105" t="s">
        <v>866</v>
      </c>
      <c r="AB6" s="105"/>
      <c r="AC6" s="105"/>
      <c r="AD6" s="105" t="s">
        <v>2023</v>
      </c>
      <c r="AE6" s="105"/>
      <c r="AF6" s="105"/>
      <c r="AG6" s="115" t="s">
        <v>983</v>
      </c>
      <c r="AH6" s="154" t="s">
        <v>2009</v>
      </c>
    </row>
    <row r="7" spans="1:34">
      <c r="A7" s="109" t="s">
        <v>2018</v>
      </c>
      <c r="B7" s="105" t="s">
        <v>1963</v>
      </c>
      <c r="C7" s="110" t="s">
        <v>997</v>
      </c>
      <c r="D7" s="110" t="s">
        <v>2019</v>
      </c>
      <c r="E7" s="110" t="s">
        <v>2019</v>
      </c>
      <c r="F7" s="110" t="s">
        <v>388</v>
      </c>
      <c r="G7" s="110"/>
      <c r="H7" s="110" t="s">
        <v>388</v>
      </c>
      <c r="I7" s="110" t="s">
        <v>2019</v>
      </c>
      <c r="J7" s="149">
        <f>Dashboard[[#This Row],[PO Value]]</f>
        <v>2211000</v>
      </c>
      <c r="K7" s="110" t="s">
        <v>388</v>
      </c>
      <c r="L7" s="110" t="s">
        <v>862</v>
      </c>
      <c r="M7" s="110"/>
      <c r="N7" s="110" t="s">
        <v>976</v>
      </c>
      <c r="O7" s="110" t="s">
        <v>998</v>
      </c>
      <c r="P7" s="150" t="s">
        <v>2020</v>
      </c>
      <c r="Q7" s="110" t="s">
        <v>2021</v>
      </c>
      <c r="R7" s="110" t="s">
        <v>2012</v>
      </c>
      <c r="S7" s="138" t="s">
        <v>864</v>
      </c>
      <c r="T7" s="110" t="s">
        <v>989</v>
      </c>
      <c r="U7" s="110"/>
      <c r="V7" s="110">
        <v>20000</v>
      </c>
      <c r="W7" s="110" t="s">
        <v>990</v>
      </c>
      <c r="X7" s="110">
        <v>110.55</v>
      </c>
      <c r="Y7" s="105">
        <f>Dashboard[[#This Row],[Quantity]]*Dashboard[[#This Row],[Unit Rate]]</f>
        <v>2211000</v>
      </c>
      <c r="Z7" s="106">
        <f>Dashboard[[#This Row],[PO Value]]</f>
        <v>2211000</v>
      </c>
      <c r="AA7" s="105" t="s">
        <v>866</v>
      </c>
      <c r="AB7" s="110"/>
      <c r="AC7" s="110"/>
      <c r="AD7" s="110"/>
      <c r="AE7" s="110"/>
      <c r="AF7" s="110"/>
      <c r="AG7" s="115" t="s">
        <v>991</v>
      </c>
      <c r="AH7" s="153" t="s">
        <v>2009</v>
      </c>
    </row>
    <row r="8" spans="1:34">
      <c r="A8" s="109" t="s">
        <v>2024</v>
      </c>
      <c r="B8" s="105" t="s">
        <v>1963</v>
      </c>
      <c r="C8" s="110" t="s">
        <v>1001</v>
      </c>
      <c r="D8" s="110" t="s">
        <v>2025</v>
      </c>
      <c r="E8" s="110" t="s">
        <v>2025</v>
      </c>
      <c r="F8" s="110" t="s">
        <v>388</v>
      </c>
      <c r="G8" s="110"/>
      <c r="H8" s="110" t="s">
        <v>388</v>
      </c>
      <c r="I8" s="110" t="s">
        <v>2025</v>
      </c>
      <c r="J8" s="149">
        <f>Dashboard[[#This Row],[PO Value]]</f>
        <v>9255000</v>
      </c>
      <c r="K8" s="110" t="s">
        <v>388</v>
      </c>
      <c r="L8" s="110" t="s">
        <v>862</v>
      </c>
      <c r="M8" s="110"/>
      <c r="N8" s="110" t="s">
        <v>976</v>
      </c>
      <c r="O8" s="110">
        <v>4961</v>
      </c>
      <c r="P8" s="150" t="s">
        <v>2026</v>
      </c>
      <c r="Q8" s="110" t="s">
        <v>2027</v>
      </c>
      <c r="R8" s="110" t="s">
        <v>899</v>
      </c>
      <c r="S8" s="138" t="s">
        <v>864</v>
      </c>
      <c r="T8" s="110" t="s">
        <v>2022</v>
      </c>
      <c r="U8" s="110"/>
      <c r="V8" s="110">
        <v>100000</v>
      </c>
      <c r="W8" s="110" t="s">
        <v>1023</v>
      </c>
      <c r="X8" s="110">
        <v>92.55</v>
      </c>
      <c r="Y8" s="105">
        <f>Dashboard[[#This Row],[Quantity]]*Dashboard[[#This Row],[Unit Rate]]</f>
        <v>9255000</v>
      </c>
      <c r="Z8" s="106">
        <f>Dashboard[[#This Row],[PO Value]]</f>
        <v>9255000</v>
      </c>
      <c r="AA8" s="105" t="s">
        <v>866</v>
      </c>
      <c r="AB8" s="110"/>
      <c r="AC8" s="110"/>
      <c r="AD8" s="110" t="s">
        <v>2023</v>
      </c>
      <c r="AE8" s="110"/>
      <c r="AF8" s="110"/>
      <c r="AG8" s="115" t="s">
        <v>983</v>
      </c>
      <c r="AH8" s="153" t="s">
        <v>2009</v>
      </c>
    </row>
    <row r="9" spans="1:34">
      <c r="A9" s="109"/>
      <c r="B9" s="105" t="s">
        <v>1963</v>
      </c>
      <c r="C9" s="110" t="s">
        <v>1001</v>
      </c>
      <c r="D9" s="110" t="s">
        <v>2025</v>
      </c>
      <c r="E9" s="110" t="s">
        <v>2025</v>
      </c>
      <c r="F9" s="110" t="s">
        <v>388</v>
      </c>
      <c r="G9" s="110"/>
      <c r="H9" s="110" t="s">
        <v>388</v>
      </c>
      <c r="I9" s="110" t="s">
        <v>2025</v>
      </c>
      <c r="J9" s="149">
        <f>Dashboard[[#This Row],[PO Value]]</f>
        <v>185100</v>
      </c>
      <c r="K9" s="110" t="s">
        <v>388</v>
      </c>
      <c r="L9" s="110" t="s">
        <v>862</v>
      </c>
      <c r="M9" s="110"/>
      <c r="N9" s="110" t="s">
        <v>976</v>
      </c>
      <c r="O9" s="110">
        <v>4958</v>
      </c>
      <c r="P9" s="150" t="s">
        <v>2026</v>
      </c>
      <c r="Q9" s="110" t="s">
        <v>2027</v>
      </c>
      <c r="R9" s="110" t="s">
        <v>2012</v>
      </c>
      <c r="S9" s="138" t="s">
        <v>864</v>
      </c>
      <c r="T9" s="110" t="s">
        <v>2022</v>
      </c>
      <c r="U9" s="110"/>
      <c r="V9" s="110">
        <v>2000</v>
      </c>
      <c r="W9" s="110" t="s">
        <v>1066</v>
      </c>
      <c r="X9" s="110">
        <v>92.55</v>
      </c>
      <c r="Y9" s="105">
        <f>Dashboard[[#This Row],[Quantity]]*Dashboard[[#This Row],[Unit Rate]]</f>
        <v>185100</v>
      </c>
      <c r="Z9" s="106">
        <f>Dashboard[[#This Row],[PO Value]]</f>
        <v>185100</v>
      </c>
      <c r="AA9" s="105"/>
      <c r="AB9" s="110"/>
      <c r="AC9" s="110"/>
      <c r="AD9" s="110" t="s">
        <v>2023</v>
      </c>
      <c r="AE9" s="110"/>
      <c r="AF9" s="110"/>
      <c r="AG9" s="110"/>
      <c r="AH9" s="152" t="s">
        <v>2009</v>
      </c>
    </row>
    <row r="10" spans="1:34">
      <c r="A10" s="104" t="s">
        <v>2028</v>
      </c>
      <c r="B10" s="105" t="s">
        <v>1997</v>
      </c>
      <c r="C10" s="105" t="s">
        <v>1009</v>
      </c>
      <c r="D10" s="105" t="s">
        <v>2029</v>
      </c>
      <c r="E10" s="105" t="s">
        <v>2029</v>
      </c>
      <c r="F10" s="105" t="s">
        <v>388</v>
      </c>
      <c r="G10" s="105"/>
      <c r="H10" s="105" t="s">
        <v>388</v>
      </c>
      <c r="I10" s="105" t="s">
        <v>2030</v>
      </c>
      <c r="J10" s="149">
        <f>Dashboard[[#This Row],[PO Value]]</f>
        <v>6532500</v>
      </c>
      <c r="K10" s="105" t="s">
        <v>388</v>
      </c>
      <c r="L10" s="105" t="s">
        <v>862</v>
      </c>
      <c r="M10" s="105"/>
      <c r="N10" s="105" t="s">
        <v>976</v>
      </c>
      <c r="O10" s="105" t="s">
        <v>1055</v>
      </c>
      <c r="P10" s="150"/>
      <c r="Q10" s="105"/>
      <c r="R10" s="105" t="s">
        <v>2031</v>
      </c>
      <c r="S10" s="155"/>
      <c r="T10" s="105"/>
      <c r="U10" s="105"/>
      <c r="V10" s="105">
        <v>150000</v>
      </c>
      <c r="W10" s="105" t="s">
        <v>1010</v>
      </c>
      <c r="X10" s="105">
        <v>43.55</v>
      </c>
      <c r="Y10" s="105">
        <f>Dashboard[[#This Row],[Quantity]]*Dashboard[[#This Row],[Unit Rate]]</f>
        <v>6532500</v>
      </c>
      <c r="Z10" s="106">
        <f>Dashboard[[#This Row],[PO Value]]</f>
        <v>6532500</v>
      </c>
      <c r="AA10" s="105" t="s">
        <v>866</v>
      </c>
      <c r="AB10" s="105"/>
      <c r="AC10" s="105"/>
      <c r="AD10" s="105"/>
      <c r="AE10" s="105"/>
      <c r="AF10" s="105"/>
      <c r="AG10" s="156"/>
      <c r="AH10" s="151" t="s">
        <v>2032</v>
      </c>
    </row>
    <row r="11" spans="1:34">
      <c r="A11" s="109" t="s">
        <v>1015</v>
      </c>
      <c r="B11" s="105" t="s">
        <v>1963</v>
      </c>
      <c r="C11" s="110" t="s">
        <v>1016</v>
      </c>
      <c r="D11" s="110" t="s">
        <v>2033</v>
      </c>
      <c r="E11" s="110" t="s">
        <v>2033</v>
      </c>
      <c r="F11" s="110" t="s">
        <v>388</v>
      </c>
      <c r="G11" s="110"/>
      <c r="H11" s="110" t="s">
        <v>388</v>
      </c>
      <c r="I11" s="110" t="s">
        <v>2033</v>
      </c>
      <c r="J11" s="149">
        <f>Dashboard[[#This Row],[PO Value]]</f>
        <v>3870000</v>
      </c>
      <c r="K11" s="110" t="s">
        <v>388</v>
      </c>
      <c r="L11" s="110" t="s">
        <v>862</v>
      </c>
      <c r="M11" s="110"/>
      <c r="N11" s="110" t="s">
        <v>976</v>
      </c>
      <c r="O11" s="110">
        <v>3320</v>
      </c>
      <c r="P11" s="150" t="s">
        <v>2034</v>
      </c>
      <c r="Q11" s="110" t="s">
        <v>2035</v>
      </c>
      <c r="R11" s="110" t="s">
        <v>388</v>
      </c>
      <c r="S11" s="137" t="s">
        <v>864</v>
      </c>
      <c r="T11" s="110" t="s">
        <v>2036</v>
      </c>
      <c r="U11" s="110"/>
      <c r="V11" s="110">
        <v>30000</v>
      </c>
      <c r="W11" s="110" t="s">
        <v>981</v>
      </c>
      <c r="X11" s="110">
        <v>129</v>
      </c>
      <c r="Y11" s="105">
        <f>Dashboard[[#This Row],[Quantity]]*Dashboard[[#This Row],[Unit Rate]]</f>
        <v>3870000</v>
      </c>
      <c r="Z11" s="106">
        <f>Dashboard[[#This Row],[PO Value]]</f>
        <v>3870000</v>
      </c>
      <c r="AA11" s="105" t="s">
        <v>866</v>
      </c>
      <c r="AB11" s="110"/>
      <c r="AC11" s="110"/>
      <c r="AD11" s="110" t="s">
        <v>2023</v>
      </c>
      <c r="AE11" s="110"/>
      <c r="AF11" s="110"/>
      <c r="AG11" s="115" t="s">
        <v>983</v>
      </c>
      <c r="AH11" s="153" t="s">
        <v>2009</v>
      </c>
    </row>
    <row r="12" spans="1:34">
      <c r="A12" s="104" t="s">
        <v>1056</v>
      </c>
      <c r="B12" s="105" t="s">
        <v>1963</v>
      </c>
      <c r="C12" s="105" t="s">
        <v>1057</v>
      </c>
      <c r="D12" s="105" t="s">
        <v>2037</v>
      </c>
      <c r="E12" s="105" t="s">
        <v>2037</v>
      </c>
      <c r="F12" s="105" t="s">
        <v>388</v>
      </c>
      <c r="G12" s="105"/>
      <c r="H12" s="105" t="s">
        <v>388</v>
      </c>
      <c r="I12" s="105" t="s">
        <v>2037</v>
      </c>
      <c r="J12" s="105">
        <v>19147500</v>
      </c>
      <c r="K12" s="105" t="s">
        <v>388</v>
      </c>
      <c r="L12" s="105" t="s">
        <v>862</v>
      </c>
      <c r="M12" s="105"/>
      <c r="N12" s="105" t="s">
        <v>976</v>
      </c>
      <c r="O12" s="105">
        <v>10239</v>
      </c>
      <c r="P12" s="150" t="s">
        <v>2038</v>
      </c>
      <c r="Q12" s="105" t="s">
        <v>2039</v>
      </c>
      <c r="R12" s="105" t="s">
        <v>388</v>
      </c>
      <c r="S12" s="110" t="s">
        <v>864</v>
      </c>
      <c r="T12" s="105" t="s">
        <v>2040</v>
      </c>
      <c r="U12" s="105" t="s">
        <v>2041</v>
      </c>
      <c r="V12" s="105">
        <v>300000</v>
      </c>
      <c r="W12" s="105" t="s">
        <v>1010</v>
      </c>
      <c r="X12" s="105">
        <v>42.55</v>
      </c>
      <c r="Y12" s="105">
        <f>Dashboard[[#This Row],[Quantity]]*Dashboard[[#This Row],[Unit Rate]]</f>
        <v>12765000</v>
      </c>
      <c r="Z12" s="106">
        <f>Dashboard[[#This Row],[Bid Amount]]</f>
        <v>19147500</v>
      </c>
      <c r="AA12" s="105" t="s">
        <v>866</v>
      </c>
      <c r="AB12" s="105"/>
      <c r="AC12" s="105"/>
      <c r="AD12" s="105"/>
      <c r="AE12" s="105"/>
      <c r="AF12" s="105"/>
      <c r="AG12" s="115"/>
      <c r="AH12" s="154" t="s">
        <v>2042</v>
      </c>
    </row>
    <row r="13" spans="1:34">
      <c r="A13" s="109" t="s">
        <v>1058</v>
      </c>
      <c r="B13" s="131" t="s">
        <v>2043</v>
      </c>
      <c r="C13" s="110" t="s">
        <v>1059</v>
      </c>
      <c r="D13" s="110" t="s">
        <v>2044</v>
      </c>
      <c r="E13" s="110" t="s">
        <v>2044</v>
      </c>
      <c r="F13" s="110" t="s">
        <v>388</v>
      </c>
      <c r="G13" s="110"/>
      <c r="H13" s="110" t="s">
        <v>388</v>
      </c>
      <c r="I13" s="110" t="s">
        <v>2044</v>
      </c>
      <c r="J13" s="157">
        <f>Dashboard[[#This Row],[PO Value]]</f>
        <v>4500000000</v>
      </c>
      <c r="K13" s="110" t="s">
        <v>899</v>
      </c>
      <c r="L13" s="110" t="s">
        <v>1060</v>
      </c>
      <c r="M13" s="110"/>
      <c r="N13" s="110" t="s">
        <v>1060</v>
      </c>
      <c r="O13" s="110"/>
      <c r="P13" s="158"/>
      <c r="Q13" s="110"/>
      <c r="R13" s="110"/>
      <c r="S13" s="110"/>
      <c r="T13" s="110"/>
      <c r="U13" s="110"/>
      <c r="V13" s="110">
        <v>2000000</v>
      </c>
      <c r="W13" s="110" t="s">
        <v>1061</v>
      </c>
      <c r="X13" s="110">
        <v>2250</v>
      </c>
      <c r="Y13" s="105">
        <f>Dashboard[[#This Row],[Quantity]]*Dashboard[[#This Row],[Unit Rate]]</f>
        <v>4500000000</v>
      </c>
      <c r="Z13" s="106">
        <f>Dashboard[[#This Row],[PO Value]]</f>
        <v>4500000000</v>
      </c>
      <c r="AA13" s="110"/>
      <c r="AB13" s="110"/>
      <c r="AC13" s="110"/>
      <c r="AD13" s="110"/>
      <c r="AE13" s="110"/>
      <c r="AF13" s="110"/>
      <c r="AG13" s="110" t="s">
        <v>1062</v>
      </c>
      <c r="AH13" s="159" t="s">
        <v>1063</v>
      </c>
    </row>
    <row r="14" spans="1:34">
      <c r="A14" s="104" t="s">
        <v>1072</v>
      </c>
      <c r="B14" s="131" t="s">
        <v>1064</v>
      </c>
      <c r="C14" s="110" t="s">
        <v>1059</v>
      </c>
      <c r="D14" s="110" t="s">
        <v>2044</v>
      </c>
      <c r="E14" s="110" t="s">
        <v>2044</v>
      </c>
      <c r="F14" s="110" t="s">
        <v>388</v>
      </c>
      <c r="G14" s="110"/>
      <c r="H14" s="110" t="s">
        <v>388</v>
      </c>
      <c r="I14" s="110" t="s">
        <v>2044</v>
      </c>
      <c r="J14" s="157">
        <f>Dashboard[[#This Row],[PO Value]]</f>
        <v>48807012</v>
      </c>
      <c r="K14" s="110" t="s">
        <v>899</v>
      </c>
      <c r="L14" s="110" t="s">
        <v>1060</v>
      </c>
      <c r="M14" s="110"/>
      <c r="N14" s="110" t="s">
        <v>1060</v>
      </c>
      <c r="O14" s="105"/>
      <c r="P14" s="158"/>
      <c r="Q14" s="105"/>
      <c r="R14" s="105"/>
      <c r="S14" s="105"/>
      <c r="T14" s="105"/>
      <c r="U14" s="105"/>
      <c r="V14" s="160">
        <v>2122044</v>
      </c>
      <c r="W14" s="105" t="s">
        <v>1065</v>
      </c>
      <c r="X14" s="105">
        <v>23</v>
      </c>
      <c r="Y14" s="105">
        <f>Dashboard[[#This Row],[Quantity]]*Dashboard[[#This Row],[Unit Rate]]</f>
        <v>48807012</v>
      </c>
      <c r="Z14" s="106">
        <f>Dashboard[[#This Row],[PO Value]]</f>
        <v>48807012</v>
      </c>
      <c r="AA14" s="105"/>
      <c r="AB14" s="105"/>
      <c r="AC14" s="105"/>
      <c r="AD14" s="105"/>
      <c r="AE14" s="105"/>
      <c r="AF14" s="105"/>
      <c r="AG14" s="110" t="s">
        <v>1062</v>
      </c>
      <c r="AH14" s="159" t="s">
        <v>1063</v>
      </c>
    </row>
    <row r="15" spans="1:34">
      <c r="A15" s="109" t="s">
        <v>1081</v>
      </c>
      <c r="B15" s="131" t="s">
        <v>1064</v>
      </c>
      <c r="C15" s="110" t="s">
        <v>1059</v>
      </c>
      <c r="D15" s="110" t="s">
        <v>2044</v>
      </c>
      <c r="E15" s="110" t="s">
        <v>2044</v>
      </c>
      <c r="F15" s="110" t="s">
        <v>388</v>
      </c>
      <c r="G15" s="110"/>
      <c r="H15" s="110" t="s">
        <v>388</v>
      </c>
      <c r="I15" s="110" t="s">
        <v>2044</v>
      </c>
      <c r="J15" s="157">
        <f>Dashboard[[#This Row],[PO Value]]</f>
        <v>137255375</v>
      </c>
      <c r="K15" s="110" t="s">
        <v>899</v>
      </c>
      <c r="L15" s="110" t="s">
        <v>1060</v>
      </c>
      <c r="M15" s="110"/>
      <c r="N15" s="110" t="s">
        <v>1060</v>
      </c>
      <c r="O15" s="110"/>
      <c r="P15" s="158"/>
      <c r="Q15" s="110"/>
      <c r="R15" s="110"/>
      <c r="S15" s="110"/>
      <c r="T15" s="110"/>
      <c r="U15" s="110"/>
      <c r="V15" s="160">
        <v>1098043</v>
      </c>
      <c r="W15" s="110" t="s">
        <v>1066</v>
      </c>
      <c r="X15" s="110">
        <v>125</v>
      </c>
      <c r="Y15" s="105">
        <f>Dashboard[[#This Row],[Quantity]]*Dashboard[[#This Row],[Unit Rate]]</f>
        <v>137255375</v>
      </c>
      <c r="Z15" s="106">
        <f>Dashboard[[#This Row],[PO Value]]</f>
        <v>137255375</v>
      </c>
      <c r="AA15" s="110"/>
      <c r="AB15" s="110"/>
      <c r="AC15" s="110"/>
      <c r="AD15" s="110"/>
      <c r="AE15" s="110"/>
      <c r="AF15" s="110"/>
      <c r="AG15" s="110" t="s">
        <v>1062</v>
      </c>
      <c r="AH15" s="159" t="s">
        <v>1063</v>
      </c>
    </row>
    <row r="16" spans="1:34">
      <c r="A16" s="104" t="s">
        <v>2045</v>
      </c>
      <c r="B16" s="131" t="s">
        <v>1064</v>
      </c>
      <c r="C16" s="110" t="s">
        <v>1059</v>
      </c>
      <c r="D16" s="110" t="s">
        <v>2044</v>
      </c>
      <c r="E16" s="110" t="s">
        <v>2044</v>
      </c>
      <c r="F16" s="110" t="s">
        <v>388</v>
      </c>
      <c r="G16" s="110"/>
      <c r="H16" s="110" t="s">
        <v>388</v>
      </c>
      <c r="I16" s="110" t="s">
        <v>2044</v>
      </c>
      <c r="J16" s="157">
        <f>Dashboard[[#This Row],[PO Value]]</f>
        <v>321333875</v>
      </c>
      <c r="K16" s="110" t="s">
        <v>899</v>
      </c>
      <c r="L16" s="110" t="s">
        <v>1060</v>
      </c>
      <c r="M16" s="110"/>
      <c r="N16" s="110" t="s">
        <v>1060</v>
      </c>
      <c r="O16" s="105"/>
      <c r="P16" s="105"/>
      <c r="Q16" s="105"/>
      <c r="R16" s="105"/>
      <c r="S16" s="105"/>
      <c r="T16" s="105"/>
      <c r="U16" s="105"/>
      <c r="V16" s="160">
        <v>2570671</v>
      </c>
      <c r="W16" s="105" t="s">
        <v>1067</v>
      </c>
      <c r="X16" s="105">
        <v>125</v>
      </c>
      <c r="Y16" s="105">
        <f>Dashboard[[#This Row],[Quantity]]*Dashboard[[#This Row],[Unit Rate]]</f>
        <v>321333875</v>
      </c>
      <c r="Z16" s="106">
        <f>Dashboard[[#This Row],[PO Value]]</f>
        <v>321333875</v>
      </c>
      <c r="AA16" s="105"/>
      <c r="AB16" s="105"/>
      <c r="AC16" s="105"/>
      <c r="AD16" s="105"/>
      <c r="AE16" s="105"/>
      <c r="AF16" s="105"/>
      <c r="AG16" s="110" t="s">
        <v>1062</v>
      </c>
      <c r="AH16" s="159" t="s">
        <v>1063</v>
      </c>
    </row>
    <row r="17" spans="1:34">
      <c r="A17" s="161" t="s">
        <v>2046</v>
      </c>
      <c r="B17" s="131" t="s">
        <v>1064</v>
      </c>
      <c r="C17" s="110" t="s">
        <v>1059</v>
      </c>
      <c r="D17" s="110" t="s">
        <v>2044</v>
      </c>
      <c r="E17" s="110" t="s">
        <v>2044</v>
      </c>
      <c r="F17" s="110" t="s">
        <v>388</v>
      </c>
      <c r="G17" s="110"/>
      <c r="H17" s="110" t="s">
        <v>388</v>
      </c>
      <c r="I17" s="110" t="s">
        <v>2044</v>
      </c>
      <c r="J17" s="157">
        <f>Dashboard[[#This Row],[PO Value]]</f>
        <v>518802835</v>
      </c>
      <c r="K17" s="110" t="s">
        <v>899</v>
      </c>
      <c r="L17" s="110" t="s">
        <v>1060</v>
      </c>
      <c r="M17" s="110"/>
      <c r="N17" s="110" t="s">
        <v>1060</v>
      </c>
      <c r="O17" s="113"/>
      <c r="P17" s="113"/>
      <c r="Q17" s="113"/>
      <c r="R17" s="113"/>
      <c r="S17" s="113"/>
      <c r="T17" s="113"/>
      <c r="U17" s="113"/>
      <c r="V17" s="160">
        <v>4511329</v>
      </c>
      <c r="W17" s="113" t="s">
        <v>1023</v>
      </c>
      <c r="X17" s="113">
        <v>115</v>
      </c>
      <c r="Y17" s="105">
        <f>Dashboard[[#This Row],[Quantity]]*Dashboard[[#This Row],[Unit Rate]]</f>
        <v>518802835</v>
      </c>
      <c r="Z17" s="106">
        <f>Dashboard[[#This Row],[PO Value]]</f>
        <v>518802835</v>
      </c>
      <c r="AA17" s="113"/>
      <c r="AB17" s="113"/>
      <c r="AC17" s="113"/>
      <c r="AD17" s="113"/>
      <c r="AE17" s="113"/>
      <c r="AF17" s="113"/>
      <c r="AG17" s="110" t="s">
        <v>1062</v>
      </c>
      <c r="AH17" s="159" t="s">
        <v>1063</v>
      </c>
    </row>
    <row r="18" spans="1:34">
      <c r="A18" s="107" t="s">
        <v>2047</v>
      </c>
      <c r="B18" s="131" t="s">
        <v>1064</v>
      </c>
      <c r="C18" s="110" t="s">
        <v>1059</v>
      </c>
      <c r="D18" s="110" t="s">
        <v>2044</v>
      </c>
      <c r="E18" s="110" t="s">
        <v>2044</v>
      </c>
      <c r="F18" s="110" t="s">
        <v>388</v>
      </c>
      <c r="G18" s="110"/>
      <c r="H18" s="110" t="s">
        <v>388</v>
      </c>
      <c r="I18" s="110" t="s">
        <v>2044</v>
      </c>
      <c r="J18" s="157">
        <f>Dashboard[[#This Row],[PO Value]]</f>
        <v>604354635</v>
      </c>
      <c r="K18" s="110" t="s">
        <v>899</v>
      </c>
      <c r="L18" s="110" t="s">
        <v>1060</v>
      </c>
      <c r="M18" s="110"/>
      <c r="N18" s="110" t="s">
        <v>1060</v>
      </c>
      <c r="O18" s="107"/>
      <c r="P18" s="107"/>
      <c r="Q18" s="107"/>
      <c r="R18" s="107"/>
      <c r="S18" s="107"/>
      <c r="T18" s="107"/>
      <c r="U18" s="107"/>
      <c r="V18" s="160">
        <v>4167963</v>
      </c>
      <c r="W18" s="107" t="s">
        <v>990</v>
      </c>
      <c r="X18" s="107">
        <v>145</v>
      </c>
      <c r="Y18" s="105">
        <f>Dashboard[[#This Row],[Quantity]]*Dashboard[[#This Row],[Unit Rate]]</f>
        <v>604354635</v>
      </c>
      <c r="Z18" s="106">
        <f>Dashboard[[#This Row],[PO Value]]</f>
        <v>604354635</v>
      </c>
      <c r="AA18" s="113"/>
      <c r="AB18" s="107"/>
      <c r="AC18" s="107"/>
      <c r="AD18" s="107"/>
      <c r="AE18" s="107"/>
      <c r="AF18" s="107"/>
      <c r="AG18" s="110" t="s">
        <v>1062</v>
      </c>
      <c r="AH18" s="159" t="s">
        <v>1063</v>
      </c>
    </row>
    <row r="19" spans="1:34">
      <c r="A19" s="107" t="s">
        <v>2048</v>
      </c>
      <c r="B19" s="131" t="s">
        <v>1064</v>
      </c>
      <c r="C19" s="110" t="s">
        <v>1059</v>
      </c>
      <c r="D19" s="110" t="s">
        <v>2044</v>
      </c>
      <c r="E19" s="110" t="s">
        <v>2044</v>
      </c>
      <c r="F19" s="110" t="s">
        <v>388</v>
      </c>
      <c r="G19" s="110"/>
      <c r="H19" s="110" t="s">
        <v>388</v>
      </c>
      <c r="I19" s="110" t="s">
        <v>2044</v>
      </c>
      <c r="J19" s="157">
        <f>Dashboard[[#This Row],[PO Value]]</f>
        <v>297221000</v>
      </c>
      <c r="K19" s="110" t="s">
        <v>899</v>
      </c>
      <c r="L19" s="110" t="s">
        <v>1060</v>
      </c>
      <c r="M19" s="110"/>
      <c r="N19" s="110" t="s">
        <v>1060</v>
      </c>
      <c r="O19" s="107"/>
      <c r="P19" s="107"/>
      <c r="Q19" s="107"/>
      <c r="R19" s="107"/>
      <c r="S19" s="107"/>
      <c r="T19" s="107"/>
      <c r="U19" s="107"/>
      <c r="V19" s="160">
        <v>1606600</v>
      </c>
      <c r="W19" s="107" t="s">
        <v>1068</v>
      </c>
      <c r="X19" s="107">
        <v>185</v>
      </c>
      <c r="Y19" s="105">
        <f>Dashboard[[#This Row],[Quantity]]*Dashboard[[#This Row],[Unit Rate]]</f>
        <v>297221000</v>
      </c>
      <c r="Z19" s="106">
        <f>Dashboard[[#This Row],[PO Value]]</f>
        <v>297221000</v>
      </c>
      <c r="AA19" s="113"/>
      <c r="AB19" s="107"/>
      <c r="AC19" s="107"/>
      <c r="AD19" s="107"/>
      <c r="AE19" s="107"/>
      <c r="AF19" s="107"/>
      <c r="AG19" s="110" t="s">
        <v>1062</v>
      </c>
      <c r="AH19" s="159" t="s">
        <v>1063</v>
      </c>
    </row>
    <row r="20" spans="1:34">
      <c r="A20" s="107" t="s">
        <v>2049</v>
      </c>
      <c r="B20" s="131" t="s">
        <v>1064</v>
      </c>
      <c r="C20" s="110" t="s">
        <v>1059</v>
      </c>
      <c r="D20" s="110" t="s">
        <v>2044</v>
      </c>
      <c r="E20" s="110" t="s">
        <v>2044</v>
      </c>
      <c r="F20" s="110" t="s">
        <v>388</v>
      </c>
      <c r="G20" s="110"/>
      <c r="H20" s="110" t="s">
        <v>388</v>
      </c>
      <c r="I20" s="110" t="s">
        <v>2044</v>
      </c>
      <c r="J20" s="157">
        <f>Dashboard[[#This Row],[PO Value]]</f>
        <v>374760420</v>
      </c>
      <c r="K20" s="110" t="s">
        <v>899</v>
      </c>
      <c r="L20" s="110" t="s">
        <v>1060</v>
      </c>
      <c r="M20" s="110"/>
      <c r="N20" s="110" t="s">
        <v>1060</v>
      </c>
      <c r="O20" s="107"/>
      <c r="P20" s="107"/>
      <c r="Q20" s="107"/>
      <c r="R20" s="107"/>
      <c r="S20" s="107"/>
      <c r="T20" s="107"/>
      <c r="U20" s="107"/>
      <c r="V20" s="160">
        <v>2025732</v>
      </c>
      <c r="W20" s="107" t="s">
        <v>1069</v>
      </c>
      <c r="X20" s="107">
        <v>185</v>
      </c>
      <c r="Y20" s="105">
        <f>Dashboard[[#This Row],[Quantity]]*Dashboard[[#This Row],[Unit Rate]]</f>
        <v>374760420</v>
      </c>
      <c r="Z20" s="106">
        <f>Dashboard[[#This Row],[PO Value]]</f>
        <v>374760420</v>
      </c>
      <c r="AA20" s="113"/>
      <c r="AB20" s="107"/>
      <c r="AC20" s="107"/>
      <c r="AD20" s="107"/>
      <c r="AE20" s="107"/>
      <c r="AF20" s="107"/>
      <c r="AG20" s="110" t="s">
        <v>1062</v>
      </c>
      <c r="AH20" s="159" t="s">
        <v>1063</v>
      </c>
    </row>
    <row r="21" spans="1:34">
      <c r="A21" s="107" t="s">
        <v>2050</v>
      </c>
      <c r="B21" s="131" t="s">
        <v>1064</v>
      </c>
      <c r="C21" s="110" t="s">
        <v>1059</v>
      </c>
      <c r="D21" s="110" t="s">
        <v>2044</v>
      </c>
      <c r="E21" s="110" t="s">
        <v>2044</v>
      </c>
      <c r="F21" s="110" t="s">
        <v>388</v>
      </c>
      <c r="G21" s="110"/>
      <c r="H21" s="110" t="s">
        <v>388</v>
      </c>
      <c r="I21" s="110" t="s">
        <v>2044</v>
      </c>
      <c r="J21" s="157">
        <f>Dashboard[[#This Row],[PO Value]]</f>
        <v>540680260</v>
      </c>
      <c r="K21" s="110" t="s">
        <v>899</v>
      </c>
      <c r="L21" s="110" t="s">
        <v>1060</v>
      </c>
      <c r="M21" s="110"/>
      <c r="N21" s="110" t="s">
        <v>1060</v>
      </c>
      <c r="O21" s="107"/>
      <c r="P21" s="107"/>
      <c r="Q21" s="107"/>
      <c r="R21" s="107"/>
      <c r="S21" s="107"/>
      <c r="T21" s="107"/>
      <c r="U21" s="107"/>
      <c r="V21" s="160">
        <v>2922596</v>
      </c>
      <c r="W21" s="107" t="s">
        <v>1070</v>
      </c>
      <c r="X21" s="107">
        <v>185</v>
      </c>
      <c r="Y21" s="105">
        <f>Dashboard[[#This Row],[Quantity]]*Dashboard[[#This Row],[Unit Rate]]</f>
        <v>540680260</v>
      </c>
      <c r="Z21" s="106">
        <f>Dashboard[[#This Row],[PO Value]]</f>
        <v>540680260</v>
      </c>
      <c r="AA21" s="113"/>
      <c r="AB21" s="107"/>
      <c r="AC21" s="107"/>
      <c r="AD21" s="107"/>
      <c r="AE21" s="107"/>
      <c r="AF21" s="107"/>
      <c r="AG21" s="110" t="s">
        <v>1062</v>
      </c>
      <c r="AH21" s="159" t="s">
        <v>1063</v>
      </c>
    </row>
    <row r="22" spans="1:34">
      <c r="A22" s="107" t="s">
        <v>2051</v>
      </c>
      <c r="B22" s="131" t="s">
        <v>1064</v>
      </c>
      <c r="C22" s="110" t="s">
        <v>1059</v>
      </c>
      <c r="D22" s="110" t="s">
        <v>2044</v>
      </c>
      <c r="E22" s="110" t="s">
        <v>2044</v>
      </c>
      <c r="F22" s="110" t="s">
        <v>388</v>
      </c>
      <c r="G22" s="110"/>
      <c r="H22" s="110" t="s">
        <v>388</v>
      </c>
      <c r="I22" s="110" t="s">
        <v>2044</v>
      </c>
      <c r="J22" s="157">
        <f>Dashboard[[#This Row],[PO Value]]</f>
        <v>172790000</v>
      </c>
      <c r="K22" s="110" t="s">
        <v>899</v>
      </c>
      <c r="L22" s="110" t="s">
        <v>1060</v>
      </c>
      <c r="M22" s="110"/>
      <c r="N22" s="110" t="s">
        <v>1060</v>
      </c>
      <c r="O22" s="107"/>
      <c r="P22" s="107"/>
      <c r="Q22" s="107"/>
      <c r="R22" s="107"/>
      <c r="S22" s="107"/>
      <c r="T22" s="107"/>
      <c r="U22" s="107"/>
      <c r="V22" s="160">
        <v>934000</v>
      </c>
      <c r="W22" s="107" t="s">
        <v>1071</v>
      </c>
      <c r="X22" s="107">
        <v>185</v>
      </c>
      <c r="Y22" s="105">
        <f>Dashboard[[#This Row],[Quantity]]*Dashboard[[#This Row],[Unit Rate]]</f>
        <v>172790000</v>
      </c>
      <c r="Z22" s="106">
        <f>Dashboard[[#This Row],[PO Value]]</f>
        <v>172790000</v>
      </c>
      <c r="AA22" s="113"/>
      <c r="AB22" s="107"/>
      <c r="AC22" s="107"/>
      <c r="AD22" s="107"/>
      <c r="AE22" s="107"/>
      <c r="AF22" s="107"/>
      <c r="AG22" s="110" t="s">
        <v>1062</v>
      </c>
      <c r="AH22" s="159" t="s">
        <v>1063</v>
      </c>
    </row>
    <row r="23" spans="1:34">
      <c r="A23" s="107" t="s">
        <v>2052</v>
      </c>
      <c r="B23" s="131" t="s">
        <v>1064</v>
      </c>
      <c r="C23" s="107" t="s">
        <v>2053</v>
      </c>
      <c r="D23" s="107" t="s">
        <v>2054</v>
      </c>
      <c r="E23" s="107" t="s">
        <v>2054</v>
      </c>
      <c r="F23" s="107" t="s">
        <v>388</v>
      </c>
      <c r="G23" s="107"/>
      <c r="H23" s="107" t="s">
        <v>388</v>
      </c>
      <c r="I23" s="107" t="s">
        <v>2054</v>
      </c>
      <c r="J23" s="157">
        <f>Dashboard[[#This Row],[PO Value]]</f>
        <v>141151000</v>
      </c>
      <c r="K23" s="110" t="s">
        <v>899</v>
      </c>
      <c r="L23" s="110" t="s">
        <v>1060</v>
      </c>
      <c r="M23" s="110"/>
      <c r="N23" s="110" t="s">
        <v>1060</v>
      </c>
      <c r="O23" s="107"/>
      <c r="P23" s="107"/>
      <c r="Q23" s="107"/>
      <c r="R23" s="107"/>
      <c r="S23" s="107"/>
      <c r="T23" s="107"/>
      <c r="U23" s="107"/>
      <c r="V23" s="160">
        <v>6137000</v>
      </c>
      <c r="W23" s="162" t="s">
        <v>1074</v>
      </c>
      <c r="X23" s="107">
        <v>23</v>
      </c>
      <c r="Y23" s="105">
        <f>Dashboard[[#This Row],[Quantity]]*Dashboard[[#This Row],[Unit Rate]]</f>
        <v>141151000</v>
      </c>
      <c r="Z23" s="106">
        <f>Dashboard[[#This Row],[PO Value]]</f>
        <v>141151000</v>
      </c>
      <c r="AA23" s="113"/>
      <c r="AB23" s="107"/>
      <c r="AC23" s="107"/>
      <c r="AD23" s="107"/>
      <c r="AE23" s="107"/>
      <c r="AF23" s="107"/>
      <c r="AG23" s="110" t="s">
        <v>1062</v>
      </c>
      <c r="AH23" s="153" t="s">
        <v>2055</v>
      </c>
    </row>
    <row r="24" spans="1:34" ht="15.5">
      <c r="A24" s="107" t="s">
        <v>2056</v>
      </c>
      <c r="B24" s="131" t="s">
        <v>1064</v>
      </c>
      <c r="C24" s="107" t="s">
        <v>2053</v>
      </c>
      <c r="D24" s="107" t="s">
        <v>2054</v>
      </c>
      <c r="E24" s="107" t="s">
        <v>2054</v>
      </c>
      <c r="F24" s="107" t="s">
        <v>388</v>
      </c>
      <c r="G24" s="107"/>
      <c r="H24" s="107" t="s">
        <v>388</v>
      </c>
      <c r="I24" s="107" t="s">
        <v>2054</v>
      </c>
      <c r="J24" s="157">
        <f>Dashboard[[#This Row],[PO Value]]</f>
        <v>12952336550</v>
      </c>
      <c r="K24" s="110" t="s">
        <v>899</v>
      </c>
      <c r="L24" s="110" t="s">
        <v>1060</v>
      </c>
      <c r="M24" s="110"/>
      <c r="N24" s="110" t="s">
        <v>1060</v>
      </c>
      <c r="O24" s="107"/>
      <c r="P24" s="107"/>
      <c r="Q24" s="107"/>
      <c r="R24" s="107"/>
      <c r="S24" s="107"/>
      <c r="T24" s="107"/>
      <c r="U24" s="107"/>
      <c r="V24" s="160">
        <v>7001263</v>
      </c>
      <c r="W24" s="163" t="s">
        <v>1075</v>
      </c>
      <c r="X24" s="107">
        <v>1850</v>
      </c>
      <c r="Y24" s="105">
        <f>Dashboard[[#This Row],[Quantity]]*Dashboard[[#This Row],[Unit Rate]]</f>
        <v>12952336550</v>
      </c>
      <c r="Z24" s="106">
        <f>Dashboard[[#This Row],[PO Value]]</f>
        <v>12952336550</v>
      </c>
      <c r="AA24" s="107"/>
      <c r="AB24" s="107"/>
      <c r="AC24" s="107"/>
      <c r="AD24" s="107"/>
      <c r="AE24" s="107"/>
      <c r="AF24" s="107"/>
      <c r="AG24" s="110" t="s">
        <v>1062</v>
      </c>
      <c r="AH24" s="153" t="s">
        <v>2055</v>
      </c>
    </row>
    <row r="25" spans="1:34">
      <c r="A25" s="107" t="s">
        <v>2057</v>
      </c>
      <c r="B25" s="131" t="s">
        <v>1064</v>
      </c>
      <c r="C25" s="107" t="s">
        <v>2053</v>
      </c>
      <c r="D25" s="107" t="s">
        <v>2054</v>
      </c>
      <c r="E25" s="107" t="s">
        <v>2054</v>
      </c>
      <c r="F25" s="107" t="s">
        <v>388</v>
      </c>
      <c r="G25" s="107"/>
      <c r="H25" s="107" t="s">
        <v>388</v>
      </c>
      <c r="I25" s="107" t="s">
        <v>2054</v>
      </c>
      <c r="J25" s="157">
        <f>Dashboard[[#This Row],[PO Value]]</f>
        <v>66948500</v>
      </c>
      <c r="K25" s="110" t="s">
        <v>899</v>
      </c>
      <c r="L25" s="110" t="s">
        <v>1060</v>
      </c>
      <c r="M25" s="110"/>
      <c r="N25" s="110" t="s">
        <v>1060</v>
      </c>
      <c r="O25" s="107"/>
      <c r="P25" s="107"/>
      <c r="Q25" s="107"/>
      <c r="R25" s="107"/>
      <c r="S25" s="107"/>
      <c r="T25" s="107"/>
      <c r="U25" s="107"/>
      <c r="V25" s="160">
        <v>535588</v>
      </c>
      <c r="W25" s="162" t="s">
        <v>1076</v>
      </c>
      <c r="X25" s="107">
        <v>125</v>
      </c>
      <c r="Y25" s="105">
        <f>Dashboard[[#This Row],[Quantity]]*Dashboard[[#This Row],[Unit Rate]]</f>
        <v>66948500</v>
      </c>
      <c r="Z25" s="106">
        <f>Dashboard[[#This Row],[PO Value]]</f>
        <v>66948500</v>
      </c>
      <c r="AA25" s="107"/>
      <c r="AB25" s="107"/>
      <c r="AC25" s="107"/>
      <c r="AD25" s="107"/>
      <c r="AE25" s="107"/>
      <c r="AF25" s="107"/>
      <c r="AG25" s="110" t="s">
        <v>1062</v>
      </c>
      <c r="AH25" s="153" t="s">
        <v>2055</v>
      </c>
    </row>
    <row r="26" spans="1:34">
      <c r="A26" s="107" t="s">
        <v>2058</v>
      </c>
      <c r="B26" s="131" t="s">
        <v>1064</v>
      </c>
      <c r="C26" s="107" t="s">
        <v>2053</v>
      </c>
      <c r="D26" s="107" t="s">
        <v>2054</v>
      </c>
      <c r="E26" s="107" t="s">
        <v>2054</v>
      </c>
      <c r="F26" s="107" t="s">
        <v>388</v>
      </c>
      <c r="G26" s="107"/>
      <c r="H26" s="107" t="s">
        <v>388</v>
      </c>
      <c r="I26" s="107" t="s">
        <v>2054</v>
      </c>
      <c r="J26" s="157">
        <f>Dashboard[[#This Row],[PO Value]]</f>
        <v>87728625</v>
      </c>
      <c r="K26" s="110" t="s">
        <v>899</v>
      </c>
      <c r="L26" s="110" t="s">
        <v>1060</v>
      </c>
      <c r="M26" s="110"/>
      <c r="N26" s="110" t="s">
        <v>1060</v>
      </c>
      <c r="O26" s="107"/>
      <c r="P26" s="107"/>
      <c r="Q26" s="107"/>
      <c r="R26" s="107"/>
      <c r="S26" s="107"/>
      <c r="T26" s="107"/>
      <c r="U26" s="107"/>
      <c r="V26" s="160">
        <v>701829</v>
      </c>
      <c r="W26" s="162" t="s">
        <v>1077</v>
      </c>
      <c r="X26" s="107">
        <v>125</v>
      </c>
      <c r="Y26" s="105">
        <f>Dashboard[[#This Row],[Quantity]]*Dashboard[[#This Row],[Unit Rate]]</f>
        <v>87728625</v>
      </c>
      <c r="Z26" s="106">
        <f>Dashboard[[#This Row],[PO Value]]</f>
        <v>87728625</v>
      </c>
      <c r="AA26" s="107"/>
      <c r="AB26" s="107"/>
      <c r="AC26" s="107"/>
      <c r="AD26" s="107"/>
      <c r="AE26" s="107"/>
      <c r="AF26" s="107"/>
      <c r="AG26" s="110" t="s">
        <v>1062</v>
      </c>
      <c r="AH26" s="153" t="s">
        <v>2055</v>
      </c>
    </row>
    <row r="27" spans="1:34">
      <c r="A27" s="107" t="s">
        <v>2059</v>
      </c>
      <c r="B27" s="131" t="s">
        <v>1064</v>
      </c>
      <c r="C27" s="107" t="s">
        <v>2053</v>
      </c>
      <c r="D27" s="107" t="s">
        <v>2054</v>
      </c>
      <c r="E27" s="107" t="s">
        <v>2054</v>
      </c>
      <c r="F27" s="107" t="s">
        <v>388</v>
      </c>
      <c r="G27" s="107"/>
      <c r="H27" s="107" t="s">
        <v>388</v>
      </c>
      <c r="I27" s="107" t="s">
        <v>2054</v>
      </c>
      <c r="J27" s="157">
        <f>Dashboard[[#This Row],[PO Value]]</f>
        <v>729883610</v>
      </c>
      <c r="K27" s="110" t="s">
        <v>899</v>
      </c>
      <c r="L27" s="110" t="s">
        <v>1060</v>
      </c>
      <c r="M27" s="110"/>
      <c r="N27" s="110" t="s">
        <v>1060</v>
      </c>
      <c r="O27" s="107"/>
      <c r="P27" s="107"/>
      <c r="Q27" s="107"/>
      <c r="R27" s="107"/>
      <c r="S27" s="107"/>
      <c r="T27" s="107"/>
      <c r="U27" s="107"/>
      <c r="V27" s="160">
        <v>6346814</v>
      </c>
      <c r="W27" s="162" t="s">
        <v>1078</v>
      </c>
      <c r="X27" s="107">
        <v>115</v>
      </c>
      <c r="Y27" s="105">
        <f>Dashboard[[#This Row],[Quantity]]*Dashboard[[#This Row],[Unit Rate]]</f>
        <v>729883610</v>
      </c>
      <c r="Z27" s="106">
        <f>Dashboard[[#This Row],[PO Value]]</f>
        <v>729883610</v>
      </c>
      <c r="AA27" s="107"/>
      <c r="AB27" s="107"/>
      <c r="AC27" s="107"/>
      <c r="AD27" s="107"/>
      <c r="AE27" s="107"/>
      <c r="AF27" s="107"/>
      <c r="AG27" s="110" t="s">
        <v>1062</v>
      </c>
      <c r="AH27" s="153" t="s">
        <v>2055</v>
      </c>
    </row>
    <row r="28" spans="1:34">
      <c r="A28" s="107" t="s">
        <v>2060</v>
      </c>
      <c r="B28" s="131" t="s">
        <v>1064</v>
      </c>
      <c r="C28" s="107" t="s">
        <v>2053</v>
      </c>
      <c r="D28" s="107" t="s">
        <v>2054</v>
      </c>
      <c r="E28" s="107" t="s">
        <v>2054</v>
      </c>
      <c r="F28" s="107" t="s">
        <v>388</v>
      </c>
      <c r="G28" s="107"/>
      <c r="H28" s="107" t="s">
        <v>388</v>
      </c>
      <c r="I28" s="107" t="s">
        <v>2054</v>
      </c>
      <c r="J28" s="157">
        <f>Dashboard[[#This Row],[PO Value]]</f>
        <v>696299425</v>
      </c>
      <c r="K28" s="110" t="s">
        <v>899</v>
      </c>
      <c r="L28" s="110" t="s">
        <v>1060</v>
      </c>
      <c r="M28" s="110"/>
      <c r="N28" s="110" t="s">
        <v>1060</v>
      </c>
      <c r="O28" s="107"/>
      <c r="P28" s="107"/>
      <c r="Q28" s="107"/>
      <c r="R28" s="107"/>
      <c r="S28" s="107"/>
      <c r="T28" s="107"/>
      <c r="U28" s="107"/>
      <c r="V28" s="160">
        <v>4802065</v>
      </c>
      <c r="W28" s="162" t="s">
        <v>1079</v>
      </c>
      <c r="X28" s="107">
        <v>145</v>
      </c>
      <c r="Y28" s="105">
        <f>Dashboard[[#This Row],[Quantity]]*Dashboard[[#This Row],[Unit Rate]]</f>
        <v>696299425</v>
      </c>
      <c r="Z28" s="106">
        <f>Dashboard[[#This Row],[PO Value]]</f>
        <v>696299425</v>
      </c>
      <c r="AA28" s="107"/>
      <c r="AB28" s="107"/>
      <c r="AC28" s="107"/>
      <c r="AD28" s="107"/>
      <c r="AE28" s="107"/>
      <c r="AF28" s="107"/>
      <c r="AG28" s="110" t="s">
        <v>1062</v>
      </c>
      <c r="AH28" s="153" t="s">
        <v>2055</v>
      </c>
    </row>
    <row r="29" spans="1:34">
      <c r="A29" s="107" t="s">
        <v>2061</v>
      </c>
      <c r="B29" s="131" t="s">
        <v>1064</v>
      </c>
      <c r="C29" s="107" t="s">
        <v>2053</v>
      </c>
      <c r="D29" s="107" t="s">
        <v>2054</v>
      </c>
      <c r="E29" s="107" t="s">
        <v>2054</v>
      </c>
      <c r="F29" s="107" t="s">
        <v>388</v>
      </c>
      <c r="G29" s="107"/>
      <c r="H29" s="107" t="s">
        <v>388</v>
      </c>
      <c r="I29" s="107" t="s">
        <v>2054</v>
      </c>
      <c r="J29" s="157">
        <f>Dashboard[[#This Row],[PO Value]]</f>
        <v>218138276</v>
      </c>
      <c r="K29" s="110" t="s">
        <v>899</v>
      </c>
      <c r="L29" s="110" t="s">
        <v>1060</v>
      </c>
      <c r="M29" s="110"/>
      <c r="N29" s="110" t="s">
        <v>1060</v>
      </c>
      <c r="O29" s="107"/>
      <c r="P29" s="107"/>
      <c r="Q29" s="107"/>
      <c r="R29" s="107"/>
      <c r="S29" s="107"/>
      <c r="T29" s="107"/>
      <c r="U29" s="107"/>
      <c r="V29" s="160">
        <v>1380622</v>
      </c>
      <c r="W29" s="162" t="s">
        <v>1080</v>
      </c>
      <c r="X29" s="107">
        <v>158</v>
      </c>
      <c r="Y29" s="105">
        <f>Dashboard[[#This Row],[Quantity]]*Dashboard[[#This Row],[Unit Rate]]</f>
        <v>218138276</v>
      </c>
      <c r="Z29" s="106">
        <f>Dashboard[[#This Row],[PO Value]]</f>
        <v>218138276</v>
      </c>
      <c r="AA29" s="107"/>
      <c r="AB29" s="107"/>
      <c r="AC29" s="107"/>
      <c r="AD29" s="107"/>
      <c r="AE29" s="107"/>
      <c r="AF29" s="107"/>
      <c r="AG29" s="110" t="s">
        <v>1062</v>
      </c>
      <c r="AH29" s="153" t="s">
        <v>2055</v>
      </c>
    </row>
    <row r="30" spans="1:34">
      <c r="A30" s="107" t="s">
        <v>2062</v>
      </c>
      <c r="B30" s="131" t="s">
        <v>1064</v>
      </c>
      <c r="C30" t="s">
        <v>1082</v>
      </c>
      <c r="D30" t="s">
        <v>2063</v>
      </c>
      <c r="E30" t="s">
        <v>2063</v>
      </c>
      <c r="F30" t="s">
        <v>388</v>
      </c>
      <c r="H30" t="s">
        <v>388</v>
      </c>
      <c r="I30" t="s">
        <v>2063</v>
      </c>
      <c r="J30" t="s">
        <v>2064</v>
      </c>
      <c r="K30" s="110" t="s">
        <v>899</v>
      </c>
      <c r="L30" s="110" t="s">
        <v>1060</v>
      </c>
      <c r="M30" s="110"/>
      <c r="N30" s="110" t="s">
        <v>1060</v>
      </c>
      <c r="S30" s="107"/>
      <c r="U30" s="107"/>
      <c r="V30" t="s">
        <v>2064</v>
      </c>
      <c r="W30" t="s">
        <v>1075</v>
      </c>
      <c r="X30">
        <v>1070</v>
      </c>
      <c r="AG30" s="110" t="s">
        <v>1062</v>
      </c>
      <c r="AH30" s="153" t="s">
        <v>976</v>
      </c>
    </row>
    <row r="31" spans="1:34">
      <c r="A31" s="107" t="s">
        <v>2065</v>
      </c>
      <c r="B31" s="164" t="s">
        <v>1064</v>
      </c>
      <c r="C31" t="s">
        <v>1095</v>
      </c>
      <c r="D31" t="s">
        <v>1096</v>
      </c>
      <c r="E31" t="s">
        <v>1096</v>
      </c>
      <c r="F31" t="s">
        <v>388</v>
      </c>
      <c r="H31" t="s">
        <v>388</v>
      </c>
      <c r="I31" t="s">
        <v>1711</v>
      </c>
      <c r="J31">
        <v>1750000</v>
      </c>
      <c r="K31" s="110" t="s">
        <v>899</v>
      </c>
      <c r="L31" s="110" t="s">
        <v>1060</v>
      </c>
      <c r="M31" s="110"/>
      <c r="N31" s="110" t="s">
        <v>1060</v>
      </c>
      <c r="S31" s="107"/>
      <c r="U31" s="107"/>
      <c r="V31">
        <v>50000</v>
      </c>
      <c r="W31" t="s">
        <v>1097</v>
      </c>
      <c r="X31">
        <v>35</v>
      </c>
      <c r="AG31" s="110" t="s">
        <v>1062</v>
      </c>
      <c r="AH31" s="153" t="s">
        <v>1098</v>
      </c>
    </row>
    <row r="32" spans="1:34">
      <c r="A32" s="107" t="s">
        <v>2066</v>
      </c>
      <c r="B32" s="131" t="s">
        <v>1064</v>
      </c>
      <c r="C32" t="s">
        <v>1095</v>
      </c>
      <c r="D32" t="s">
        <v>1096</v>
      </c>
      <c r="E32" t="s">
        <v>1096</v>
      </c>
      <c r="F32" t="s">
        <v>388</v>
      </c>
      <c r="H32" t="s">
        <v>388</v>
      </c>
      <c r="I32" t="s">
        <v>1711</v>
      </c>
      <c r="J32">
        <v>2000000</v>
      </c>
      <c r="K32" s="110" t="s">
        <v>899</v>
      </c>
      <c r="L32" s="110" t="s">
        <v>1060</v>
      </c>
      <c r="M32" s="110"/>
      <c r="N32" s="110" t="s">
        <v>1060</v>
      </c>
      <c r="S32" s="107"/>
      <c r="U32" s="107"/>
      <c r="V32">
        <v>100000</v>
      </c>
      <c r="W32" t="s">
        <v>1099</v>
      </c>
      <c r="X32">
        <v>20</v>
      </c>
      <c r="AG32" s="110" t="s">
        <v>1062</v>
      </c>
      <c r="AH32" s="153" t="s">
        <v>1098</v>
      </c>
    </row>
    <row r="33" spans="1:34">
      <c r="A33" s="107" t="s">
        <v>2067</v>
      </c>
      <c r="B33" s="164" t="s">
        <v>1064</v>
      </c>
      <c r="C33" t="s">
        <v>1095</v>
      </c>
      <c r="D33" t="s">
        <v>1096</v>
      </c>
      <c r="E33" t="s">
        <v>1096</v>
      </c>
      <c r="F33" t="s">
        <v>388</v>
      </c>
      <c r="H33" t="s">
        <v>388</v>
      </c>
      <c r="I33" t="s">
        <v>1711</v>
      </c>
      <c r="J33">
        <f>Dashboard[[#This Row],[Quantity]]*Dashboard[[#This Row],[Unit Rate]]</f>
        <v>5250000</v>
      </c>
      <c r="K33" s="110" t="s">
        <v>899</v>
      </c>
      <c r="L33" s="110" t="s">
        <v>1060</v>
      </c>
      <c r="M33" s="110"/>
      <c r="N33" s="110" t="s">
        <v>1060</v>
      </c>
      <c r="S33" s="107"/>
      <c r="U33" s="107"/>
      <c r="V33">
        <v>50000</v>
      </c>
      <c r="W33" t="s">
        <v>1066</v>
      </c>
      <c r="X33">
        <v>105</v>
      </c>
      <c r="AG33" s="110" t="s">
        <v>1062</v>
      </c>
      <c r="AH33" s="153" t="s">
        <v>1098</v>
      </c>
    </row>
    <row r="34" spans="1:34">
      <c r="A34" s="107" t="s">
        <v>2068</v>
      </c>
      <c r="B34" s="131" t="s">
        <v>1064</v>
      </c>
      <c r="C34" t="s">
        <v>1095</v>
      </c>
      <c r="D34" t="s">
        <v>1096</v>
      </c>
      <c r="E34" t="s">
        <v>1096</v>
      </c>
      <c r="F34" t="s">
        <v>388</v>
      </c>
      <c r="H34" t="s">
        <v>388</v>
      </c>
      <c r="I34" t="s">
        <v>1711</v>
      </c>
      <c r="J34">
        <f>Dashboard[[#This Row],[Quantity]]*Dashboard[[#This Row],[Unit Rate]]</f>
        <v>3150000</v>
      </c>
      <c r="K34" s="110" t="s">
        <v>899</v>
      </c>
      <c r="L34" s="110" t="s">
        <v>1060</v>
      </c>
      <c r="M34" s="110"/>
      <c r="N34" s="110" t="s">
        <v>1060</v>
      </c>
      <c r="S34" s="107"/>
      <c r="U34" s="107"/>
      <c r="V34">
        <v>30000</v>
      </c>
      <c r="W34" t="s">
        <v>1067</v>
      </c>
      <c r="X34">
        <v>105</v>
      </c>
      <c r="AG34" s="110" t="s">
        <v>1062</v>
      </c>
      <c r="AH34" s="153" t="s">
        <v>1098</v>
      </c>
    </row>
    <row r="35" spans="1:34">
      <c r="A35" s="107" t="s">
        <v>2069</v>
      </c>
      <c r="B35" s="164" t="s">
        <v>1064</v>
      </c>
      <c r="C35" t="s">
        <v>1095</v>
      </c>
      <c r="D35" t="s">
        <v>1096</v>
      </c>
      <c r="E35" t="s">
        <v>1096</v>
      </c>
      <c r="F35" t="s">
        <v>388</v>
      </c>
      <c r="H35" t="s">
        <v>388</v>
      </c>
      <c r="I35" t="s">
        <v>1711</v>
      </c>
      <c r="J35">
        <f>Dashboard[[#This Row],[Quantity]]*Dashboard[[#This Row],[Unit Rate]]</f>
        <v>6300000</v>
      </c>
      <c r="K35" s="110" t="s">
        <v>899</v>
      </c>
      <c r="L35" s="110" t="s">
        <v>1060</v>
      </c>
      <c r="M35" s="110"/>
      <c r="N35" s="110" t="s">
        <v>1060</v>
      </c>
      <c r="S35" s="107"/>
      <c r="U35" s="107"/>
      <c r="V35">
        <v>60000</v>
      </c>
      <c r="W35" t="s">
        <v>981</v>
      </c>
      <c r="X35">
        <v>105</v>
      </c>
      <c r="AG35" s="110" t="s">
        <v>1062</v>
      </c>
      <c r="AH35" s="153" t="s">
        <v>1098</v>
      </c>
    </row>
    <row r="36" spans="1:34">
      <c r="A36" s="107" t="s">
        <v>2070</v>
      </c>
      <c r="B36" s="131" t="s">
        <v>1064</v>
      </c>
      <c r="C36" t="s">
        <v>1095</v>
      </c>
      <c r="D36" t="s">
        <v>1096</v>
      </c>
      <c r="E36" t="s">
        <v>1096</v>
      </c>
      <c r="F36" t="s">
        <v>388</v>
      </c>
      <c r="H36" t="s">
        <v>388</v>
      </c>
      <c r="I36" t="s">
        <v>1711</v>
      </c>
      <c r="J36">
        <f>Dashboard[[#This Row],[Quantity]]*Dashboard[[#This Row],[Unit Rate]]</f>
        <v>3600000</v>
      </c>
      <c r="K36" s="110" t="s">
        <v>899</v>
      </c>
      <c r="L36" s="110" t="s">
        <v>1060</v>
      </c>
      <c r="M36" s="110"/>
      <c r="N36" s="110" t="s">
        <v>1060</v>
      </c>
      <c r="S36" s="107"/>
      <c r="U36" s="107"/>
      <c r="V36">
        <v>30000</v>
      </c>
      <c r="W36" t="s">
        <v>1100</v>
      </c>
      <c r="X36">
        <v>120</v>
      </c>
      <c r="AG36" s="110" t="s">
        <v>1062</v>
      </c>
      <c r="AH36" s="153" t="s">
        <v>1098</v>
      </c>
    </row>
    <row r="37" spans="1:34">
      <c r="A37" s="107" t="s">
        <v>2071</v>
      </c>
      <c r="B37" s="164" t="s">
        <v>1064</v>
      </c>
      <c r="C37" t="s">
        <v>1095</v>
      </c>
      <c r="D37" t="s">
        <v>1096</v>
      </c>
      <c r="E37" t="s">
        <v>1096</v>
      </c>
      <c r="F37" t="s">
        <v>388</v>
      </c>
      <c r="H37" t="s">
        <v>388</v>
      </c>
      <c r="I37" t="s">
        <v>1711</v>
      </c>
      <c r="J37">
        <f>Dashboard[[#This Row],[Quantity]]*Dashboard[[#This Row],[Unit Rate]]</f>
        <v>402500</v>
      </c>
      <c r="K37" s="110" t="s">
        <v>899</v>
      </c>
      <c r="L37" s="110" t="s">
        <v>1060</v>
      </c>
      <c r="M37" s="110"/>
      <c r="N37" s="110" t="s">
        <v>1060</v>
      </c>
      <c r="S37" s="107"/>
      <c r="U37" s="107"/>
      <c r="V37">
        <v>3500</v>
      </c>
      <c r="W37" t="s">
        <v>1101</v>
      </c>
      <c r="X37">
        <v>115</v>
      </c>
      <c r="AG37" s="110" t="s">
        <v>1062</v>
      </c>
      <c r="AH37" s="153" t="s">
        <v>1098</v>
      </c>
    </row>
    <row r="38" spans="1:34">
      <c r="A38" s="107" t="s">
        <v>2072</v>
      </c>
      <c r="B38" s="131" t="s">
        <v>1064</v>
      </c>
      <c r="C38" t="s">
        <v>1095</v>
      </c>
      <c r="D38" t="s">
        <v>1096</v>
      </c>
      <c r="E38" t="s">
        <v>1096</v>
      </c>
      <c r="F38" t="s">
        <v>388</v>
      </c>
      <c r="H38" t="s">
        <v>388</v>
      </c>
      <c r="I38" t="s">
        <v>1711</v>
      </c>
      <c r="J38">
        <f>Dashboard[[#This Row],[Quantity]]*Dashboard[[#This Row],[Unit Rate]]</f>
        <v>3450000</v>
      </c>
      <c r="K38" s="110" t="s">
        <v>899</v>
      </c>
      <c r="L38" s="110" t="s">
        <v>1060</v>
      </c>
      <c r="M38" s="110"/>
      <c r="N38" s="110" t="s">
        <v>1060</v>
      </c>
      <c r="S38" s="107"/>
      <c r="U38" s="107"/>
      <c r="V38">
        <v>30000</v>
      </c>
      <c r="W38" t="s">
        <v>1102</v>
      </c>
      <c r="X38">
        <v>115</v>
      </c>
      <c r="AG38" s="110" t="s">
        <v>1062</v>
      </c>
      <c r="AH38" s="153" t="s">
        <v>1098</v>
      </c>
    </row>
    <row r="39" spans="1:34">
      <c r="A39" t="s">
        <v>2073</v>
      </c>
      <c r="B39" s="131" t="s">
        <v>1064</v>
      </c>
      <c r="C39" t="s">
        <v>1095</v>
      </c>
      <c r="D39" t="s">
        <v>1096</v>
      </c>
      <c r="E39" t="s">
        <v>1096</v>
      </c>
      <c r="F39" t="s">
        <v>388</v>
      </c>
      <c r="H39" t="s">
        <v>388</v>
      </c>
      <c r="I39" t="s">
        <v>1711</v>
      </c>
      <c r="J39">
        <f>Dashboard[[#This Row],[Quantity]]*Dashboard[[#This Row],[Unit Rate]]</f>
        <v>402500</v>
      </c>
      <c r="K39" s="110" t="s">
        <v>899</v>
      </c>
      <c r="L39" s="110" t="s">
        <v>1060</v>
      </c>
      <c r="M39" s="110"/>
      <c r="N39" s="110" t="s">
        <v>1060</v>
      </c>
      <c r="S39" s="107"/>
      <c r="U39" s="107"/>
      <c r="V39">
        <v>3500</v>
      </c>
      <c r="W39" t="s">
        <v>1103</v>
      </c>
      <c r="X39">
        <v>115</v>
      </c>
      <c r="AG39" s="110" t="s">
        <v>1062</v>
      </c>
      <c r="AH39" s="153" t="s">
        <v>1098</v>
      </c>
    </row>
    <row r="43" spans="1:34">
      <c r="J43" s="89">
        <f>SUM(Dashboard[Bid Amount])</f>
        <v>22538922998</v>
      </c>
    </row>
  </sheetData>
  <dataValidations disablePrompts="1" count="1">
    <dataValidation type="list" allowBlank="1" showInputMessage="1" showErrorMessage="1" sqref="K40:K44 H30:H44 F30:F44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1.453125" bestFit="1" customWidth="1"/>
    <col min="2" max="2" width="12.54296875" bestFit="1" customWidth="1"/>
    <col min="3" max="3" width="10.26953125" bestFit="1" customWidth="1"/>
    <col min="4" max="4" width="13.26953125" bestFit="1" customWidth="1"/>
    <col min="5" max="5" width="12" bestFit="1" customWidth="1"/>
    <col min="6" max="6" width="17.453125" bestFit="1" customWidth="1"/>
    <col min="7" max="7" width="11.1796875" bestFit="1" customWidth="1"/>
    <col min="8" max="8" width="18.26953125" bestFit="1" customWidth="1"/>
    <col min="9" max="9" width="18.453125" bestFit="1" customWidth="1"/>
    <col min="10" max="10" width="12.54296875" bestFit="1" customWidth="1"/>
    <col min="11" max="11" width="21.7265625" bestFit="1" customWidth="1"/>
    <col min="12" max="12" width="26.453125" bestFit="1" customWidth="1"/>
    <col min="13" max="13" width="16.81640625" bestFit="1" customWidth="1"/>
    <col min="14" max="14" width="15.81640625" bestFit="1" customWidth="1"/>
    <col min="15" max="15" width="23" bestFit="1" customWidth="1"/>
    <col min="16" max="16" width="19.453125" bestFit="1" customWidth="1"/>
    <col min="17" max="17" width="27.7265625" bestFit="1" customWidth="1"/>
    <col min="18" max="18" width="19" bestFit="1" customWidth="1"/>
    <col min="19" max="19" width="16.453125" bestFit="1" customWidth="1"/>
    <col min="20" max="20" width="22.54296875" bestFit="1" customWidth="1"/>
    <col min="21" max="21" width="20.1796875" bestFit="1" customWidth="1"/>
    <col min="22" max="22" width="48.81640625" bestFit="1" customWidth="1"/>
    <col min="23" max="23" width="27.7265625" bestFit="1" customWidth="1"/>
    <col min="25" max="25" width="23" bestFit="1" customWidth="1"/>
    <col min="26" max="26" width="9.26953125" bestFit="1" customWidth="1"/>
    <col min="27" max="27" width="10.1796875" bestFit="1" customWidth="1"/>
    <col min="28" max="28" width="13.7265625" bestFit="1" customWidth="1"/>
    <col min="29" max="29" width="18.7265625" bestFit="1" customWidth="1"/>
    <col min="30" max="31" width="21.54296875" bestFit="1" customWidth="1"/>
    <col min="32" max="32" width="13.81640625" bestFit="1" customWidth="1"/>
    <col min="33" max="33" width="44.54296875" bestFit="1" customWidth="1"/>
  </cols>
  <sheetData>
    <row r="1" spans="1:33">
      <c r="A1" t="s">
        <v>830</v>
      </c>
      <c r="B1" t="s">
        <v>831</v>
      </c>
      <c r="C1" t="s">
        <v>832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838</v>
      </c>
      <c r="J1" t="s">
        <v>839</v>
      </c>
      <c r="K1" t="s">
        <v>840</v>
      </c>
      <c r="L1" t="s">
        <v>841</v>
      </c>
      <c r="M1" t="s">
        <v>842</v>
      </c>
      <c r="N1" t="s">
        <v>843</v>
      </c>
      <c r="O1" t="s">
        <v>844</v>
      </c>
      <c r="P1" t="s">
        <v>845</v>
      </c>
      <c r="Q1" t="s">
        <v>846</v>
      </c>
      <c r="R1" t="s">
        <v>847</v>
      </c>
      <c r="S1" t="s">
        <v>848</v>
      </c>
      <c r="T1" t="s">
        <v>849</v>
      </c>
      <c r="U1" t="s">
        <v>12</v>
      </c>
      <c r="V1" t="s">
        <v>850</v>
      </c>
      <c r="W1" t="s">
        <v>851</v>
      </c>
      <c r="X1" t="s">
        <v>852</v>
      </c>
      <c r="Y1" t="s">
        <v>853</v>
      </c>
      <c r="Z1" t="s">
        <v>854</v>
      </c>
      <c r="AA1" t="s">
        <v>70</v>
      </c>
      <c r="AB1" t="s">
        <v>71</v>
      </c>
      <c r="AC1" t="s">
        <v>855</v>
      </c>
      <c r="AD1" t="s">
        <v>856</v>
      </c>
      <c r="AE1" t="s">
        <v>72</v>
      </c>
      <c r="AF1" t="s">
        <v>857</v>
      </c>
      <c r="AG1" t="s">
        <v>858</v>
      </c>
    </row>
    <row r="2" spans="1:33" ht="72.5">
      <c r="A2" t="s">
        <v>1104</v>
      </c>
      <c r="B2" s="115" t="s">
        <v>1947</v>
      </c>
      <c r="C2" s="116" t="s">
        <v>1105</v>
      </c>
      <c r="D2" s="117" t="s">
        <v>1948</v>
      </c>
      <c r="E2" s="117" t="s">
        <v>1949</v>
      </c>
      <c r="F2" s="105" t="s">
        <v>388</v>
      </c>
      <c r="G2" s="105" t="s">
        <v>373</v>
      </c>
      <c r="H2" s="105" t="s">
        <v>388</v>
      </c>
      <c r="I2" s="118">
        <v>45818</v>
      </c>
      <c r="J2" s="119">
        <v>32970000</v>
      </c>
      <c r="K2" s="105" t="s">
        <v>388</v>
      </c>
      <c r="L2" s="105" t="s">
        <v>862</v>
      </c>
      <c r="M2" s="105" t="s">
        <v>1106</v>
      </c>
      <c r="N2" s="120"/>
      <c r="O2" s="121"/>
      <c r="P2" s="105"/>
      <c r="Q2" s="105" t="s">
        <v>899</v>
      </c>
      <c r="R2" s="105"/>
      <c r="S2" s="122" t="s">
        <v>899</v>
      </c>
      <c r="T2" s="105"/>
      <c r="U2" s="105"/>
      <c r="V2" s="115"/>
      <c r="W2" s="123"/>
      <c r="X2" s="105"/>
      <c r="Y2" s="105"/>
      <c r="Z2" s="105" t="s">
        <v>1950</v>
      </c>
      <c r="AB2" s="105"/>
      <c r="AC2" s="105"/>
      <c r="AD2" s="105" t="s">
        <v>1951</v>
      </c>
      <c r="AE2" s="105"/>
      <c r="AF2" s="105"/>
      <c r="AG2" s="105"/>
    </row>
    <row r="3" spans="1:33" ht="72.5">
      <c r="B3" s="115" t="s">
        <v>1952</v>
      </c>
      <c r="C3" s="115" t="s">
        <v>1105</v>
      </c>
      <c r="D3" s="117" t="s">
        <v>1948</v>
      </c>
      <c r="E3" s="117" t="s">
        <v>1949</v>
      </c>
      <c r="F3" s="105" t="s">
        <v>388</v>
      </c>
      <c r="G3" s="105" t="s">
        <v>373</v>
      </c>
      <c r="H3" s="105" t="s">
        <v>388</v>
      </c>
      <c r="I3" s="118">
        <v>45818</v>
      </c>
      <c r="J3" s="119"/>
      <c r="K3" s="105" t="s">
        <v>388</v>
      </c>
      <c r="L3" s="105" t="s">
        <v>862</v>
      </c>
      <c r="M3" s="105" t="s">
        <v>1106</v>
      </c>
      <c r="N3" s="120"/>
      <c r="O3" s="118" t="s">
        <v>874</v>
      </c>
      <c r="P3" s="105" t="s">
        <v>874</v>
      </c>
      <c r="Q3" s="105" t="s">
        <v>899</v>
      </c>
      <c r="R3" s="105"/>
      <c r="S3" s="124" t="s">
        <v>899</v>
      </c>
      <c r="T3" s="105"/>
      <c r="U3" s="105">
        <v>18000</v>
      </c>
      <c r="V3" s="115" t="s">
        <v>1108</v>
      </c>
      <c r="W3" s="123">
        <v>244</v>
      </c>
      <c r="X3" s="105">
        <v>5124000</v>
      </c>
      <c r="Y3" s="105">
        <v>9114000</v>
      </c>
      <c r="Z3" s="105" t="s">
        <v>1950</v>
      </c>
      <c r="AB3" s="105"/>
      <c r="AC3" s="105"/>
      <c r="AD3" s="105" t="s">
        <v>1951</v>
      </c>
      <c r="AE3" s="105"/>
      <c r="AF3" s="105"/>
      <c r="AG3" s="105"/>
    </row>
    <row r="4" spans="1:33">
      <c r="B4" s="115"/>
      <c r="C4" s="115"/>
      <c r="D4" s="117"/>
      <c r="E4" s="117"/>
      <c r="F4" s="105"/>
      <c r="G4" s="105"/>
      <c r="H4" s="105"/>
      <c r="I4" s="118"/>
      <c r="J4" s="119"/>
      <c r="K4" s="105"/>
      <c r="L4" s="105"/>
      <c r="M4" s="105"/>
      <c r="N4" s="120"/>
      <c r="O4" s="118"/>
      <c r="P4" s="105"/>
      <c r="Q4" s="105"/>
      <c r="R4" s="105"/>
      <c r="S4" s="125" t="s">
        <v>899</v>
      </c>
      <c r="T4" s="105"/>
      <c r="U4" s="126">
        <v>3000</v>
      </c>
      <c r="V4" s="115" t="s">
        <v>1109</v>
      </c>
      <c r="W4" s="123">
        <v>244</v>
      </c>
      <c r="X4" s="105"/>
      <c r="Y4" s="105"/>
      <c r="Z4" s="105"/>
      <c r="AB4" s="105"/>
      <c r="AC4" s="105"/>
      <c r="AD4" s="105"/>
      <c r="AE4" s="105"/>
      <c r="AF4" s="105"/>
      <c r="AG4" s="105"/>
    </row>
    <row r="5" spans="1:33" ht="72.5">
      <c r="A5" t="s">
        <v>1110</v>
      </c>
      <c r="B5" s="115" t="s">
        <v>1953</v>
      </c>
      <c r="C5" s="116" t="s">
        <v>1954</v>
      </c>
      <c r="D5" s="117" t="s">
        <v>1948</v>
      </c>
      <c r="E5" s="117" t="s">
        <v>1949</v>
      </c>
      <c r="F5" s="105" t="s">
        <v>388</v>
      </c>
      <c r="G5" s="105" t="s">
        <v>373</v>
      </c>
      <c r="H5" s="105" t="s">
        <v>388</v>
      </c>
      <c r="I5" s="118">
        <v>45790</v>
      </c>
      <c r="J5" s="119">
        <v>30600000</v>
      </c>
      <c r="K5" s="105" t="s">
        <v>388</v>
      </c>
      <c r="L5" s="105" t="s">
        <v>862</v>
      </c>
      <c r="M5" s="105" t="s">
        <v>1106</v>
      </c>
      <c r="N5" s="120" t="s">
        <v>1111</v>
      </c>
      <c r="O5" s="118"/>
      <c r="P5" s="105" t="s">
        <v>1955</v>
      </c>
      <c r="Q5" s="105" t="s">
        <v>388</v>
      </c>
      <c r="R5" s="105" t="s">
        <v>864</v>
      </c>
      <c r="S5" s="105" t="s">
        <v>874</v>
      </c>
      <c r="T5" s="105" t="s">
        <v>1956</v>
      </c>
      <c r="U5" s="105">
        <v>85000</v>
      </c>
      <c r="V5" s="115" t="s">
        <v>1107</v>
      </c>
      <c r="W5" s="123">
        <v>360</v>
      </c>
      <c r="X5" s="105">
        <v>25200000</v>
      </c>
      <c r="Y5" s="105">
        <v>30600000</v>
      </c>
      <c r="Z5" s="105" t="s">
        <v>1950</v>
      </c>
      <c r="AB5" s="105"/>
      <c r="AC5" s="105"/>
      <c r="AD5" s="105" t="s">
        <v>1951</v>
      </c>
      <c r="AE5" s="110" t="s">
        <v>874</v>
      </c>
      <c r="AF5" s="105"/>
      <c r="AG5" s="105"/>
    </row>
    <row r="6" spans="1:33" ht="72.5">
      <c r="A6" t="s">
        <v>1114</v>
      </c>
      <c r="B6" s="115" t="s">
        <v>1957</v>
      </c>
      <c r="C6" s="127" t="s">
        <v>975</v>
      </c>
      <c r="D6" s="117" t="s">
        <v>1958</v>
      </c>
      <c r="E6" s="117" t="s">
        <v>1949</v>
      </c>
      <c r="F6" s="110" t="s">
        <v>388</v>
      </c>
      <c r="G6" s="110" t="s">
        <v>373</v>
      </c>
      <c r="H6" s="110" t="s">
        <v>388</v>
      </c>
      <c r="I6" s="128">
        <v>45790</v>
      </c>
      <c r="J6" s="129">
        <v>40000000</v>
      </c>
      <c r="K6" s="105" t="s">
        <v>388</v>
      </c>
      <c r="L6" s="105" t="s">
        <v>862</v>
      </c>
      <c r="M6" s="105" t="s">
        <v>1106</v>
      </c>
      <c r="N6" s="130" t="s">
        <v>1959</v>
      </c>
      <c r="O6" s="128">
        <v>45972</v>
      </c>
      <c r="P6" s="110" t="s">
        <v>1960</v>
      </c>
      <c r="Q6" s="110" t="s">
        <v>899</v>
      </c>
      <c r="R6" s="110"/>
      <c r="S6" s="110" t="s">
        <v>874</v>
      </c>
      <c r="T6" s="110"/>
      <c r="U6" s="110"/>
      <c r="V6" s="131"/>
      <c r="W6" s="123"/>
      <c r="X6" s="110"/>
      <c r="Y6" s="110"/>
      <c r="Z6" s="110" t="s">
        <v>1950</v>
      </c>
      <c r="AB6" s="110"/>
      <c r="AC6" s="110"/>
      <c r="AD6" s="110" t="s">
        <v>1951</v>
      </c>
      <c r="AE6" s="110" t="s">
        <v>874</v>
      </c>
      <c r="AF6" s="110"/>
      <c r="AG6" s="110"/>
    </row>
    <row r="7" spans="1:33" ht="72.5">
      <c r="B7" s="115" t="s">
        <v>1961</v>
      </c>
      <c r="C7" s="131" t="s">
        <v>975</v>
      </c>
      <c r="D7" s="117"/>
      <c r="E7" s="117"/>
      <c r="F7" s="105"/>
      <c r="G7" s="105"/>
      <c r="H7" s="105"/>
      <c r="I7" s="128">
        <v>45790</v>
      </c>
      <c r="J7" s="119"/>
      <c r="K7" s="105" t="s">
        <v>388</v>
      </c>
      <c r="L7" s="105" t="s">
        <v>862</v>
      </c>
      <c r="M7" s="105" t="s">
        <v>1106</v>
      </c>
      <c r="N7" s="130" t="s">
        <v>1959</v>
      </c>
      <c r="O7" s="128">
        <v>45972</v>
      </c>
      <c r="P7" s="110" t="s">
        <v>1960</v>
      </c>
      <c r="Q7" s="110" t="s">
        <v>899</v>
      </c>
      <c r="R7" s="105"/>
      <c r="S7" s="110" t="s">
        <v>874</v>
      </c>
      <c r="T7" s="110"/>
      <c r="U7" s="105">
        <v>6000</v>
      </c>
      <c r="V7" s="115" t="s">
        <v>1115</v>
      </c>
      <c r="W7" s="123">
        <v>445</v>
      </c>
      <c r="X7" s="105">
        <v>1335000</v>
      </c>
      <c r="Y7" s="105">
        <v>2670000</v>
      </c>
      <c r="Z7" s="105" t="s">
        <v>1950</v>
      </c>
      <c r="AB7" s="105"/>
      <c r="AC7" s="105"/>
      <c r="AD7" s="110" t="s">
        <v>1951</v>
      </c>
      <c r="AE7" s="110" t="s">
        <v>874</v>
      </c>
      <c r="AF7" s="105"/>
      <c r="AG7" s="105"/>
    </row>
    <row r="8" spans="1:33" ht="72.5">
      <c r="B8" s="115" t="s">
        <v>1962</v>
      </c>
      <c r="C8" s="131" t="s">
        <v>975</v>
      </c>
      <c r="D8" s="117"/>
      <c r="E8" s="117"/>
      <c r="F8" s="110"/>
      <c r="G8" s="110"/>
      <c r="H8" s="110"/>
      <c r="I8" s="128">
        <v>45790</v>
      </c>
      <c r="J8" s="129"/>
      <c r="K8" s="105" t="s">
        <v>388</v>
      </c>
      <c r="L8" s="105" t="s">
        <v>862</v>
      </c>
      <c r="M8" s="105" t="s">
        <v>1106</v>
      </c>
      <c r="N8" s="130" t="s">
        <v>1959</v>
      </c>
      <c r="O8" s="128">
        <v>45972</v>
      </c>
      <c r="P8" s="110" t="s">
        <v>1960</v>
      </c>
      <c r="Q8" s="110" t="s">
        <v>899</v>
      </c>
      <c r="R8" s="110"/>
      <c r="S8" s="110" t="s">
        <v>874</v>
      </c>
      <c r="T8" s="110"/>
      <c r="U8" s="110">
        <v>20000</v>
      </c>
      <c r="V8" s="131" t="s">
        <v>1116</v>
      </c>
      <c r="W8" s="123">
        <v>445</v>
      </c>
      <c r="X8" s="110">
        <v>8900000</v>
      </c>
      <c r="Y8" s="110">
        <v>8900000</v>
      </c>
      <c r="Z8" s="110" t="s">
        <v>1950</v>
      </c>
      <c r="AB8" s="110"/>
      <c r="AC8" s="110"/>
      <c r="AD8" s="110" t="s">
        <v>1951</v>
      </c>
      <c r="AE8" s="110" t="s">
        <v>874</v>
      </c>
      <c r="AF8" s="110"/>
      <c r="AG8" s="110"/>
    </row>
    <row r="9" spans="1:33" ht="29">
      <c r="B9" s="105"/>
      <c r="C9" s="131" t="s">
        <v>975</v>
      </c>
      <c r="D9" s="117"/>
      <c r="E9" s="117"/>
      <c r="F9" s="105"/>
      <c r="G9" s="105"/>
      <c r="H9" s="105"/>
      <c r="I9" s="128">
        <v>45790</v>
      </c>
      <c r="J9" s="119"/>
      <c r="K9" s="105" t="s">
        <v>388</v>
      </c>
      <c r="L9" s="105" t="s">
        <v>862</v>
      </c>
      <c r="M9" s="105" t="s">
        <v>1106</v>
      </c>
      <c r="N9" s="130" t="s">
        <v>1959</v>
      </c>
      <c r="O9" s="128">
        <v>45972</v>
      </c>
      <c r="P9" s="110" t="s">
        <v>1960</v>
      </c>
      <c r="Q9" s="110" t="s">
        <v>899</v>
      </c>
      <c r="R9" s="105"/>
      <c r="S9" s="110" t="s">
        <v>874</v>
      </c>
      <c r="T9" s="110"/>
      <c r="U9" s="105">
        <v>85000</v>
      </c>
      <c r="V9" s="115" t="s">
        <v>1117</v>
      </c>
      <c r="W9" s="123">
        <v>190</v>
      </c>
      <c r="X9" s="105">
        <v>16450000</v>
      </c>
      <c r="Y9" s="105">
        <v>16450000</v>
      </c>
      <c r="Z9" s="105" t="s">
        <v>1950</v>
      </c>
      <c r="AB9" s="105"/>
      <c r="AC9" s="105"/>
      <c r="AD9" s="110" t="s">
        <v>1951</v>
      </c>
      <c r="AE9" s="110" t="s">
        <v>874</v>
      </c>
      <c r="AF9" s="105"/>
      <c r="AG9" s="105"/>
    </row>
    <row r="10" spans="1:33" ht="29">
      <c r="B10" s="105"/>
      <c r="C10" s="131" t="s">
        <v>975</v>
      </c>
      <c r="D10" s="117"/>
      <c r="E10" s="117"/>
      <c r="F10" s="110"/>
      <c r="G10" s="110"/>
      <c r="H10" s="110"/>
      <c r="I10" s="128">
        <v>45790</v>
      </c>
      <c r="J10" s="129"/>
      <c r="K10" s="105" t="s">
        <v>388</v>
      </c>
      <c r="L10" s="105" t="s">
        <v>862</v>
      </c>
      <c r="M10" s="105" t="s">
        <v>1106</v>
      </c>
      <c r="N10" s="130" t="s">
        <v>1959</v>
      </c>
      <c r="O10" s="128">
        <v>45972</v>
      </c>
      <c r="P10" s="110" t="s">
        <v>1960</v>
      </c>
      <c r="Q10" s="110" t="s">
        <v>899</v>
      </c>
      <c r="R10" s="110"/>
      <c r="S10" s="110" t="s">
        <v>874</v>
      </c>
      <c r="T10" s="110"/>
      <c r="U10" s="110">
        <v>13000</v>
      </c>
      <c r="V10" s="131" t="s">
        <v>1118</v>
      </c>
      <c r="W10" s="123">
        <v>128</v>
      </c>
      <c r="X10" s="110">
        <v>3840000</v>
      </c>
      <c r="Y10" s="110">
        <v>1664000</v>
      </c>
      <c r="Z10" s="110" t="s">
        <v>1950</v>
      </c>
      <c r="AB10" s="110"/>
      <c r="AC10" s="110"/>
      <c r="AD10" s="110" t="s">
        <v>1951</v>
      </c>
      <c r="AE10" s="110" t="s">
        <v>874</v>
      </c>
      <c r="AF10" s="110"/>
      <c r="AG10" s="110"/>
    </row>
    <row r="11" spans="1:33" ht="29">
      <c r="B11" s="105"/>
      <c r="C11" s="131" t="s">
        <v>975</v>
      </c>
      <c r="D11" s="117"/>
      <c r="E11" s="117"/>
      <c r="F11" s="105"/>
      <c r="G11" s="105"/>
      <c r="H11" s="105"/>
      <c r="I11" s="128">
        <v>45790</v>
      </c>
      <c r="J11" s="119"/>
      <c r="K11" s="105" t="s">
        <v>388</v>
      </c>
      <c r="L11" s="105" t="s">
        <v>862</v>
      </c>
      <c r="M11" s="105" t="s">
        <v>1106</v>
      </c>
      <c r="N11" s="130" t="s">
        <v>1959</v>
      </c>
      <c r="O11" s="128">
        <v>45972</v>
      </c>
      <c r="P11" s="110" t="s">
        <v>1960</v>
      </c>
      <c r="Q11" s="110" t="s">
        <v>899</v>
      </c>
      <c r="R11" s="105"/>
      <c r="S11" s="110" t="s">
        <v>874</v>
      </c>
      <c r="T11" s="110"/>
      <c r="U11" s="105">
        <v>40000</v>
      </c>
      <c r="V11" s="115" t="s">
        <v>1119</v>
      </c>
      <c r="W11" s="123">
        <v>158</v>
      </c>
      <c r="X11" s="105">
        <v>6320000</v>
      </c>
      <c r="Y11" s="105">
        <v>6320000</v>
      </c>
      <c r="Z11" s="105" t="s">
        <v>1950</v>
      </c>
      <c r="AB11" s="105"/>
      <c r="AC11" s="105"/>
      <c r="AD11" s="110" t="s">
        <v>1951</v>
      </c>
      <c r="AE11" s="110" t="s">
        <v>874</v>
      </c>
      <c r="AF11" s="105"/>
      <c r="AG11" s="105"/>
    </row>
    <row r="12" spans="1:33" ht="72.5">
      <c r="B12" s="105"/>
      <c r="C12" s="131" t="s">
        <v>975</v>
      </c>
      <c r="D12" s="117"/>
      <c r="E12" s="117"/>
      <c r="F12" s="110"/>
      <c r="G12" s="110"/>
      <c r="H12" s="110"/>
      <c r="I12" s="128">
        <v>45790</v>
      </c>
      <c r="J12" s="129"/>
      <c r="K12" s="105" t="s">
        <v>388</v>
      </c>
      <c r="L12" s="105" t="s">
        <v>862</v>
      </c>
      <c r="M12" s="105" t="s">
        <v>1106</v>
      </c>
      <c r="N12" s="130" t="s">
        <v>1959</v>
      </c>
      <c r="O12" s="128">
        <v>45972</v>
      </c>
      <c r="P12" s="110" t="s">
        <v>1960</v>
      </c>
      <c r="Q12" s="110" t="s">
        <v>899</v>
      </c>
      <c r="R12" s="110"/>
      <c r="S12" s="110" t="s">
        <v>874</v>
      </c>
      <c r="T12" s="110"/>
      <c r="U12" s="110">
        <v>250000</v>
      </c>
      <c r="V12" s="131" t="s">
        <v>1120</v>
      </c>
      <c r="W12" s="123">
        <v>158</v>
      </c>
      <c r="X12" s="110">
        <v>3160000</v>
      </c>
      <c r="Y12" s="110">
        <v>3950000</v>
      </c>
      <c r="Z12" s="131" t="s">
        <v>1950</v>
      </c>
      <c r="AB12" s="110"/>
      <c r="AC12" s="110"/>
      <c r="AD12" s="110" t="s">
        <v>1951</v>
      </c>
      <c r="AE12" s="110" t="s">
        <v>874</v>
      </c>
      <c r="AF12" s="110"/>
      <c r="AG12" s="110"/>
    </row>
    <row r="13" spans="1:33" ht="72.5">
      <c r="A13" t="s">
        <v>1121</v>
      </c>
      <c r="B13" s="105" t="s">
        <v>1963</v>
      </c>
      <c r="C13" s="116" t="s">
        <v>984</v>
      </c>
      <c r="D13" s="117" t="s">
        <v>1948</v>
      </c>
      <c r="E13" s="117" t="s">
        <v>1949</v>
      </c>
      <c r="F13" s="105" t="s">
        <v>388</v>
      </c>
      <c r="G13" s="105" t="s">
        <v>373</v>
      </c>
      <c r="H13" s="105" t="s">
        <v>388</v>
      </c>
      <c r="I13" s="128">
        <v>45719</v>
      </c>
      <c r="J13" s="119">
        <v>3375000</v>
      </c>
      <c r="K13" s="105" t="s">
        <v>388</v>
      </c>
      <c r="L13" s="105" t="s">
        <v>862</v>
      </c>
      <c r="M13" s="105" t="s">
        <v>1106</v>
      </c>
      <c r="N13" s="132" t="s">
        <v>1964</v>
      </c>
      <c r="O13" s="118" t="s">
        <v>1965</v>
      </c>
      <c r="P13" s="105" t="s">
        <v>1966</v>
      </c>
      <c r="Q13" s="105" t="s">
        <v>899</v>
      </c>
      <c r="R13" s="105"/>
      <c r="S13" s="110" t="s">
        <v>874</v>
      </c>
      <c r="T13" s="110"/>
      <c r="U13" s="105">
        <v>10000</v>
      </c>
      <c r="V13" s="115" t="s">
        <v>1123</v>
      </c>
      <c r="W13" s="123">
        <v>1050</v>
      </c>
      <c r="X13" s="105">
        <v>10500000</v>
      </c>
      <c r="Y13" s="105">
        <v>10500000</v>
      </c>
      <c r="Z13" s="115" t="s">
        <v>1950</v>
      </c>
      <c r="AB13" s="105"/>
      <c r="AC13" s="105"/>
      <c r="AD13" s="110" t="s">
        <v>874</v>
      </c>
      <c r="AE13" s="110" t="s">
        <v>874</v>
      </c>
      <c r="AF13" s="105"/>
      <c r="AG13" s="105"/>
    </row>
    <row r="14" spans="1:33" ht="43.5">
      <c r="B14" s="105"/>
      <c r="C14" s="115" t="s">
        <v>984</v>
      </c>
      <c r="D14" s="117" t="s">
        <v>1948</v>
      </c>
      <c r="E14" s="117"/>
      <c r="F14" s="105"/>
      <c r="G14" s="105"/>
      <c r="H14" s="105"/>
      <c r="I14" s="128">
        <v>45719</v>
      </c>
      <c r="J14" s="119"/>
      <c r="K14" s="105" t="s">
        <v>388</v>
      </c>
      <c r="L14" s="105" t="s">
        <v>862</v>
      </c>
      <c r="M14" s="105" t="s">
        <v>1106</v>
      </c>
      <c r="N14" s="132" t="s">
        <v>1967</v>
      </c>
      <c r="O14" s="118" t="s">
        <v>1965</v>
      </c>
      <c r="P14" s="105"/>
      <c r="Q14" s="105" t="s">
        <v>899</v>
      </c>
      <c r="R14" s="105"/>
      <c r="S14" s="110"/>
      <c r="T14" s="105"/>
      <c r="U14" s="105"/>
      <c r="V14" s="115" t="s">
        <v>1124</v>
      </c>
      <c r="W14" s="123"/>
      <c r="X14" s="105"/>
      <c r="Y14" s="105"/>
      <c r="Z14" s="115"/>
      <c r="AB14" s="105"/>
      <c r="AC14" s="105"/>
      <c r="AD14" s="110"/>
      <c r="AE14" s="110"/>
      <c r="AF14" s="105"/>
      <c r="AG14" s="105"/>
    </row>
    <row r="15" spans="1:33" ht="72.5">
      <c r="B15" s="105"/>
      <c r="C15" s="115" t="s">
        <v>984</v>
      </c>
      <c r="D15" s="117"/>
      <c r="E15" s="117"/>
      <c r="F15" s="110" t="s">
        <v>388</v>
      </c>
      <c r="G15" s="110" t="s">
        <v>373</v>
      </c>
      <c r="H15" s="110" t="s">
        <v>388</v>
      </c>
      <c r="I15" s="128">
        <v>45719</v>
      </c>
      <c r="J15" s="129">
        <v>10625000</v>
      </c>
      <c r="K15" s="105" t="s">
        <v>388</v>
      </c>
      <c r="L15" s="105" t="s">
        <v>862</v>
      </c>
      <c r="M15" s="105" t="s">
        <v>1106</v>
      </c>
      <c r="N15" s="130" t="s">
        <v>1968</v>
      </c>
      <c r="O15" s="118" t="s">
        <v>1965</v>
      </c>
      <c r="P15" s="105" t="s">
        <v>1966</v>
      </c>
      <c r="Q15" s="105" t="s">
        <v>899</v>
      </c>
      <c r="R15" s="110"/>
      <c r="S15" s="105" t="s">
        <v>874</v>
      </c>
      <c r="T15" s="105"/>
      <c r="U15" s="110"/>
      <c r="V15" s="131" t="s">
        <v>1125</v>
      </c>
      <c r="W15" s="123">
        <v>475</v>
      </c>
      <c r="X15" s="110">
        <v>4050000</v>
      </c>
      <c r="Y15" s="110">
        <v>4050000</v>
      </c>
      <c r="Z15" s="131" t="s">
        <v>1950</v>
      </c>
      <c r="AB15" s="110"/>
      <c r="AC15" s="110"/>
      <c r="AD15" s="105" t="s">
        <v>874</v>
      </c>
      <c r="AE15" s="110"/>
      <c r="AF15" s="110"/>
      <c r="AG15" s="110"/>
    </row>
    <row r="16" spans="1:33" ht="72.5">
      <c r="A16" t="s">
        <v>1126</v>
      </c>
      <c r="B16" s="105" t="s">
        <v>1963</v>
      </c>
      <c r="C16" s="116" t="s">
        <v>1127</v>
      </c>
      <c r="D16" s="117" t="s">
        <v>1948</v>
      </c>
      <c r="E16" s="117" t="s">
        <v>1949</v>
      </c>
      <c r="F16" s="105" t="s">
        <v>388</v>
      </c>
      <c r="G16" s="105" t="s">
        <v>373</v>
      </c>
      <c r="H16" s="105" t="s">
        <v>388</v>
      </c>
      <c r="I16" s="133" t="s">
        <v>1969</v>
      </c>
      <c r="J16" s="119">
        <v>23750000</v>
      </c>
      <c r="K16" s="105" t="s">
        <v>388</v>
      </c>
      <c r="L16" s="105" t="s">
        <v>862</v>
      </c>
      <c r="M16" s="105" t="s">
        <v>1106</v>
      </c>
      <c r="N16" s="120" t="s">
        <v>1128</v>
      </c>
      <c r="O16" s="128" t="s">
        <v>1970</v>
      </c>
      <c r="P16" s="110" t="s">
        <v>1971</v>
      </c>
      <c r="Q16" s="105" t="s">
        <v>899</v>
      </c>
      <c r="R16" s="105"/>
      <c r="S16" s="105"/>
      <c r="T16" s="105"/>
      <c r="U16" s="105">
        <v>10000</v>
      </c>
      <c r="V16" s="115" t="s">
        <v>1129</v>
      </c>
      <c r="W16" s="123">
        <v>475</v>
      </c>
      <c r="X16" s="105"/>
      <c r="Y16" s="105">
        <v>4750000</v>
      </c>
      <c r="Z16" s="115" t="s">
        <v>1950</v>
      </c>
      <c r="AB16" s="105"/>
      <c r="AC16" s="105"/>
      <c r="AD16" s="105"/>
      <c r="AE16" s="105"/>
      <c r="AF16" s="105"/>
      <c r="AG16" s="105"/>
    </row>
    <row r="17" spans="1:33" ht="43.5">
      <c r="B17" s="105"/>
      <c r="C17" s="115" t="s">
        <v>1127</v>
      </c>
      <c r="D17" s="117"/>
      <c r="E17" s="117"/>
      <c r="F17" s="105"/>
      <c r="G17" s="105"/>
      <c r="H17" s="105"/>
      <c r="I17" s="133" t="s">
        <v>1969</v>
      </c>
      <c r="J17" s="119"/>
      <c r="K17" s="105" t="s">
        <v>388</v>
      </c>
      <c r="L17" s="105" t="s">
        <v>862</v>
      </c>
      <c r="M17" s="105" t="s">
        <v>1106</v>
      </c>
      <c r="N17" s="120" t="s">
        <v>1128</v>
      </c>
      <c r="O17" s="128"/>
      <c r="P17" s="110"/>
      <c r="Q17" s="105" t="s">
        <v>899</v>
      </c>
      <c r="R17" s="105"/>
      <c r="S17" s="105"/>
      <c r="T17" s="105"/>
      <c r="U17" s="105"/>
      <c r="V17" s="115"/>
      <c r="W17" s="123"/>
      <c r="X17" s="105"/>
      <c r="Y17" s="105"/>
      <c r="Z17" s="115"/>
      <c r="AB17" s="105"/>
      <c r="AC17" s="105"/>
      <c r="AD17" s="105"/>
      <c r="AE17" s="105"/>
      <c r="AF17" s="105"/>
      <c r="AG17" s="105"/>
    </row>
    <row r="18" spans="1:33" ht="72.5">
      <c r="B18" s="105"/>
      <c r="C18" s="115" t="s">
        <v>1127</v>
      </c>
      <c r="D18" s="117"/>
      <c r="E18" s="117"/>
      <c r="F18" s="110"/>
      <c r="G18" s="110"/>
      <c r="H18" s="110"/>
      <c r="I18" s="133" t="s">
        <v>1969</v>
      </c>
      <c r="J18" s="129"/>
      <c r="K18" s="105" t="s">
        <v>388</v>
      </c>
      <c r="L18" s="105" t="s">
        <v>862</v>
      </c>
      <c r="M18" s="105" t="s">
        <v>1106</v>
      </c>
      <c r="N18" s="120" t="s">
        <v>1128</v>
      </c>
      <c r="O18" s="128" t="s">
        <v>874</v>
      </c>
      <c r="P18" s="110" t="s">
        <v>874</v>
      </c>
      <c r="Q18" s="105" t="s">
        <v>899</v>
      </c>
      <c r="R18" s="110"/>
      <c r="S18" s="110"/>
      <c r="T18" s="110"/>
      <c r="U18" s="110">
        <v>100000</v>
      </c>
      <c r="V18" s="131" t="s">
        <v>1130</v>
      </c>
      <c r="W18" s="123">
        <v>190</v>
      </c>
      <c r="X18" s="110">
        <v>19000000</v>
      </c>
      <c r="Y18" s="110">
        <v>19000000</v>
      </c>
      <c r="Z18" s="131" t="s">
        <v>1950</v>
      </c>
      <c r="AB18" s="110"/>
      <c r="AC18" s="110"/>
      <c r="AD18" s="110"/>
      <c r="AE18" s="110"/>
      <c r="AF18" s="110"/>
      <c r="AG18" s="110"/>
    </row>
    <row r="19" spans="1:33" ht="72.5">
      <c r="A19" t="s">
        <v>1135</v>
      </c>
      <c r="B19" s="105" t="s">
        <v>1963</v>
      </c>
      <c r="C19" s="134" t="s">
        <v>992</v>
      </c>
      <c r="D19" s="117" t="s">
        <v>1972</v>
      </c>
      <c r="E19" s="117" t="s">
        <v>1949</v>
      </c>
      <c r="F19" s="105" t="s">
        <v>388</v>
      </c>
      <c r="G19" s="105" t="s">
        <v>373</v>
      </c>
      <c r="H19" s="105" t="s">
        <v>388</v>
      </c>
      <c r="I19" s="118">
        <v>45736</v>
      </c>
      <c r="J19" s="119">
        <v>4870000</v>
      </c>
      <c r="K19" s="105" t="s">
        <v>388</v>
      </c>
      <c r="L19" s="105" t="s">
        <v>862</v>
      </c>
      <c r="M19" s="105" t="s">
        <v>1106</v>
      </c>
      <c r="N19" s="120">
        <v>2521</v>
      </c>
      <c r="O19" s="118" t="s">
        <v>1973</v>
      </c>
      <c r="P19" s="105" t="s">
        <v>1974</v>
      </c>
      <c r="Q19" s="105" t="s">
        <v>388</v>
      </c>
      <c r="R19" s="105" t="s">
        <v>864</v>
      </c>
      <c r="S19" s="105"/>
      <c r="T19" s="105"/>
      <c r="U19" s="105">
        <v>1000</v>
      </c>
      <c r="V19" s="115" t="s">
        <v>1137</v>
      </c>
      <c r="W19" s="123">
        <v>485</v>
      </c>
      <c r="X19" s="105">
        <v>48500</v>
      </c>
      <c r="Y19" s="105">
        <v>48500</v>
      </c>
      <c r="Z19" s="115" t="s">
        <v>1950</v>
      </c>
      <c r="AB19" s="105"/>
      <c r="AC19" s="105"/>
      <c r="AD19" s="105"/>
      <c r="AE19" s="105"/>
      <c r="AF19" s="105"/>
      <c r="AG19" s="105"/>
    </row>
    <row r="20" spans="1:33" ht="72.5">
      <c r="B20" s="105"/>
      <c r="C20" s="135" t="s">
        <v>992</v>
      </c>
      <c r="D20" s="117"/>
      <c r="E20" s="117"/>
      <c r="F20" s="110"/>
      <c r="G20" s="110"/>
      <c r="H20" s="110"/>
      <c r="I20" s="118">
        <v>45736</v>
      </c>
      <c r="J20" s="129"/>
      <c r="K20" s="105" t="s">
        <v>388</v>
      </c>
      <c r="L20" s="105" t="s">
        <v>862</v>
      </c>
      <c r="M20" s="105" t="s">
        <v>1106</v>
      </c>
      <c r="N20" s="136">
        <v>2521</v>
      </c>
      <c r="O20" s="128" t="s">
        <v>1975</v>
      </c>
      <c r="P20" s="110" t="s">
        <v>1976</v>
      </c>
      <c r="Q20" s="110" t="s">
        <v>388</v>
      </c>
      <c r="R20" s="105" t="s">
        <v>864</v>
      </c>
      <c r="S20" s="110"/>
      <c r="T20" s="110"/>
      <c r="U20" s="110">
        <v>9000</v>
      </c>
      <c r="V20" s="131" t="s">
        <v>1138</v>
      </c>
      <c r="W20" s="123">
        <v>485</v>
      </c>
      <c r="X20" s="110">
        <v>4365000</v>
      </c>
      <c r="Y20" s="110">
        <v>4365000</v>
      </c>
      <c r="Z20" s="131" t="s">
        <v>1950</v>
      </c>
      <c r="AB20" s="110"/>
      <c r="AC20" s="110"/>
      <c r="AD20" s="110"/>
      <c r="AE20" s="110"/>
      <c r="AF20" s="110"/>
      <c r="AG20" s="110"/>
    </row>
    <row r="21" spans="1:33" ht="72.5">
      <c r="A21" t="s">
        <v>1977</v>
      </c>
      <c r="B21" s="105" t="s">
        <v>1963</v>
      </c>
      <c r="C21" s="116" t="s">
        <v>1140</v>
      </c>
      <c r="D21" s="117" t="s">
        <v>1948</v>
      </c>
      <c r="E21" s="117" t="s">
        <v>1949</v>
      </c>
      <c r="F21" s="105" t="s">
        <v>388</v>
      </c>
      <c r="G21" s="105" t="s">
        <v>373</v>
      </c>
      <c r="H21" s="105" t="s">
        <v>388</v>
      </c>
      <c r="I21" s="118">
        <v>45721</v>
      </c>
      <c r="J21" s="119"/>
      <c r="K21" s="105" t="s">
        <v>388</v>
      </c>
      <c r="L21" s="105" t="s">
        <v>862</v>
      </c>
      <c r="M21" s="105" t="s">
        <v>1106</v>
      </c>
      <c r="N21" s="132" t="s">
        <v>1978</v>
      </c>
      <c r="O21" s="118" t="s">
        <v>1979</v>
      </c>
      <c r="P21" s="105" t="s">
        <v>1980</v>
      </c>
      <c r="Q21" s="105" t="s">
        <v>388</v>
      </c>
      <c r="R21" s="105" t="s">
        <v>864</v>
      </c>
      <c r="S21" s="105" t="s">
        <v>1171</v>
      </c>
      <c r="T21" s="105" t="s">
        <v>1981</v>
      </c>
      <c r="U21" s="105"/>
      <c r="V21" s="115" t="s">
        <v>1982</v>
      </c>
      <c r="W21" s="123"/>
      <c r="X21" s="105"/>
      <c r="Y21" s="105"/>
      <c r="Z21" s="115" t="s">
        <v>1950</v>
      </c>
      <c r="AB21" s="105"/>
      <c r="AC21" s="105"/>
      <c r="AD21" s="105"/>
      <c r="AE21" s="105"/>
      <c r="AF21" s="105"/>
      <c r="AG21" s="105"/>
    </row>
    <row r="22" spans="1:33" ht="72.5">
      <c r="B22" s="105"/>
      <c r="C22" s="115" t="s">
        <v>1140</v>
      </c>
      <c r="D22" s="117"/>
      <c r="E22" s="117"/>
      <c r="F22" s="110"/>
      <c r="G22" s="110"/>
      <c r="H22" s="110"/>
      <c r="I22" s="118">
        <v>45721</v>
      </c>
      <c r="J22" s="129">
        <v>56250000</v>
      </c>
      <c r="K22" s="105" t="s">
        <v>388</v>
      </c>
      <c r="L22" s="105" t="s">
        <v>862</v>
      </c>
      <c r="M22" s="105" t="s">
        <v>1106</v>
      </c>
      <c r="N22" s="130" t="s">
        <v>1978</v>
      </c>
      <c r="O22" s="118" t="s">
        <v>1979</v>
      </c>
      <c r="P22" s="117">
        <v>45930</v>
      </c>
      <c r="Q22" s="110" t="s">
        <v>388</v>
      </c>
      <c r="R22" s="105" t="s">
        <v>864</v>
      </c>
      <c r="S22" s="105" t="s">
        <v>1171</v>
      </c>
      <c r="T22" s="105" t="s">
        <v>1981</v>
      </c>
      <c r="U22" s="110">
        <v>150000</v>
      </c>
      <c r="V22" s="131" t="s">
        <v>1142</v>
      </c>
      <c r="W22" s="123">
        <v>375</v>
      </c>
      <c r="X22" s="110">
        <v>56250000</v>
      </c>
      <c r="Y22" s="110">
        <v>112500000</v>
      </c>
      <c r="Z22" s="131" t="s">
        <v>1950</v>
      </c>
      <c r="AB22" s="110"/>
      <c r="AC22" s="110"/>
      <c r="AD22" s="110"/>
      <c r="AE22" s="110"/>
      <c r="AF22" s="110"/>
      <c r="AG22" s="110"/>
    </row>
    <row r="23" spans="1:33" ht="72.5">
      <c r="B23" s="105"/>
      <c r="C23" s="115" t="s">
        <v>1140</v>
      </c>
      <c r="D23" s="117"/>
      <c r="E23" s="117"/>
      <c r="F23" s="105"/>
      <c r="G23" s="105"/>
      <c r="H23" s="105"/>
      <c r="I23" s="118">
        <v>45721</v>
      </c>
      <c r="J23" s="119">
        <v>20910000</v>
      </c>
      <c r="K23" s="105" t="s">
        <v>388</v>
      </c>
      <c r="L23" s="105" t="s">
        <v>862</v>
      </c>
      <c r="M23" s="105" t="s">
        <v>1106</v>
      </c>
      <c r="N23" s="130" t="s">
        <v>1983</v>
      </c>
      <c r="O23" s="118" t="s">
        <v>1979</v>
      </c>
      <c r="P23" s="117">
        <v>45930</v>
      </c>
      <c r="Q23" s="105" t="s">
        <v>388</v>
      </c>
      <c r="R23" s="105" t="s">
        <v>864</v>
      </c>
      <c r="S23" s="105" t="s">
        <v>1171</v>
      </c>
      <c r="T23" s="105" t="s">
        <v>1981</v>
      </c>
      <c r="U23" s="105">
        <v>30000</v>
      </c>
      <c r="V23" s="115" t="s">
        <v>1144</v>
      </c>
      <c r="W23" s="123">
        <v>697</v>
      </c>
      <c r="X23" s="105">
        <v>20910000</v>
      </c>
      <c r="Y23" s="110">
        <v>34850000</v>
      </c>
      <c r="Z23" s="115" t="s">
        <v>1950</v>
      </c>
      <c r="AB23" s="105"/>
      <c r="AC23" s="105"/>
      <c r="AD23" s="105"/>
      <c r="AE23" s="105"/>
      <c r="AF23" s="105"/>
      <c r="AG23" s="105"/>
    </row>
    <row r="24" spans="1:33" ht="72.5">
      <c r="B24" s="105"/>
      <c r="C24" s="115" t="s">
        <v>1140</v>
      </c>
      <c r="D24" s="117"/>
      <c r="E24" s="117"/>
      <c r="F24" s="110"/>
      <c r="G24" s="110"/>
      <c r="H24" s="110"/>
      <c r="I24" s="118">
        <v>45721</v>
      </c>
      <c r="J24" s="129">
        <v>16455000</v>
      </c>
      <c r="K24" s="105" t="s">
        <v>388</v>
      </c>
      <c r="L24" s="105" t="s">
        <v>862</v>
      </c>
      <c r="M24" s="105" t="s">
        <v>1106</v>
      </c>
      <c r="N24" s="130" t="s">
        <v>1983</v>
      </c>
      <c r="O24" s="118" t="s">
        <v>1979</v>
      </c>
      <c r="P24" s="117">
        <v>45930</v>
      </c>
      <c r="Q24" s="110" t="s">
        <v>388</v>
      </c>
      <c r="R24" s="105" t="s">
        <v>864</v>
      </c>
      <c r="S24" s="105" t="s">
        <v>1171</v>
      </c>
      <c r="T24" s="105" t="s">
        <v>1981</v>
      </c>
      <c r="U24" s="110">
        <v>15000</v>
      </c>
      <c r="V24" s="131" t="s">
        <v>1145</v>
      </c>
      <c r="W24" s="123">
        <v>1097</v>
      </c>
      <c r="X24" s="110">
        <v>16455000</v>
      </c>
      <c r="Y24" s="110">
        <v>32910000</v>
      </c>
      <c r="Z24" s="131" t="s">
        <v>1950</v>
      </c>
      <c r="AB24" s="110"/>
      <c r="AC24" s="110"/>
      <c r="AD24" s="110"/>
      <c r="AE24" s="110"/>
      <c r="AF24" s="110"/>
      <c r="AG24" s="110"/>
    </row>
    <row r="25" spans="1:33" ht="72.5">
      <c r="A25" t="s">
        <v>1153</v>
      </c>
      <c r="B25" s="105" t="s">
        <v>1963</v>
      </c>
      <c r="C25" s="127" t="s">
        <v>1154</v>
      </c>
      <c r="D25" s="117" t="s">
        <v>1948</v>
      </c>
      <c r="E25" s="117" t="s">
        <v>1949</v>
      </c>
      <c r="F25" s="110" t="s">
        <v>388</v>
      </c>
      <c r="G25" s="110" t="s">
        <v>373</v>
      </c>
      <c r="H25" s="110" t="s">
        <v>388</v>
      </c>
      <c r="I25" s="128">
        <v>45845</v>
      </c>
      <c r="J25" s="129">
        <v>50000000</v>
      </c>
      <c r="K25" s="105" t="s">
        <v>388</v>
      </c>
      <c r="L25" s="105" t="s">
        <v>862</v>
      </c>
      <c r="M25" s="105" t="s">
        <v>1106</v>
      </c>
      <c r="N25" s="136" t="s">
        <v>1155</v>
      </c>
      <c r="O25" s="128"/>
      <c r="P25" s="110" t="s">
        <v>1955</v>
      </c>
      <c r="Q25" s="110" t="s">
        <v>388</v>
      </c>
      <c r="R25" s="110" t="s">
        <v>864</v>
      </c>
      <c r="S25" s="110"/>
      <c r="T25" s="110"/>
      <c r="U25" s="110"/>
      <c r="V25" s="131" t="s">
        <v>1984</v>
      </c>
      <c r="W25" s="123"/>
      <c r="X25" s="110"/>
      <c r="Y25" s="110"/>
      <c r="Z25" s="131" t="s">
        <v>1950</v>
      </c>
      <c r="AB25" s="110"/>
      <c r="AC25" s="110"/>
      <c r="AD25" s="110"/>
      <c r="AE25" s="110"/>
      <c r="AF25" s="110"/>
      <c r="AG25" s="110"/>
    </row>
    <row r="26" spans="1:33" ht="72.5">
      <c r="B26" s="105"/>
      <c r="C26" s="131" t="s">
        <v>1154</v>
      </c>
      <c r="D26" s="117"/>
      <c r="E26" s="117"/>
      <c r="F26" s="105"/>
      <c r="G26" s="105"/>
      <c r="H26" s="105"/>
      <c r="I26" s="128">
        <v>45845</v>
      </c>
      <c r="J26" s="119"/>
      <c r="K26" s="105" t="s">
        <v>388</v>
      </c>
      <c r="L26" s="105" t="s">
        <v>862</v>
      </c>
      <c r="M26" s="105" t="s">
        <v>1106</v>
      </c>
      <c r="N26" s="136" t="s">
        <v>1155</v>
      </c>
      <c r="O26" s="118"/>
      <c r="P26" s="105" t="s">
        <v>1955</v>
      </c>
      <c r="Q26" s="110" t="s">
        <v>388</v>
      </c>
      <c r="R26" s="110" t="s">
        <v>864</v>
      </c>
      <c r="S26" s="105" t="s">
        <v>1171</v>
      </c>
      <c r="T26" s="105" t="s">
        <v>1172</v>
      </c>
      <c r="U26" s="105">
        <v>20000</v>
      </c>
      <c r="V26" s="115" t="s">
        <v>1156</v>
      </c>
      <c r="W26" s="123">
        <v>328</v>
      </c>
      <c r="X26" s="105">
        <v>6560000</v>
      </c>
      <c r="Y26" s="105">
        <v>6560000</v>
      </c>
      <c r="Z26" s="115" t="s">
        <v>1950</v>
      </c>
      <c r="AB26" s="105"/>
      <c r="AC26" s="105"/>
      <c r="AD26" s="105"/>
      <c r="AE26" s="105"/>
      <c r="AF26" s="105"/>
      <c r="AG26" s="105"/>
    </row>
    <row r="27" spans="1:33" ht="72.5">
      <c r="B27" s="105"/>
      <c r="C27" s="131" t="s">
        <v>1154</v>
      </c>
      <c r="D27" s="117"/>
      <c r="E27" s="117"/>
      <c r="F27" s="110"/>
      <c r="G27" s="110"/>
      <c r="H27" s="110"/>
      <c r="I27" s="128">
        <v>45845</v>
      </c>
      <c r="J27" s="129"/>
      <c r="K27" s="105" t="s">
        <v>388</v>
      </c>
      <c r="L27" s="105" t="s">
        <v>862</v>
      </c>
      <c r="M27" s="105" t="s">
        <v>1106</v>
      </c>
      <c r="N27" s="136" t="s">
        <v>1155</v>
      </c>
      <c r="O27" s="128"/>
      <c r="P27" s="105" t="s">
        <v>1955</v>
      </c>
      <c r="Q27" s="110" t="s">
        <v>388</v>
      </c>
      <c r="R27" s="110" t="s">
        <v>864</v>
      </c>
      <c r="S27" s="110"/>
      <c r="T27" s="110"/>
      <c r="U27" s="110">
        <v>5000</v>
      </c>
      <c r="V27" s="131" t="s">
        <v>1133</v>
      </c>
      <c r="W27" s="123">
        <v>598</v>
      </c>
      <c r="X27" s="110">
        <v>2990000</v>
      </c>
      <c r="Y27" s="110">
        <v>2990000</v>
      </c>
      <c r="Z27" s="131" t="s">
        <v>1950</v>
      </c>
      <c r="AB27" s="110"/>
      <c r="AC27" s="110"/>
      <c r="AD27" s="110"/>
      <c r="AE27" s="110"/>
      <c r="AF27" s="110"/>
      <c r="AG27" s="110"/>
    </row>
    <row r="28" spans="1:33" ht="72.5">
      <c r="B28" s="105"/>
      <c r="C28" s="131" t="s">
        <v>1154</v>
      </c>
      <c r="D28" s="117"/>
      <c r="E28" s="117"/>
      <c r="F28" s="105"/>
      <c r="G28" s="105"/>
      <c r="H28" s="105"/>
      <c r="I28" s="128">
        <v>45845</v>
      </c>
      <c r="J28" s="119"/>
      <c r="K28" s="105" t="s">
        <v>388</v>
      </c>
      <c r="L28" s="105" t="s">
        <v>862</v>
      </c>
      <c r="M28" s="105" t="s">
        <v>1106</v>
      </c>
      <c r="N28" s="136" t="s">
        <v>1155</v>
      </c>
      <c r="O28" s="118"/>
      <c r="P28" s="105" t="s">
        <v>1955</v>
      </c>
      <c r="Q28" s="110" t="s">
        <v>388</v>
      </c>
      <c r="R28" s="110" t="s">
        <v>864</v>
      </c>
      <c r="S28" s="105"/>
      <c r="T28" s="105"/>
      <c r="U28" s="105">
        <v>20000</v>
      </c>
      <c r="V28" s="115" t="s">
        <v>1157</v>
      </c>
      <c r="W28" s="123">
        <v>832</v>
      </c>
      <c r="X28" s="105">
        <v>16640000</v>
      </c>
      <c r="Y28" s="105">
        <v>16640000</v>
      </c>
      <c r="Z28" s="115" t="s">
        <v>1950</v>
      </c>
      <c r="AB28" s="105"/>
      <c r="AC28" s="105"/>
      <c r="AD28" s="105"/>
      <c r="AE28" s="105"/>
      <c r="AF28" s="105"/>
      <c r="AG28" s="105"/>
    </row>
    <row r="29" spans="1:33" ht="72.5">
      <c r="B29" s="105"/>
      <c r="C29" s="131" t="s">
        <v>1154</v>
      </c>
      <c r="D29" s="117"/>
      <c r="E29" s="117"/>
      <c r="F29" s="110"/>
      <c r="G29" s="110"/>
      <c r="H29" s="110"/>
      <c r="I29" s="128">
        <v>45845</v>
      </c>
      <c r="J29" s="129"/>
      <c r="K29" s="105" t="s">
        <v>388</v>
      </c>
      <c r="L29" s="105" t="s">
        <v>862</v>
      </c>
      <c r="M29" s="105" t="s">
        <v>1106</v>
      </c>
      <c r="N29" s="136" t="s">
        <v>1155</v>
      </c>
      <c r="O29" s="128"/>
      <c r="P29" s="105" t="s">
        <v>1955</v>
      </c>
      <c r="Q29" s="110" t="s">
        <v>388</v>
      </c>
      <c r="R29" s="110" t="s">
        <v>864</v>
      </c>
      <c r="S29" s="110"/>
      <c r="T29" s="110"/>
      <c r="U29" s="110">
        <v>80000</v>
      </c>
      <c r="V29" s="131" t="s">
        <v>1158</v>
      </c>
      <c r="W29" s="123">
        <v>95</v>
      </c>
      <c r="X29" s="110">
        <v>7125000</v>
      </c>
      <c r="Y29" s="110">
        <v>7125000</v>
      </c>
      <c r="Z29" s="131" t="s">
        <v>1950</v>
      </c>
      <c r="AB29" s="110"/>
      <c r="AC29" s="110"/>
      <c r="AD29" s="110"/>
      <c r="AE29" s="110"/>
      <c r="AF29" s="110"/>
      <c r="AG29" s="110"/>
    </row>
    <row r="30" spans="1:33" ht="72.5">
      <c r="B30" s="105"/>
      <c r="C30" s="131" t="s">
        <v>1154</v>
      </c>
      <c r="D30" s="117"/>
      <c r="E30" s="117"/>
      <c r="F30" s="105"/>
      <c r="G30" s="105"/>
      <c r="H30" s="105"/>
      <c r="I30" s="128">
        <v>45845</v>
      </c>
      <c r="J30" s="119"/>
      <c r="K30" s="105" t="s">
        <v>388</v>
      </c>
      <c r="L30" s="105" t="s">
        <v>862</v>
      </c>
      <c r="M30" s="105" t="s">
        <v>1106</v>
      </c>
      <c r="N30" s="136" t="s">
        <v>1155</v>
      </c>
      <c r="O30" s="118"/>
      <c r="P30" s="105" t="s">
        <v>1955</v>
      </c>
      <c r="Q30" s="110" t="s">
        <v>388</v>
      </c>
      <c r="R30" s="110" t="s">
        <v>864</v>
      </c>
      <c r="S30" s="105"/>
      <c r="T30" s="105"/>
      <c r="U30" s="105">
        <v>50000</v>
      </c>
      <c r="V30" s="115" t="s">
        <v>1117</v>
      </c>
      <c r="W30" s="123">
        <v>168</v>
      </c>
      <c r="X30" s="105">
        <v>4200000</v>
      </c>
      <c r="Y30" s="105">
        <v>8400000</v>
      </c>
      <c r="Z30" s="115" t="s">
        <v>1950</v>
      </c>
      <c r="AB30" s="105"/>
      <c r="AC30" s="105"/>
      <c r="AD30" s="105"/>
      <c r="AE30" s="105"/>
      <c r="AF30" s="105"/>
      <c r="AG30" s="105"/>
    </row>
    <row r="31" spans="1:33" ht="72.5">
      <c r="A31" t="s">
        <v>1159</v>
      </c>
      <c r="B31" s="105" t="s">
        <v>1963</v>
      </c>
      <c r="C31" s="127" t="s">
        <v>1160</v>
      </c>
      <c r="D31" s="117" t="s">
        <v>1948</v>
      </c>
      <c r="E31" s="117" t="s">
        <v>1949</v>
      </c>
      <c r="F31" s="110" t="s">
        <v>388</v>
      </c>
      <c r="G31" s="110" t="s">
        <v>373</v>
      </c>
      <c r="H31" s="110" t="s">
        <v>388</v>
      </c>
      <c r="I31" s="128">
        <v>45945</v>
      </c>
      <c r="J31" s="129">
        <v>70000000</v>
      </c>
      <c r="K31" s="105" t="s">
        <v>388</v>
      </c>
      <c r="L31" s="105" t="s">
        <v>862</v>
      </c>
      <c r="M31" s="105" t="s">
        <v>1106</v>
      </c>
      <c r="N31" s="136">
        <v>35689</v>
      </c>
      <c r="O31" s="128" t="s">
        <v>1985</v>
      </c>
      <c r="P31" s="110" t="s">
        <v>1986</v>
      </c>
      <c r="Q31" s="110" t="s">
        <v>1987</v>
      </c>
      <c r="R31" s="110" t="s">
        <v>864</v>
      </c>
      <c r="S31" s="110" t="s">
        <v>1171</v>
      </c>
      <c r="T31" s="110" t="s">
        <v>1981</v>
      </c>
      <c r="U31" s="110"/>
      <c r="V31" s="131" t="s">
        <v>1988</v>
      </c>
      <c r="W31" s="123"/>
      <c r="X31" s="110"/>
      <c r="Y31" s="110"/>
      <c r="Z31" s="131" t="s">
        <v>1950</v>
      </c>
      <c r="AB31" s="110"/>
      <c r="AC31" s="110"/>
      <c r="AD31" s="110"/>
      <c r="AE31" s="110"/>
      <c r="AF31" s="110"/>
      <c r="AG31" s="110"/>
    </row>
    <row r="32" spans="1:33" ht="72.5">
      <c r="B32" s="105"/>
      <c r="C32" s="131" t="s">
        <v>1160</v>
      </c>
      <c r="D32" s="117"/>
      <c r="E32" s="117"/>
      <c r="F32" s="105"/>
      <c r="G32" s="105"/>
      <c r="H32" s="105"/>
      <c r="I32" s="128">
        <v>45945</v>
      </c>
      <c r="J32" s="119"/>
      <c r="K32" s="105" t="s">
        <v>388</v>
      </c>
      <c r="L32" s="105" t="s">
        <v>862</v>
      </c>
      <c r="M32" s="105" t="s">
        <v>1106</v>
      </c>
      <c r="N32" s="120">
        <v>35689</v>
      </c>
      <c r="O32" s="118" t="s">
        <v>1985</v>
      </c>
      <c r="P32" s="110" t="s">
        <v>1986</v>
      </c>
      <c r="Q32" s="110" t="s">
        <v>1987</v>
      </c>
      <c r="R32" s="110" t="s">
        <v>864</v>
      </c>
      <c r="S32" s="105"/>
      <c r="T32" s="105"/>
      <c r="U32" s="105">
        <v>60000</v>
      </c>
      <c r="V32" s="115" t="s">
        <v>1162</v>
      </c>
      <c r="W32" s="123">
        <v>1000</v>
      </c>
      <c r="X32" s="105"/>
      <c r="Y32" s="105">
        <v>60000000</v>
      </c>
      <c r="Z32" s="115" t="s">
        <v>1950</v>
      </c>
      <c r="AB32" s="105"/>
      <c r="AC32" s="105"/>
      <c r="AD32" s="105"/>
      <c r="AE32" s="105"/>
      <c r="AF32" s="105"/>
      <c r="AG32" s="105"/>
    </row>
    <row r="33" spans="1:33" ht="72.5">
      <c r="B33" s="105"/>
      <c r="C33" s="131" t="s">
        <v>1160</v>
      </c>
      <c r="D33" s="117"/>
      <c r="E33" s="117"/>
      <c r="F33" s="110"/>
      <c r="G33" s="110"/>
      <c r="H33" s="110"/>
      <c r="I33" s="128">
        <v>45945</v>
      </c>
      <c r="J33" s="129"/>
      <c r="K33" s="105" t="s">
        <v>388</v>
      </c>
      <c r="L33" s="105" t="s">
        <v>862</v>
      </c>
      <c r="M33" s="105" t="s">
        <v>1106</v>
      </c>
      <c r="N33" s="136">
        <v>35689</v>
      </c>
      <c r="O33" s="128" t="s">
        <v>1985</v>
      </c>
      <c r="P33" s="110" t="s">
        <v>1986</v>
      </c>
      <c r="Q33" s="110" t="s">
        <v>1987</v>
      </c>
      <c r="R33" s="110" t="s">
        <v>864</v>
      </c>
      <c r="S33" s="110"/>
      <c r="T33" s="110"/>
      <c r="U33" s="110">
        <v>60000</v>
      </c>
      <c r="V33" s="131" t="s">
        <v>1163</v>
      </c>
      <c r="W33" s="123">
        <v>198</v>
      </c>
      <c r="X33" s="110"/>
      <c r="Y33" s="110"/>
      <c r="Z33" s="131" t="s">
        <v>1950</v>
      </c>
      <c r="AB33" s="110"/>
      <c r="AC33" s="110"/>
      <c r="AD33" s="110"/>
      <c r="AE33" s="110"/>
      <c r="AF33" s="110"/>
      <c r="AG33" s="110"/>
    </row>
    <row r="34" spans="1:33" ht="72.5">
      <c r="A34" t="s">
        <v>1164</v>
      </c>
      <c r="B34" s="105" t="s">
        <v>1963</v>
      </c>
      <c r="C34" s="116" t="s">
        <v>1165</v>
      </c>
      <c r="D34" s="117" t="s">
        <v>1948</v>
      </c>
      <c r="E34" s="117" t="s">
        <v>1949</v>
      </c>
      <c r="F34" s="105" t="s">
        <v>388</v>
      </c>
      <c r="G34" s="105" t="s">
        <v>373</v>
      </c>
      <c r="H34" s="105" t="s">
        <v>388</v>
      </c>
      <c r="I34" s="118">
        <v>45797</v>
      </c>
      <c r="J34" s="119">
        <v>6000000</v>
      </c>
      <c r="K34" s="105" t="s">
        <v>388</v>
      </c>
      <c r="L34" s="105" t="s">
        <v>862</v>
      </c>
      <c r="M34" s="105" t="s">
        <v>1106</v>
      </c>
      <c r="N34" s="120">
        <v>12026</v>
      </c>
      <c r="O34" s="118" t="s">
        <v>1989</v>
      </c>
      <c r="P34" s="105" t="s">
        <v>1986</v>
      </c>
      <c r="Q34" s="105" t="s">
        <v>388</v>
      </c>
      <c r="R34" s="110" t="s">
        <v>864</v>
      </c>
      <c r="S34" s="105"/>
      <c r="T34" s="105"/>
      <c r="U34" s="105"/>
      <c r="V34" s="115" t="s">
        <v>1990</v>
      </c>
      <c r="W34" s="123"/>
      <c r="X34" s="105"/>
      <c r="Y34" s="105"/>
      <c r="Z34" s="115" t="s">
        <v>1950</v>
      </c>
      <c r="AB34" s="105"/>
      <c r="AC34" s="105"/>
      <c r="AD34" s="105"/>
      <c r="AE34" s="105"/>
      <c r="AF34" s="105"/>
      <c r="AG34" s="105"/>
    </row>
    <row r="35" spans="1:33" ht="72.5">
      <c r="B35" s="105"/>
      <c r="C35" s="115" t="s">
        <v>1165</v>
      </c>
      <c r="D35" s="117"/>
      <c r="E35" s="117"/>
      <c r="F35" s="110"/>
      <c r="G35" s="110"/>
      <c r="H35" s="110"/>
      <c r="I35" s="118">
        <v>45797</v>
      </c>
      <c r="J35" s="129"/>
      <c r="K35" s="105" t="s">
        <v>388</v>
      </c>
      <c r="L35" s="105" t="s">
        <v>862</v>
      </c>
      <c r="M35" s="105" t="s">
        <v>1106</v>
      </c>
      <c r="N35" s="136">
        <v>12026</v>
      </c>
      <c r="O35" s="118" t="s">
        <v>1989</v>
      </c>
      <c r="P35" s="105" t="s">
        <v>1986</v>
      </c>
      <c r="Q35" s="105" t="s">
        <v>388</v>
      </c>
      <c r="R35" s="110" t="s">
        <v>864</v>
      </c>
      <c r="S35" s="110"/>
      <c r="T35" s="110"/>
      <c r="U35" s="110">
        <v>8000</v>
      </c>
      <c r="V35" s="131" t="s">
        <v>1132</v>
      </c>
      <c r="W35" s="123">
        <v>320</v>
      </c>
      <c r="X35" s="110">
        <v>2560000</v>
      </c>
      <c r="Y35" s="137"/>
      <c r="Z35" s="131" t="s">
        <v>1950</v>
      </c>
      <c r="AB35" s="110"/>
      <c r="AC35" s="110"/>
      <c r="AD35" s="110"/>
      <c r="AE35" s="110"/>
      <c r="AF35" s="110"/>
      <c r="AG35" s="110"/>
    </row>
    <row r="36" spans="1:33" ht="72.5">
      <c r="B36" s="105"/>
      <c r="C36" s="115" t="s">
        <v>1165</v>
      </c>
      <c r="D36" s="117"/>
      <c r="E36" s="117"/>
      <c r="F36" s="105"/>
      <c r="G36" s="105"/>
      <c r="H36" s="105"/>
      <c r="I36" s="118">
        <v>45797</v>
      </c>
      <c r="J36" s="119"/>
      <c r="K36" s="105" t="s">
        <v>388</v>
      </c>
      <c r="L36" s="105" t="s">
        <v>862</v>
      </c>
      <c r="M36" s="105" t="s">
        <v>1106</v>
      </c>
      <c r="N36" s="120">
        <v>12026</v>
      </c>
      <c r="O36" s="118" t="s">
        <v>1989</v>
      </c>
      <c r="P36" s="105" t="s">
        <v>1986</v>
      </c>
      <c r="Q36" s="105" t="s">
        <v>388</v>
      </c>
      <c r="R36" s="110" t="s">
        <v>864</v>
      </c>
      <c r="S36" s="105"/>
      <c r="T36" s="105"/>
      <c r="U36" s="105">
        <v>2000</v>
      </c>
      <c r="V36" s="115" t="s">
        <v>1167</v>
      </c>
      <c r="W36" s="123">
        <v>600</v>
      </c>
      <c r="X36" s="105">
        <v>1200000</v>
      </c>
      <c r="Y36" s="138"/>
      <c r="Z36" s="115" t="s">
        <v>1950</v>
      </c>
      <c r="AB36" s="105"/>
      <c r="AC36" s="105"/>
      <c r="AD36" s="105"/>
      <c r="AE36" s="105"/>
      <c r="AF36" s="105"/>
      <c r="AG36" s="105"/>
    </row>
    <row r="37" spans="1:33" ht="72.5">
      <c r="B37" s="105"/>
      <c r="C37" s="115" t="s">
        <v>1165</v>
      </c>
      <c r="D37" s="117"/>
      <c r="E37" s="117"/>
      <c r="F37" s="110"/>
      <c r="G37" s="110"/>
      <c r="H37" s="110"/>
      <c r="I37" s="118">
        <v>45797</v>
      </c>
      <c r="J37" s="129"/>
      <c r="K37" s="105" t="s">
        <v>388</v>
      </c>
      <c r="L37" s="105" t="s">
        <v>862</v>
      </c>
      <c r="M37" s="105" t="s">
        <v>1106</v>
      </c>
      <c r="N37" s="136">
        <v>12026</v>
      </c>
      <c r="O37" s="118" t="s">
        <v>1989</v>
      </c>
      <c r="P37" s="105" t="s">
        <v>1986</v>
      </c>
      <c r="Q37" s="105" t="s">
        <v>388</v>
      </c>
      <c r="R37" s="110" t="s">
        <v>864</v>
      </c>
      <c r="S37" s="110"/>
      <c r="T37" s="110"/>
      <c r="U37" s="110">
        <v>2000</v>
      </c>
      <c r="V37" s="131" t="s">
        <v>1168</v>
      </c>
      <c r="W37" s="123">
        <v>800</v>
      </c>
      <c r="X37" s="110">
        <v>160000</v>
      </c>
      <c r="Y37" s="137"/>
      <c r="Z37" s="131" t="s">
        <v>1950</v>
      </c>
      <c r="AB37" s="110"/>
      <c r="AC37" s="110"/>
      <c r="AD37" s="110"/>
      <c r="AE37" s="110"/>
      <c r="AF37" s="110"/>
      <c r="AG37" s="110"/>
    </row>
    <row r="38" spans="1:33" ht="72.5">
      <c r="A38" t="s">
        <v>1169</v>
      </c>
      <c r="B38" s="105" t="s">
        <v>1963</v>
      </c>
      <c r="C38" s="116" t="s">
        <v>1001</v>
      </c>
      <c r="D38" s="117" t="s">
        <v>1948</v>
      </c>
      <c r="E38" s="117" t="s">
        <v>1949</v>
      </c>
      <c r="F38" s="105" t="s">
        <v>388</v>
      </c>
      <c r="G38" s="105" t="s">
        <v>373</v>
      </c>
      <c r="H38" s="105" t="s">
        <v>388</v>
      </c>
      <c r="I38" s="118">
        <v>45858</v>
      </c>
      <c r="J38" s="119">
        <v>35000000</v>
      </c>
      <c r="K38" s="105" t="s">
        <v>388</v>
      </c>
      <c r="L38" s="105" t="s">
        <v>862</v>
      </c>
      <c r="M38" s="105" t="s">
        <v>1106</v>
      </c>
      <c r="N38" s="132" t="s">
        <v>1170</v>
      </c>
      <c r="O38" s="118" t="s">
        <v>1991</v>
      </c>
      <c r="P38" s="105" t="s">
        <v>1974</v>
      </c>
      <c r="Q38" s="105" t="s">
        <v>899</v>
      </c>
      <c r="R38" s="110"/>
      <c r="S38" s="105"/>
      <c r="T38" s="105"/>
      <c r="U38" s="105"/>
      <c r="V38" s="115" t="s">
        <v>1001</v>
      </c>
      <c r="W38" s="123"/>
      <c r="X38" s="105"/>
      <c r="Y38" s="105"/>
      <c r="Z38" s="115" t="s">
        <v>1950</v>
      </c>
      <c r="AB38" s="105"/>
      <c r="AC38" s="105"/>
      <c r="AD38" s="105"/>
      <c r="AE38" s="105"/>
      <c r="AF38" s="105"/>
      <c r="AG38" s="105"/>
    </row>
    <row r="39" spans="1:33" ht="72.5">
      <c r="B39" s="105"/>
      <c r="C39" s="115" t="s">
        <v>1001</v>
      </c>
      <c r="D39" s="117"/>
      <c r="E39" s="117"/>
      <c r="F39" s="110"/>
      <c r="G39" s="110"/>
      <c r="H39" s="110"/>
      <c r="I39" s="118">
        <v>45858</v>
      </c>
      <c r="J39" s="129">
        <v>5604000</v>
      </c>
      <c r="K39" s="105" t="s">
        <v>388</v>
      </c>
      <c r="L39" s="105" t="s">
        <v>862</v>
      </c>
      <c r="M39" s="105" t="s">
        <v>1106</v>
      </c>
      <c r="N39" s="130" t="s">
        <v>1170</v>
      </c>
      <c r="O39" s="118" t="s">
        <v>1991</v>
      </c>
      <c r="P39" s="105" t="s">
        <v>1974</v>
      </c>
      <c r="Q39" s="110" t="s">
        <v>899</v>
      </c>
      <c r="R39" s="110"/>
      <c r="S39" s="110"/>
      <c r="T39" s="110"/>
      <c r="U39" s="110">
        <v>10000</v>
      </c>
      <c r="V39" s="131" t="s">
        <v>1132</v>
      </c>
      <c r="W39" s="123">
        <v>477</v>
      </c>
      <c r="X39" s="110"/>
      <c r="Y39" s="110"/>
      <c r="Z39" s="131" t="s">
        <v>1950</v>
      </c>
      <c r="AB39" s="110"/>
      <c r="AC39" s="110"/>
      <c r="AD39" s="110"/>
      <c r="AE39" s="110"/>
      <c r="AF39" s="110"/>
      <c r="AG39" s="110"/>
    </row>
    <row r="40" spans="1:33" ht="72.5">
      <c r="B40" s="105"/>
      <c r="C40" s="115" t="s">
        <v>1001</v>
      </c>
      <c r="D40" s="117"/>
      <c r="E40" s="117"/>
      <c r="F40" s="105"/>
      <c r="G40" s="105"/>
      <c r="H40" s="105"/>
      <c r="I40" s="118">
        <v>45858</v>
      </c>
      <c r="J40" s="119"/>
      <c r="K40" s="105" t="s">
        <v>388</v>
      </c>
      <c r="L40" s="105" t="s">
        <v>862</v>
      </c>
      <c r="M40" s="105" t="s">
        <v>1106</v>
      </c>
      <c r="N40" s="132" t="s">
        <v>1170</v>
      </c>
      <c r="O40" s="118" t="s">
        <v>1991</v>
      </c>
      <c r="P40" s="105" t="s">
        <v>1974</v>
      </c>
      <c r="Q40" s="105" t="s">
        <v>899</v>
      </c>
      <c r="R40" s="105"/>
      <c r="S40" s="105"/>
      <c r="T40" s="105"/>
      <c r="U40" s="105">
        <v>15000</v>
      </c>
      <c r="V40" s="115" t="s">
        <v>1134</v>
      </c>
      <c r="W40" s="123">
        <v>977</v>
      </c>
      <c r="X40" s="105">
        <v>14655000</v>
      </c>
      <c r="Y40" s="105">
        <v>1465500</v>
      </c>
      <c r="Z40" s="115" t="s">
        <v>1950</v>
      </c>
      <c r="AB40" s="105"/>
      <c r="AC40" s="105"/>
      <c r="AD40" s="105"/>
      <c r="AE40" s="105"/>
      <c r="AF40" s="105"/>
      <c r="AG40" s="105"/>
    </row>
    <row r="41" spans="1:33" ht="72.5">
      <c r="A41" t="s">
        <v>1139</v>
      </c>
      <c r="B41" s="105" t="s">
        <v>1963</v>
      </c>
      <c r="C41" s="127" t="s">
        <v>1173</v>
      </c>
      <c r="D41" s="117" t="s">
        <v>1948</v>
      </c>
      <c r="E41" s="117" t="s">
        <v>1949</v>
      </c>
      <c r="F41" s="110" t="s">
        <v>388</v>
      </c>
      <c r="G41" s="110" t="s">
        <v>373</v>
      </c>
      <c r="H41" s="110" t="s">
        <v>388</v>
      </c>
      <c r="I41" s="128">
        <v>45853</v>
      </c>
      <c r="J41" s="129">
        <v>20000000</v>
      </c>
      <c r="K41" s="105" t="s">
        <v>388</v>
      </c>
      <c r="L41" s="105" t="s">
        <v>862</v>
      </c>
      <c r="M41" s="105" t="s">
        <v>1106</v>
      </c>
      <c r="N41" s="136">
        <v>1037</v>
      </c>
      <c r="O41" s="128">
        <v>46084</v>
      </c>
      <c r="P41" s="110" t="s">
        <v>1960</v>
      </c>
      <c r="Q41" s="110" t="s">
        <v>388</v>
      </c>
      <c r="R41" s="110" t="s">
        <v>864</v>
      </c>
      <c r="S41" s="110"/>
      <c r="T41" s="110"/>
      <c r="U41" s="110"/>
      <c r="V41" s="131" t="s">
        <v>1992</v>
      </c>
      <c r="W41" s="123"/>
      <c r="X41" s="110"/>
      <c r="Y41" s="110"/>
      <c r="Z41" s="131" t="s">
        <v>1950</v>
      </c>
      <c r="AB41" s="110"/>
      <c r="AC41" s="110"/>
      <c r="AD41" s="110"/>
      <c r="AE41" s="110"/>
      <c r="AF41" s="110"/>
      <c r="AG41" s="110"/>
    </row>
    <row r="42" spans="1:33">
      <c r="B42" s="105"/>
      <c r="C42" s="131" t="s">
        <v>1173</v>
      </c>
      <c r="D42" s="117"/>
      <c r="E42" s="117"/>
      <c r="F42" s="110"/>
      <c r="G42" s="110"/>
      <c r="H42" s="110"/>
      <c r="I42" s="128">
        <v>45853</v>
      </c>
      <c r="J42" s="129"/>
      <c r="K42" s="105" t="s">
        <v>388</v>
      </c>
      <c r="L42" s="105" t="s">
        <v>862</v>
      </c>
      <c r="M42" s="105" t="s">
        <v>1106</v>
      </c>
      <c r="N42" s="136">
        <v>1037</v>
      </c>
      <c r="O42" s="128">
        <v>46084</v>
      </c>
      <c r="P42" s="110" t="s">
        <v>1960</v>
      </c>
      <c r="Q42" s="110" t="s">
        <v>388</v>
      </c>
      <c r="R42" s="110" t="s">
        <v>864</v>
      </c>
      <c r="S42" s="110"/>
      <c r="T42" s="105"/>
      <c r="U42" s="110"/>
      <c r="V42" s="131"/>
      <c r="W42" s="123"/>
      <c r="X42" s="110"/>
      <c r="Y42" s="110"/>
      <c r="Z42" s="131"/>
      <c r="AB42" s="110"/>
      <c r="AC42" s="110"/>
      <c r="AD42" s="110"/>
      <c r="AE42" s="110"/>
      <c r="AF42" s="110"/>
      <c r="AG42" s="110"/>
    </row>
    <row r="43" spans="1:33">
      <c r="B43" s="105"/>
      <c r="C43" s="131" t="s">
        <v>1173</v>
      </c>
      <c r="D43" s="117"/>
      <c r="E43" s="117"/>
      <c r="F43" s="110"/>
      <c r="G43" s="110"/>
      <c r="H43" s="110"/>
      <c r="I43" s="128">
        <v>45853</v>
      </c>
      <c r="J43" s="129"/>
      <c r="K43" s="105" t="s">
        <v>388</v>
      </c>
      <c r="L43" s="105" t="s">
        <v>862</v>
      </c>
      <c r="M43" s="105" t="s">
        <v>1106</v>
      </c>
      <c r="N43" s="136">
        <v>1037</v>
      </c>
      <c r="O43" s="128">
        <v>46084</v>
      </c>
      <c r="P43" s="110" t="s">
        <v>1960</v>
      </c>
      <c r="Q43" s="110" t="s">
        <v>388</v>
      </c>
      <c r="R43" s="110" t="s">
        <v>864</v>
      </c>
      <c r="S43" s="110"/>
      <c r="T43" s="105"/>
      <c r="U43" s="105">
        <v>2500</v>
      </c>
      <c r="V43" s="115" t="s">
        <v>1174</v>
      </c>
      <c r="W43" s="123">
        <v>470</v>
      </c>
      <c r="X43" s="105">
        <v>11750000</v>
      </c>
      <c r="Y43" s="105"/>
      <c r="Z43" s="105" t="s">
        <v>1950</v>
      </c>
      <c r="AB43" s="110"/>
      <c r="AC43" s="110"/>
      <c r="AD43" s="110"/>
      <c r="AE43" s="110"/>
      <c r="AF43" s="110"/>
      <c r="AG43" s="110"/>
    </row>
    <row r="44" spans="1:33" ht="72.5">
      <c r="B44" s="105"/>
      <c r="C44" s="131" t="s">
        <v>1173</v>
      </c>
      <c r="D44" s="117"/>
      <c r="E44" s="117"/>
      <c r="F44" s="110"/>
      <c r="G44" s="110"/>
      <c r="H44" s="110"/>
      <c r="I44" s="128">
        <v>45853</v>
      </c>
      <c r="J44" s="129"/>
      <c r="K44" s="105" t="s">
        <v>388</v>
      </c>
      <c r="L44" s="105" t="s">
        <v>862</v>
      </c>
      <c r="M44" s="105" t="s">
        <v>1106</v>
      </c>
      <c r="N44" s="136">
        <v>1037</v>
      </c>
      <c r="O44" s="128">
        <v>46084</v>
      </c>
      <c r="P44" s="110" t="s">
        <v>1960</v>
      </c>
      <c r="Q44" s="110" t="s">
        <v>388</v>
      </c>
      <c r="R44" s="110" t="s">
        <v>864</v>
      </c>
      <c r="S44" s="110"/>
      <c r="T44" s="105"/>
      <c r="U44" s="110">
        <v>6000</v>
      </c>
      <c r="V44" s="131" t="s">
        <v>1175</v>
      </c>
      <c r="W44" s="123">
        <v>769</v>
      </c>
      <c r="X44" s="110">
        <v>4614000</v>
      </c>
      <c r="Y44" s="110"/>
      <c r="Z44" s="131" t="s">
        <v>1950</v>
      </c>
      <c r="AB44" s="110"/>
      <c r="AC44" s="110"/>
      <c r="AD44" s="110"/>
      <c r="AE44" s="110"/>
      <c r="AF44" s="110"/>
      <c r="AG44" s="110"/>
    </row>
    <row r="45" spans="1:33" ht="72.5">
      <c r="B45" s="105"/>
      <c r="C45" s="131" t="s">
        <v>1173</v>
      </c>
      <c r="D45" s="117"/>
      <c r="E45" s="117"/>
      <c r="F45" s="110"/>
      <c r="G45" s="110"/>
      <c r="H45" s="110"/>
      <c r="I45" s="128">
        <v>45853</v>
      </c>
      <c r="J45" s="129"/>
      <c r="K45" s="105" t="s">
        <v>388</v>
      </c>
      <c r="L45" s="105" t="s">
        <v>862</v>
      </c>
      <c r="M45" s="105" t="s">
        <v>1106</v>
      </c>
      <c r="N45" s="136">
        <v>1037</v>
      </c>
      <c r="O45" s="128">
        <v>46084</v>
      </c>
      <c r="P45" s="110" t="s">
        <v>1960</v>
      </c>
      <c r="Q45" s="110" t="s">
        <v>388</v>
      </c>
      <c r="R45" s="110" t="s">
        <v>864</v>
      </c>
      <c r="S45" s="110"/>
      <c r="T45" s="105"/>
      <c r="U45" s="105">
        <v>12000</v>
      </c>
      <c r="V45" s="115" t="s">
        <v>1176</v>
      </c>
      <c r="W45" s="123">
        <v>952</v>
      </c>
      <c r="X45" s="105">
        <v>11424000</v>
      </c>
      <c r="Y45" s="105"/>
      <c r="Z45" s="115" t="s">
        <v>1950</v>
      </c>
      <c r="AB45" s="110"/>
      <c r="AC45" s="110"/>
      <c r="AD45" s="110"/>
      <c r="AE45" s="110"/>
      <c r="AF45" s="110"/>
      <c r="AG45" s="110"/>
    </row>
    <row r="46" spans="1:33" ht="43.5">
      <c r="A46" t="s">
        <v>1177</v>
      </c>
      <c r="B46" s="105" t="s">
        <v>1963</v>
      </c>
      <c r="C46" s="116" t="s">
        <v>1178</v>
      </c>
      <c r="D46" s="117" t="s">
        <v>1948</v>
      </c>
      <c r="E46" s="117" t="s">
        <v>1949</v>
      </c>
      <c r="F46" s="105" t="s">
        <v>388</v>
      </c>
      <c r="G46" s="105"/>
      <c r="H46" s="105" t="s">
        <v>388</v>
      </c>
      <c r="I46" s="118">
        <v>45843</v>
      </c>
      <c r="J46" s="119"/>
      <c r="K46" s="105" t="s">
        <v>388</v>
      </c>
      <c r="L46" s="105" t="s">
        <v>862</v>
      </c>
      <c r="M46" s="105" t="s">
        <v>1106</v>
      </c>
      <c r="N46" s="120" t="s">
        <v>1179</v>
      </c>
      <c r="O46" s="118">
        <v>45912</v>
      </c>
      <c r="P46" s="105" t="s">
        <v>1960</v>
      </c>
      <c r="Q46" s="105"/>
      <c r="R46" s="105"/>
      <c r="S46" s="105"/>
      <c r="T46" s="105"/>
      <c r="W46" s="123"/>
      <c r="AB46" s="105"/>
      <c r="AC46" s="105"/>
      <c r="AD46" s="105"/>
      <c r="AE46" s="105"/>
      <c r="AF46" s="105"/>
      <c r="AG46" s="105"/>
    </row>
    <row r="47" spans="1:33" ht="43.5">
      <c r="B47" s="105"/>
      <c r="C47" s="115" t="s">
        <v>1178</v>
      </c>
      <c r="D47" s="117"/>
      <c r="E47" s="117"/>
      <c r="F47" s="110"/>
      <c r="G47" s="110"/>
      <c r="H47" s="110"/>
      <c r="I47" s="118">
        <v>45843</v>
      </c>
      <c r="J47" s="129"/>
      <c r="K47" s="105" t="s">
        <v>388</v>
      </c>
      <c r="L47" s="105" t="s">
        <v>862</v>
      </c>
      <c r="M47" s="105" t="s">
        <v>1106</v>
      </c>
      <c r="N47" s="120" t="s">
        <v>1179</v>
      </c>
      <c r="O47" s="128">
        <v>45912</v>
      </c>
      <c r="P47" s="105" t="s">
        <v>1960</v>
      </c>
      <c r="Q47" s="105"/>
      <c r="R47" s="110"/>
      <c r="S47" s="110"/>
      <c r="T47" s="110"/>
      <c r="W47" s="123"/>
      <c r="AB47" s="110"/>
      <c r="AC47" s="110"/>
      <c r="AD47" s="110"/>
      <c r="AE47" s="110"/>
      <c r="AF47" s="110"/>
      <c r="AG47" s="110"/>
    </row>
    <row r="48" spans="1:33" ht="43.5">
      <c r="B48" s="105"/>
      <c r="C48" s="115" t="s">
        <v>1178</v>
      </c>
      <c r="D48" s="117"/>
      <c r="E48" s="117"/>
      <c r="F48" s="105"/>
      <c r="G48" s="105"/>
      <c r="H48" s="105"/>
      <c r="I48" s="118">
        <v>45843</v>
      </c>
      <c r="J48" s="119"/>
      <c r="K48" s="105" t="s">
        <v>388</v>
      </c>
      <c r="L48" s="105" t="s">
        <v>862</v>
      </c>
      <c r="M48" s="105" t="s">
        <v>1106</v>
      </c>
      <c r="N48" s="120" t="s">
        <v>1179</v>
      </c>
      <c r="O48" s="118">
        <v>45912</v>
      </c>
      <c r="P48" s="105" t="s">
        <v>1960</v>
      </c>
      <c r="Q48" s="105"/>
      <c r="R48" s="105"/>
      <c r="S48" s="105"/>
      <c r="T48" s="105"/>
      <c r="W48" s="123"/>
      <c r="AB48" s="105"/>
      <c r="AC48" s="105"/>
      <c r="AD48" s="105"/>
      <c r="AE48" s="105"/>
      <c r="AF48" s="105"/>
      <c r="AG48" s="105"/>
    </row>
    <row r="49" spans="1:33" ht="43.5">
      <c r="B49" s="108"/>
      <c r="C49" s="115" t="s">
        <v>1178</v>
      </c>
      <c r="D49" s="117"/>
      <c r="E49" s="117"/>
      <c r="F49" s="111"/>
      <c r="G49" s="111"/>
      <c r="H49" s="111"/>
      <c r="I49" s="118">
        <v>45843</v>
      </c>
      <c r="J49" s="139"/>
      <c r="K49" s="105" t="s">
        <v>388</v>
      </c>
      <c r="L49" s="105" t="s">
        <v>862</v>
      </c>
      <c r="M49" s="105" t="s">
        <v>1106</v>
      </c>
      <c r="N49" s="120" t="s">
        <v>1179</v>
      </c>
      <c r="O49" s="140">
        <v>45912</v>
      </c>
      <c r="P49" s="105" t="s">
        <v>1960</v>
      </c>
      <c r="Q49" s="105"/>
      <c r="R49" s="111"/>
      <c r="S49" s="111"/>
      <c r="T49" s="105"/>
      <c r="W49" s="123"/>
      <c r="AB49" s="111"/>
      <c r="AC49" s="111"/>
      <c r="AD49" s="111"/>
      <c r="AE49" s="111"/>
      <c r="AF49" s="111"/>
      <c r="AG49" s="111"/>
    </row>
    <row r="50" spans="1:33" ht="29">
      <c r="A50" t="s">
        <v>1993</v>
      </c>
      <c r="B50" s="105" t="s">
        <v>1963</v>
      </c>
      <c r="C50" s="141" t="s">
        <v>1188</v>
      </c>
      <c r="D50" s="117" t="s">
        <v>1948</v>
      </c>
      <c r="E50" s="117" t="s">
        <v>1949</v>
      </c>
      <c r="I50" s="121">
        <v>45858</v>
      </c>
      <c r="J50" s="142"/>
      <c r="K50" s="105" t="s">
        <v>388</v>
      </c>
      <c r="L50" s="105" t="s">
        <v>862</v>
      </c>
      <c r="M50" s="105" t="s">
        <v>1106</v>
      </c>
      <c r="N50" s="143"/>
      <c r="O50" s="121"/>
      <c r="T50" s="114"/>
      <c r="W50" s="123"/>
    </row>
    <row r="51" spans="1:33" ht="29">
      <c r="B51" s="105"/>
      <c r="C51" s="123" t="s">
        <v>1188</v>
      </c>
      <c r="D51" s="117"/>
      <c r="E51" s="117"/>
      <c r="I51" s="121"/>
      <c r="J51" s="142"/>
      <c r="K51" s="105" t="s">
        <v>388</v>
      </c>
      <c r="L51" s="105" t="s">
        <v>862</v>
      </c>
      <c r="M51" s="105" t="s">
        <v>1106</v>
      </c>
      <c r="N51" s="143"/>
      <c r="O51" s="121"/>
      <c r="T51" s="105"/>
      <c r="W51" s="123"/>
    </row>
    <row r="52" spans="1:33" ht="29">
      <c r="A52" t="s">
        <v>1153</v>
      </c>
      <c r="B52" s="105" t="s">
        <v>1963</v>
      </c>
      <c r="C52" s="141" t="s">
        <v>1191</v>
      </c>
      <c r="D52" s="117" t="s">
        <v>1948</v>
      </c>
      <c r="E52" s="117" t="s">
        <v>1949</v>
      </c>
      <c r="I52" s="121"/>
      <c r="J52" s="142"/>
      <c r="K52" s="105" t="s">
        <v>388</v>
      </c>
      <c r="L52" s="105" t="s">
        <v>862</v>
      </c>
      <c r="M52" s="105" t="s">
        <v>1106</v>
      </c>
      <c r="N52" s="143"/>
      <c r="O52" s="121"/>
      <c r="T52" s="114"/>
      <c r="W52" s="123"/>
    </row>
    <row r="53" spans="1:33" ht="43.5">
      <c r="A53" t="s">
        <v>1194</v>
      </c>
      <c r="B53" s="105" t="s">
        <v>1963</v>
      </c>
      <c r="C53" s="141" t="s">
        <v>1195</v>
      </c>
      <c r="D53" s="117" t="s">
        <v>1948</v>
      </c>
      <c r="E53" s="117" t="s">
        <v>1949</v>
      </c>
      <c r="I53" s="121"/>
      <c r="J53" s="142"/>
      <c r="K53" s="105" t="s">
        <v>388</v>
      </c>
      <c r="L53" s="105" t="s">
        <v>862</v>
      </c>
      <c r="M53" s="105" t="s">
        <v>1106</v>
      </c>
      <c r="N53" s="143"/>
      <c r="O53" s="121"/>
      <c r="T53" s="114"/>
      <c r="W53" s="123"/>
    </row>
    <row r="54" spans="1:33" ht="43.5">
      <c r="B54" s="105"/>
      <c r="C54" s="123" t="s">
        <v>1195</v>
      </c>
      <c r="D54" s="117"/>
      <c r="E54" s="117"/>
      <c r="I54" s="121"/>
      <c r="J54" s="142"/>
      <c r="K54" s="105" t="s">
        <v>388</v>
      </c>
      <c r="L54" s="105" t="s">
        <v>862</v>
      </c>
      <c r="M54" s="105" t="s">
        <v>1106</v>
      </c>
      <c r="N54" s="143"/>
      <c r="O54" s="143"/>
      <c r="T54" s="105"/>
      <c r="W54" s="123"/>
    </row>
    <row r="55" spans="1:33" ht="26.5">
      <c r="A55" t="s">
        <v>1204</v>
      </c>
      <c r="B55" s="111" t="s">
        <v>1994</v>
      </c>
      <c r="C55" s="144" t="s">
        <v>1205</v>
      </c>
      <c r="D55" s="112" t="s">
        <v>1995</v>
      </c>
      <c r="E55" s="112" t="s">
        <v>1996</v>
      </c>
      <c r="F55" t="s">
        <v>388</v>
      </c>
      <c r="G55" t="s">
        <v>1206</v>
      </c>
      <c r="H55" t="s">
        <v>388</v>
      </c>
      <c r="I55" s="121"/>
      <c r="K55" s="111"/>
      <c r="L55" s="105"/>
      <c r="M55" s="105"/>
      <c r="N55" s="143"/>
      <c r="O55" s="143"/>
      <c r="T55" s="105"/>
      <c r="W55" s="123"/>
    </row>
    <row r="56" spans="1:33">
      <c r="B56" s="111"/>
      <c r="C56" s="144"/>
      <c r="D56" s="112"/>
      <c r="E56" s="112"/>
      <c r="I56" s="143"/>
      <c r="K56" s="111"/>
      <c r="L56" s="105"/>
      <c r="M56" s="105"/>
      <c r="N56" s="143"/>
      <c r="O56" s="143"/>
      <c r="T56" s="105"/>
      <c r="W56" s="123"/>
    </row>
    <row r="57" spans="1:33">
      <c r="B57" s="111"/>
      <c r="C57" s="144"/>
      <c r="I57" s="143"/>
      <c r="K57" s="111"/>
      <c r="L57" s="105"/>
      <c r="M57" s="105"/>
      <c r="N57" s="143"/>
      <c r="O57" s="143"/>
      <c r="T57" s="105"/>
      <c r="W57" s="123"/>
    </row>
    <row r="96" s="23" customFormat="1"/>
  </sheetData>
  <dataValidations count="1">
    <dataValidation type="list" allowBlank="1" showInputMessage="1" showErrorMessage="1" sqref="H50:H57 F50:F57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cols>
    <col min="1" max="1" width="26.7265625" bestFit="1" customWidth="1"/>
    <col min="2" max="2" width="46" bestFit="1" customWidth="1"/>
    <col min="3" max="3" width="26.81640625" bestFit="1" customWidth="1"/>
    <col min="4" max="5" width="15.26953125" bestFit="1" customWidth="1"/>
    <col min="6" max="6" width="17.1796875" bestFit="1" customWidth="1"/>
    <col min="8" max="8" width="15.26953125" bestFit="1" customWidth="1"/>
    <col min="10" max="10" width="16" bestFit="1" customWidth="1"/>
    <col min="12" max="12" width="15.54296875" bestFit="1" customWidth="1"/>
  </cols>
  <sheetData/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4.5"/>
  <cols>
    <col min="1" max="1" width="10.6328125" bestFit="1" customWidth="1"/>
    <col min="2" max="2" width="17.90625" bestFit="1" customWidth="1"/>
    <col min="3" max="5" width="15.26953125" bestFit="1" customWidth="1"/>
    <col min="6" max="8" width="15.36328125" bestFit="1" customWidth="1"/>
    <col min="9" max="9" width="15.26953125" bestFit="1" customWidth="1"/>
    <col min="10" max="10" width="13.6328125" bestFit="1" customWidth="1"/>
    <col min="11" max="11" width="15.54296875" bestFit="1" customWidth="1"/>
  </cols>
  <sheetData>
    <row r="1" spans="1:10">
      <c r="A1" s="88" t="s">
        <v>1395</v>
      </c>
      <c r="B1" s="88" t="s">
        <v>1363</v>
      </c>
      <c r="C1" s="88" t="s">
        <v>1364</v>
      </c>
      <c r="D1" s="88" t="s">
        <v>1365</v>
      </c>
      <c r="E1" s="88" t="s">
        <v>1366</v>
      </c>
      <c r="F1" s="88" t="s">
        <v>1367</v>
      </c>
      <c r="G1" s="88" t="s">
        <v>1368</v>
      </c>
      <c r="H1" s="88" t="s">
        <v>1369</v>
      </c>
      <c r="I1" s="88" t="s">
        <v>1370</v>
      </c>
      <c r="J1" s="88" t="s">
        <v>1216</v>
      </c>
    </row>
    <row r="2" spans="1:10">
      <c r="A2" s="23" t="s">
        <v>1371</v>
      </c>
      <c r="B2" s="23" t="s">
        <v>1372</v>
      </c>
      <c r="C2" s="23" t="s">
        <v>2404</v>
      </c>
      <c r="D2" s="23" t="s">
        <v>2405</v>
      </c>
      <c r="E2" s="23" t="s">
        <v>2406</v>
      </c>
      <c r="F2" s="23" t="s">
        <v>2407</v>
      </c>
      <c r="G2" s="23" t="s">
        <v>2408</v>
      </c>
      <c r="H2" s="23" t="s">
        <v>2409</v>
      </c>
      <c r="I2" s="23" t="s">
        <v>2410</v>
      </c>
      <c r="J2" s="23" t="s">
        <v>2411</v>
      </c>
    </row>
    <row r="3" spans="1:10">
      <c r="A3" s="23" t="s">
        <v>1371</v>
      </c>
      <c r="B3" s="23" t="s">
        <v>1373</v>
      </c>
      <c r="C3" s="23" t="s">
        <v>2412</v>
      </c>
      <c r="D3" s="23" t="s">
        <v>2413</v>
      </c>
      <c r="E3" s="23" t="s">
        <v>2414</v>
      </c>
      <c r="F3" s="23" t="s">
        <v>2415</v>
      </c>
      <c r="G3" s="23" t="s">
        <v>2416</v>
      </c>
      <c r="H3" s="23" t="s">
        <v>2417</v>
      </c>
      <c r="I3" s="23" t="s">
        <v>1683</v>
      </c>
      <c r="J3" s="23" t="s">
        <v>2418</v>
      </c>
    </row>
    <row r="4" spans="1:10">
      <c r="A4" s="23" t="s">
        <v>1371</v>
      </c>
      <c r="B4" s="23" t="s">
        <v>1374</v>
      </c>
      <c r="C4" s="23" t="s">
        <v>2419</v>
      </c>
      <c r="D4" s="23" t="s">
        <v>2420</v>
      </c>
      <c r="E4" s="23" t="s">
        <v>2421</v>
      </c>
      <c r="F4" s="23" t="s">
        <v>2422</v>
      </c>
      <c r="G4" s="23" t="s">
        <v>2423</v>
      </c>
      <c r="H4" s="23" t="s">
        <v>1684</v>
      </c>
      <c r="I4" s="23" t="s">
        <v>2424</v>
      </c>
      <c r="J4" s="23" t="s">
        <v>2425</v>
      </c>
    </row>
    <row r="5" spans="1:10">
      <c r="A5" s="23" t="s">
        <v>752</v>
      </c>
      <c r="B5" s="23" t="s">
        <v>1372</v>
      </c>
      <c r="C5" s="23"/>
      <c r="D5" s="23" t="s">
        <v>1685</v>
      </c>
      <c r="E5" s="23"/>
      <c r="F5" s="23" t="s">
        <v>2426</v>
      </c>
      <c r="G5" s="23" t="s">
        <v>2427</v>
      </c>
      <c r="H5" s="23" t="s">
        <v>2428</v>
      </c>
      <c r="I5" s="23"/>
      <c r="J5" s="23" t="s">
        <v>1686</v>
      </c>
    </row>
    <row r="6" spans="1:10">
      <c r="A6" s="23" t="s">
        <v>752</v>
      </c>
      <c r="B6" s="23" t="s">
        <v>1373</v>
      </c>
      <c r="C6" s="23" t="s">
        <v>2429</v>
      </c>
      <c r="D6" s="23" t="s">
        <v>2430</v>
      </c>
      <c r="E6" s="23"/>
      <c r="F6" s="23" t="s">
        <v>2431</v>
      </c>
      <c r="G6" s="23" t="s">
        <v>2432</v>
      </c>
      <c r="H6" s="23" t="s">
        <v>2433</v>
      </c>
      <c r="I6" s="23" t="s">
        <v>1687</v>
      </c>
      <c r="J6" s="23" t="s">
        <v>2434</v>
      </c>
    </row>
    <row r="7" spans="1:10">
      <c r="A7" s="23" t="s">
        <v>1216</v>
      </c>
      <c r="B7" s="23"/>
      <c r="C7" s="23" t="s">
        <v>2435</v>
      </c>
      <c r="D7" s="23" t="s">
        <v>2436</v>
      </c>
      <c r="E7" s="23" t="s">
        <v>2437</v>
      </c>
      <c r="F7" s="23" t="s">
        <v>2438</v>
      </c>
      <c r="G7" s="23" t="s">
        <v>2439</v>
      </c>
      <c r="H7" s="23" t="s">
        <v>2440</v>
      </c>
      <c r="I7" s="23" t="s">
        <v>2441</v>
      </c>
      <c r="J7" s="23" t="s">
        <v>2442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7"/>
  <sheetViews>
    <sheetView workbookViewId="0">
      <pane ySplit="1" topLeftCell="A102" activePane="bottomLeft" state="frozen"/>
      <selection activeCell="D110" sqref="D110"/>
      <selection pane="bottomLeft" activeCell="A107" sqref="A107"/>
    </sheetView>
  </sheetViews>
  <sheetFormatPr defaultRowHeight="14.5"/>
  <cols>
    <col min="1" max="1" width="12.1796875" bestFit="1" customWidth="1"/>
    <col min="2" max="2" width="10.7265625" customWidth="1"/>
    <col min="3" max="3" width="12.7265625" customWidth="1"/>
    <col min="4" max="4" width="12.453125" customWidth="1"/>
    <col min="5" max="5" width="14.81640625" customWidth="1"/>
    <col min="6" max="6" width="14.453125" bestFit="1" customWidth="1"/>
    <col min="7" max="7" width="9" bestFit="1" customWidth="1"/>
    <col min="8" max="8" width="8.453125" bestFit="1" customWidth="1"/>
    <col min="9" max="9" width="8.81640625" hidden="1" customWidth="1"/>
    <col min="10" max="10" width="18.26953125" hidden="1" customWidth="1"/>
    <col min="11" max="11" width="11" bestFit="1" customWidth="1"/>
    <col min="12" max="12" width="43.26953125" bestFit="1" customWidth="1"/>
    <col min="14" max="14" width="7" bestFit="1" customWidth="1"/>
    <col min="15" max="15" width="11" bestFit="1" customWidth="1"/>
    <col min="16" max="16" width="21.7265625" customWidth="1"/>
    <col min="17" max="17" width="9.1796875" customWidth="1"/>
    <col min="18" max="18" width="11" hidden="1" customWidth="1"/>
    <col min="19" max="19" width="12.54296875" hidden="1" customWidth="1"/>
    <col min="20" max="20" width="8.1796875" hidden="1" customWidth="1"/>
    <col min="21" max="21" width="14.54296875" hidden="1" customWidth="1"/>
    <col min="22" max="22" width="8.1796875" hidden="1" customWidth="1"/>
    <col min="23" max="23" width="11.26953125" hidden="1" customWidth="1"/>
    <col min="24" max="24" width="8.81640625" hidden="1" customWidth="1"/>
    <col min="25" max="25" width="5.54296875" hidden="1" customWidth="1"/>
    <col min="26" max="26" width="13.26953125" hidden="1" customWidth="1"/>
    <col min="27" max="27" width="20" hidden="1" customWidth="1"/>
    <col min="28" max="28" width="7.26953125" hidden="1" customWidth="1"/>
    <col min="29" max="29" width="9" hidden="1" customWidth="1"/>
    <col min="30" max="30" width="5.81640625" hidden="1" customWidth="1"/>
    <col min="31" max="31" width="12" hidden="1" customWidth="1"/>
    <col min="32" max="32" width="8.1796875" hidden="1" customWidth="1"/>
    <col min="33" max="33" width="6.1796875" hidden="1" customWidth="1"/>
    <col min="34" max="34" width="8.54296875" hidden="1" customWidth="1"/>
    <col min="35" max="35" width="11.7265625" hidden="1" customWidth="1"/>
    <col min="36" max="36" width="6.1796875" hidden="1" customWidth="1"/>
    <col min="37" max="37" width="10.26953125" hidden="1" customWidth="1"/>
    <col min="38" max="38" width="15.7265625" hidden="1" customWidth="1"/>
    <col min="39" max="40" width="14.453125" hidden="1" customWidth="1"/>
    <col min="41" max="41" width="14" hidden="1" customWidth="1"/>
    <col min="42" max="42" width="5.1796875" hidden="1" customWidth="1"/>
    <col min="43" max="43" width="21" hidden="1" customWidth="1"/>
    <col min="44" max="44" width="19.1796875" hidden="1" customWidth="1"/>
    <col min="45" max="45" width="8.81640625" hidden="1" customWidth="1"/>
    <col min="46" max="46" width="11.1796875" hidden="1" customWidth="1"/>
    <col min="47" max="47" width="8.81640625" hidden="1" customWidth="1"/>
    <col min="48" max="48" width="6.1796875" hidden="1" customWidth="1"/>
    <col min="49" max="49" width="9" hidden="1" customWidth="1"/>
    <col min="50" max="50" width="5.81640625" hidden="1" customWidth="1"/>
    <col min="51" max="51" width="9.54296875" hidden="1" customWidth="1"/>
    <col min="52" max="52" width="8.81640625" hidden="1" customWidth="1"/>
    <col min="53" max="53" width="16.1796875" hidden="1" customWidth="1"/>
    <col min="54" max="54" width="10.81640625" hidden="1" customWidth="1"/>
    <col min="55" max="55" width="5.81640625" hidden="1" customWidth="1"/>
    <col min="56" max="56" width="8.7265625" hidden="1" customWidth="1"/>
    <col min="57" max="57" width="9.1796875" hidden="1" customWidth="1"/>
    <col min="58" max="58" width="8.7265625" hidden="1" customWidth="1"/>
    <col min="59" max="59" width="7.7265625" hidden="1" customWidth="1"/>
    <col min="60" max="60" width="13.1796875" hidden="1" customWidth="1"/>
    <col min="61" max="61" width="8.7265625" hidden="1" customWidth="1"/>
    <col min="62" max="62" width="8.81640625" hidden="1" customWidth="1"/>
    <col min="63" max="63" width="11.54296875" hidden="1" customWidth="1"/>
    <col min="64" max="64" width="14.1796875" hidden="1" customWidth="1"/>
    <col min="65" max="65" width="8.54296875" hidden="1" customWidth="1"/>
    <col min="66" max="66" width="9.1796875" hidden="1" customWidth="1"/>
    <col min="67" max="67" width="8.1796875" hidden="1" customWidth="1"/>
    <col min="68" max="68" width="23.26953125" hidden="1" customWidth="1"/>
    <col min="69" max="69" width="25.1796875" hidden="1" customWidth="1"/>
    <col min="70" max="70" width="8" hidden="1" customWidth="1"/>
    <col min="71" max="71" width="8.54296875" hidden="1" customWidth="1"/>
    <col min="72" max="72" width="16.7265625" bestFit="1" customWidth="1"/>
    <col min="73" max="73" width="15.81640625" bestFit="1" customWidth="1"/>
    <col min="74" max="74" width="23" bestFit="1" customWidth="1"/>
    <col min="75" max="75" width="10.1796875" bestFit="1" customWidth="1"/>
    <col min="76" max="76" width="16.7265625" bestFit="1" customWidth="1"/>
    <col min="77" max="77" width="13.26953125" bestFit="1" customWidth="1"/>
  </cols>
  <sheetData>
    <row r="1" spans="1:77" s="7" customFormat="1" ht="7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1" t="s">
        <v>5</v>
      </c>
      <c r="G1" s="1" t="s">
        <v>6</v>
      </c>
      <c r="H1" s="1" t="s">
        <v>6</v>
      </c>
      <c r="I1" s="2" t="s">
        <v>7</v>
      </c>
      <c r="J1" s="1" t="s">
        <v>8</v>
      </c>
      <c r="K1" s="1" t="s">
        <v>9</v>
      </c>
      <c r="L1" s="71" t="s">
        <v>11</v>
      </c>
      <c r="M1" s="71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2" t="s">
        <v>51</v>
      </c>
      <c r="BA1" s="1" t="s">
        <v>52</v>
      </c>
      <c r="BB1" s="1" t="s">
        <v>53</v>
      </c>
      <c r="BC1" s="2" t="s">
        <v>49</v>
      </c>
      <c r="BD1" s="2" t="s">
        <v>54</v>
      </c>
      <c r="BE1" s="2" t="s">
        <v>55</v>
      </c>
      <c r="BF1" s="1" t="s">
        <v>56</v>
      </c>
      <c r="BG1" s="1" t="s">
        <v>57</v>
      </c>
      <c r="BH1" s="1" t="s">
        <v>58</v>
      </c>
      <c r="BI1" s="2" t="s">
        <v>59</v>
      </c>
      <c r="BJ1" s="2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2" t="s">
        <v>65</v>
      </c>
      <c r="BP1" s="1" t="s">
        <v>66</v>
      </c>
      <c r="BQ1" s="1" t="s">
        <v>67</v>
      </c>
      <c r="BR1" s="2" t="s">
        <v>68</v>
      </c>
      <c r="BS1" s="2" t="s">
        <v>69</v>
      </c>
      <c r="BT1" s="71" t="s">
        <v>70</v>
      </c>
      <c r="BU1" s="71" t="s">
        <v>71</v>
      </c>
      <c r="BV1" s="71" t="s">
        <v>72</v>
      </c>
      <c r="BW1" s="71" t="s">
        <v>361</v>
      </c>
      <c r="BX1" s="71" t="s">
        <v>362</v>
      </c>
      <c r="BY1" s="72"/>
    </row>
    <row r="2" spans="1:77" s="7" customFormat="1">
      <c r="A2" s="14">
        <v>45930</v>
      </c>
      <c r="B2" s="14">
        <v>45930</v>
      </c>
      <c r="C2" s="15">
        <v>0.64668981481481003</v>
      </c>
      <c r="D2" s="16" t="s">
        <v>363</v>
      </c>
      <c r="E2" s="14">
        <v>45930</v>
      </c>
      <c r="F2" s="16" t="s">
        <v>364</v>
      </c>
      <c r="G2" s="16" t="s">
        <v>365</v>
      </c>
      <c r="H2" s="16" t="str">
        <f>VLOOKUP(G2,[1]Sheet3!A:B,2,0)</f>
        <v>ADMD</v>
      </c>
      <c r="I2" s="16" t="s">
        <v>76</v>
      </c>
      <c r="J2" s="16" t="s">
        <v>366</v>
      </c>
      <c r="K2" s="16" t="s">
        <v>367</v>
      </c>
      <c r="L2" s="16" t="s">
        <v>368</v>
      </c>
      <c r="M2" s="17">
        <v>155000</v>
      </c>
      <c r="N2" s="16" t="s">
        <v>79</v>
      </c>
      <c r="O2" s="16" t="s">
        <v>369</v>
      </c>
      <c r="P2" s="16" t="s">
        <v>85</v>
      </c>
      <c r="Q2" s="17">
        <v>155000</v>
      </c>
      <c r="R2" s="16" t="s">
        <v>85</v>
      </c>
      <c r="S2" s="16" t="s">
        <v>83</v>
      </c>
      <c r="T2" s="16" t="s">
        <v>370</v>
      </c>
      <c r="U2" s="39">
        <v>5671717.1200000001</v>
      </c>
      <c r="V2" s="16" t="s">
        <v>85</v>
      </c>
      <c r="W2" s="16" t="s">
        <v>85</v>
      </c>
      <c r="X2" s="16" t="s">
        <v>86</v>
      </c>
      <c r="Y2" s="16" t="s">
        <v>371</v>
      </c>
      <c r="Z2" s="16" t="s">
        <v>372</v>
      </c>
      <c r="AA2" s="16" t="s">
        <v>89</v>
      </c>
      <c r="AB2" s="16" t="s">
        <v>85</v>
      </c>
      <c r="AC2" s="16" t="s">
        <v>90</v>
      </c>
      <c r="AD2" s="16" t="s">
        <v>85</v>
      </c>
      <c r="AE2" s="16" t="s">
        <v>85</v>
      </c>
      <c r="AF2" s="16" t="s">
        <v>91</v>
      </c>
      <c r="AG2" s="16" t="s">
        <v>85</v>
      </c>
      <c r="AH2" s="16" t="s">
        <v>91</v>
      </c>
      <c r="AI2" s="17">
        <v>155000</v>
      </c>
      <c r="AJ2" s="16" t="s">
        <v>79</v>
      </c>
      <c r="AK2" s="16" t="s">
        <v>79</v>
      </c>
      <c r="AL2" s="17">
        <v>155000</v>
      </c>
      <c r="AM2" s="16" t="s">
        <v>371</v>
      </c>
      <c r="AN2" s="16" t="s">
        <v>85</v>
      </c>
      <c r="AO2" s="16" t="s">
        <v>85</v>
      </c>
      <c r="AP2" s="16" t="s">
        <v>132</v>
      </c>
      <c r="AQ2" s="16" t="s">
        <v>85</v>
      </c>
      <c r="AR2" s="16" t="s">
        <v>85</v>
      </c>
      <c r="AS2" s="39">
        <v>0</v>
      </c>
      <c r="AT2" s="39">
        <v>0</v>
      </c>
      <c r="AU2" s="16" t="s">
        <v>91</v>
      </c>
      <c r="AV2" s="16" t="s">
        <v>85</v>
      </c>
      <c r="AW2" s="16" t="s">
        <v>91</v>
      </c>
      <c r="AX2" s="16" t="s">
        <v>91</v>
      </c>
      <c r="AY2" s="16" t="s">
        <v>85</v>
      </c>
      <c r="AZ2" s="16" t="s">
        <v>93</v>
      </c>
      <c r="BA2" s="16" t="s">
        <v>85</v>
      </c>
      <c r="BB2" s="16" t="s">
        <v>85</v>
      </c>
      <c r="BC2" s="16" t="s">
        <v>91</v>
      </c>
      <c r="BD2" s="16" t="s">
        <v>79</v>
      </c>
      <c r="BE2" s="16" t="s">
        <v>94</v>
      </c>
      <c r="BF2" s="16" t="s">
        <v>85</v>
      </c>
      <c r="BG2" s="16" t="s">
        <v>85</v>
      </c>
      <c r="BH2" s="16" t="s">
        <v>85</v>
      </c>
      <c r="BI2" s="16" t="s">
        <v>91</v>
      </c>
      <c r="BJ2" s="16" t="s">
        <v>91</v>
      </c>
      <c r="BK2" s="16" t="s">
        <v>85</v>
      </c>
      <c r="BL2" s="16" t="s">
        <v>85</v>
      </c>
      <c r="BM2" s="16" t="s">
        <v>95</v>
      </c>
      <c r="BN2" s="16" t="s">
        <v>96</v>
      </c>
      <c r="BO2" s="39">
        <v>0</v>
      </c>
      <c r="BP2" s="16" t="s">
        <v>85</v>
      </c>
      <c r="BQ2" s="16" t="s">
        <v>85</v>
      </c>
      <c r="BR2" s="16" t="s">
        <v>91</v>
      </c>
      <c r="BS2" s="16" t="s">
        <v>85</v>
      </c>
      <c r="BT2" s="16" t="s">
        <v>388</v>
      </c>
      <c r="BU2" s="16"/>
      <c r="BV2" s="16" t="s">
        <v>389</v>
      </c>
      <c r="BW2" s="16" t="s">
        <v>1219</v>
      </c>
      <c r="BX2" s="16" t="s">
        <v>1323</v>
      </c>
      <c r="BY2" s="7" t="s">
        <v>391</v>
      </c>
    </row>
    <row r="3" spans="1:77" s="7" customFormat="1">
      <c r="A3" s="14">
        <v>45930</v>
      </c>
      <c r="B3" s="14">
        <v>45930</v>
      </c>
      <c r="C3" s="15">
        <v>0.64668981481481003</v>
      </c>
      <c r="D3" s="16" t="s">
        <v>363</v>
      </c>
      <c r="E3" s="14">
        <v>45930</v>
      </c>
      <c r="F3" s="16" t="s">
        <v>364</v>
      </c>
      <c r="G3" s="16" t="s">
        <v>365</v>
      </c>
      <c r="H3" s="16" t="str">
        <f>VLOOKUP(G3,[1]Sheet3!A:B,2,0)</f>
        <v>ADMD</v>
      </c>
      <c r="I3" s="16" t="s">
        <v>76</v>
      </c>
      <c r="J3" s="16" t="s">
        <v>366</v>
      </c>
      <c r="K3" s="16" t="s">
        <v>367</v>
      </c>
      <c r="L3" s="16" t="s">
        <v>368</v>
      </c>
      <c r="M3" s="17">
        <v>155000</v>
      </c>
      <c r="N3" s="16" t="s">
        <v>79</v>
      </c>
      <c r="O3" s="16" t="s">
        <v>374</v>
      </c>
      <c r="P3" s="16" t="s">
        <v>85</v>
      </c>
      <c r="Q3" s="17">
        <v>155000</v>
      </c>
      <c r="R3" s="16" t="s">
        <v>85</v>
      </c>
      <c r="S3" s="16" t="s">
        <v>83</v>
      </c>
      <c r="T3" s="16" t="s">
        <v>370</v>
      </c>
      <c r="U3" s="39">
        <v>5671717.1200000001</v>
      </c>
      <c r="V3" s="16" t="s">
        <v>85</v>
      </c>
      <c r="W3" s="16" t="s">
        <v>85</v>
      </c>
      <c r="X3" s="16" t="s">
        <v>86</v>
      </c>
      <c r="Y3" s="16" t="s">
        <v>371</v>
      </c>
      <c r="Z3" s="16" t="s">
        <v>372</v>
      </c>
      <c r="AA3" s="16" t="s">
        <v>89</v>
      </c>
      <c r="AB3" s="16" t="s">
        <v>85</v>
      </c>
      <c r="AC3" s="16" t="s">
        <v>98</v>
      </c>
      <c r="AD3" s="16" t="s">
        <v>85</v>
      </c>
      <c r="AE3" s="16" t="s">
        <v>85</v>
      </c>
      <c r="AF3" s="16" t="s">
        <v>91</v>
      </c>
      <c r="AG3" s="16" t="s">
        <v>85</v>
      </c>
      <c r="AH3" s="16" t="s">
        <v>91</v>
      </c>
      <c r="AI3" s="17">
        <v>155000</v>
      </c>
      <c r="AJ3" s="16" t="s">
        <v>79</v>
      </c>
      <c r="AK3" s="16" t="s">
        <v>79</v>
      </c>
      <c r="AL3" s="17">
        <v>155000</v>
      </c>
      <c r="AM3" s="16" t="s">
        <v>371</v>
      </c>
      <c r="AN3" s="16" t="s">
        <v>85</v>
      </c>
      <c r="AO3" s="16" t="s">
        <v>85</v>
      </c>
      <c r="AP3" s="16" t="s">
        <v>132</v>
      </c>
      <c r="AQ3" s="16" t="s">
        <v>85</v>
      </c>
      <c r="AR3" s="16" t="s">
        <v>85</v>
      </c>
      <c r="AS3" s="39">
        <v>0</v>
      </c>
      <c r="AT3" s="39">
        <v>0</v>
      </c>
      <c r="AU3" s="16" t="s">
        <v>91</v>
      </c>
      <c r="AV3" s="16" t="s">
        <v>85</v>
      </c>
      <c r="AW3" s="16" t="s">
        <v>91</v>
      </c>
      <c r="AX3" s="16" t="s">
        <v>91</v>
      </c>
      <c r="AY3" s="16" t="s">
        <v>85</v>
      </c>
      <c r="AZ3" s="16" t="s">
        <v>93</v>
      </c>
      <c r="BA3" s="16" t="s">
        <v>85</v>
      </c>
      <c r="BB3" s="16" t="s">
        <v>85</v>
      </c>
      <c r="BC3" s="16" t="s">
        <v>91</v>
      </c>
      <c r="BD3" s="16" t="s">
        <v>79</v>
      </c>
      <c r="BE3" s="16" t="s">
        <v>94</v>
      </c>
      <c r="BF3" s="16" t="s">
        <v>85</v>
      </c>
      <c r="BG3" s="16" t="s">
        <v>85</v>
      </c>
      <c r="BH3" s="16" t="s">
        <v>85</v>
      </c>
      <c r="BI3" s="16" t="s">
        <v>91</v>
      </c>
      <c r="BJ3" s="16" t="s">
        <v>91</v>
      </c>
      <c r="BK3" s="16" t="s">
        <v>85</v>
      </c>
      <c r="BL3" s="16" t="s">
        <v>85</v>
      </c>
      <c r="BM3" s="16" t="s">
        <v>95</v>
      </c>
      <c r="BN3" s="16" t="s">
        <v>96</v>
      </c>
      <c r="BO3" s="39">
        <v>0</v>
      </c>
      <c r="BP3" s="16" t="s">
        <v>85</v>
      </c>
      <c r="BQ3" s="16" t="s">
        <v>85</v>
      </c>
      <c r="BR3" s="16" t="s">
        <v>91</v>
      </c>
      <c r="BS3" s="16" t="s">
        <v>85</v>
      </c>
      <c r="BT3" s="16" t="s">
        <v>388</v>
      </c>
      <c r="BU3" s="16"/>
      <c r="BV3" s="16" t="s">
        <v>389</v>
      </c>
      <c r="BW3" s="16" t="s">
        <v>1219</v>
      </c>
      <c r="BX3" s="16" t="s">
        <v>1323</v>
      </c>
      <c r="BY3" s="7" t="s">
        <v>391</v>
      </c>
    </row>
    <row r="4" spans="1:77" s="7" customFormat="1">
      <c r="A4" s="14">
        <v>45930</v>
      </c>
      <c r="B4" s="14">
        <v>45930</v>
      </c>
      <c r="C4" s="15">
        <v>0.64668981481481003</v>
      </c>
      <c r="D4" s="16" t="s">
        <v>363</v>
      </c>
      <c r="E4" s="14">
        <v>45930</v>
      </c>
      <c r="F4" s="16" t="s">
        <v>364</v>
      </c>
      <c r="G4" s="16" t="s">
        <v>365</v>
      </c>
      <c r="H4" s="16" t="str">
        <f>VLOOKUP(G4,[1]Sheet3!A:B,2,0)</f>
        <v>ADMD</v>
      </c>
      <c r="I4" s="16" t="s">
        <v>76</v>
      </c>
      <c r="J4" s="16" t="s">
        <v>366</v>
      </c>
      <c r="K4" s="16" t="s">
        <v>367</v>
      </c>
      <c r="L4" s="16" t="s">
        <v>368</v>
      </c>
      <c r="M4" s="17">
        <v>90000</v>
      </c>
      <c r="N4" s="16" t="s">
        <v>79</v>
      </c>
      <c r="O4" s="16" t="s">
        <v>375</v>
      </c>
      <c r="P4" s="16" t="s">
        <v>85</v>
      </c>
      <c r="Q4" s="17">
        <v>90000</v>
      </c>
      <c r="R4" s="16" t="s">
        <v>85</v>
      </c>
      <c r="S4" s="16" t="s">
        <v>83</v>
      </c>
      <c r="T4" s="16" t="s">
        <v>370</v>
      </c>
      <c r="U4" s="39">
        <v>3293255.1</v>
      </c>
      <c r="V4" s="16" t="s">
        <v>85</v>
      </c>
      <c r="W4" s="16" t="s">
        <v>85</v>
      </c>
      <c r="X4" s="16" t="s">
        <v>86</v>
      </c>
      <c r="Y4" s="16" t="s">
        <v>371</v>
      </c>
      <c r="Z4" s="16" t="s">
        <v>372</v>
      </c>
      <c r="AA4" s="16" t="s">
        <v>89</v>
      </c>
      <c r="AB4" s="16" t="s">
        <v>85</v>
      </c>
      <c r="AC4" s="16" t="s">
        <v>112</v>
      </c>
      <c r="AD4" s="16" t="s">
        <v>85</v>
      </c>
      <c r="AE4" s="16" t="s">
        <v>85</v>
      </c>
      <c r="AF4" s="16" t="s">
        <v>91</v>
      </c>
      <c r="AG4" s="16" t="s">
        <v>85</v>
      </c>
      <c r="AH4" s="16" t="s">
        <v>91</v>
      </c>
      <c r="AI4" s="17">
        <v>90000</v>
      </c>
      <c r="AJ4" s="16" t="s">
        <v>79</v>
      </c>
      <c r="AK4" s="16" t="s">
        <v>79</v>
      </c>
      <c r="AL4" s="17">
        <v>90000</v>
      </c>
      <c r="AM4" s="16" t="s">
        <v>371</v>
      </c>
      <c r="AN4" s="16" t="s">
        <v>85</v>
      </c>
      <c r="AO4" s="16" t="s">
        <v>85</v>
      </c>
      <c r="AP4" s="16" t="s">
        <v>132</v>
      </c>
      <c r="AQ4" s="16" t="s">
        <v>85</v>
      </c>
      <c r="AR4" s="16" t="s">
        <v>85</v>
      </c>
      <c r="AS4" s="39">
        <v>0</v>
      </c>
      <c r="AT4" s="39">
        <v>0</v>
      </c>
      <c r="AU4" s="16" t="s">
        <v>91</v>
      </c>
      <c r="AV4" s="16" t="s">
        <v>85</v>
      </c>
      <c r="AW4" s="16" t="s">
        <v>91</v>
      </c>
      <c r="AX4" s="16" t="s">
        <v>91</v>
      </c>
      <c r="AY4" s="16" t="s">
        <v>85</v>
      </c>
      <c r="AZ4" s="16" t="s">
        <v>93</v>
      </c>
      <c r="BA4" s="16" t="s">
        <v>85</v>
      </c>
      <c r="BB4" s="16" t="s">
        <v>85</v>
      </c>
      <c r="BC4" s="16" t="s">
        <v>91</v>
      </c>
      <c r="BD4" s="16" t="s">
        <v>79</v>
      </c>
      <c r="BE4" s="16" t="s">
        <v>94</v>
      </c>
      <c r="BF4" s="16" t="s">
        <v>85</v>
      </c>
      <c r="BG4" s="16" t="s">
        <v>85</v>
      </c>
      <c r="BH4" s="16" t="s">
        <v>85</v>
      </c>
      <c r="BI4" s="16" t="s">
        <v>91</v>
      </c>
      <c r="BJ4" s="16" t="s">
        <v>91</v>
      </c>
      <c r="BK4" s="16" t="s">
        <v>85</v>
      </c>
      <c r="BL4" s="16" t="s">
        <v>85</v>
      </c>
      <c r="BM4" s="16" t="s">
        <v>95</v>
      </c>
      <c r="BN4" s="16" t="s">
        <v>96</v>
      </c>
      <c r="BO4" s="39">
        <v>0</v>
      </c>
      <c r="BP4" s="16" t="s">
        <v>85</v>
      </c>
      <c r="BQ4" s="16" t="s">
        <v>85</v>
      </c>
      <c r="BR4" s="16" t="s">
        <v>91</v>
      </c>
      <c r="BS4" s="16" t="s">
        <v>85</v>
      </c>
      <c r="BT4" s="16" t="s">
        <v>388</v>
      </c>
      <c r="BU4" s="16"/>
      <c r="BV4" s="16" t="s">
        <v>389</v>
      </c>
      <c r="BW4" s="16" t="s">
        <v>1219</v>
      </c>
      <c r="BX4" s="16" t="s">
        <v>1323</v>
      </c>
      <c r="BY4" s="7" t="s">
        <v>391</v>
      </c>
    </row>
    <row r="5" spans="1:77" s="7" customFormat="1">
      <c r="A5" s="14">
        <v>45930</v>
      </c>
      <c r="B5" s="14">
        <v>45930</v>
      </c>
      <c r="C5" s="15">
        <v>0.64668981481481003</v>
      </c>
      <c r="D5" s="16" t="s">
        <v>376</v>
      </c>
      <c r="E5" s="14">
        <v>45930</v>
      </c>
      <c r="F5" s="16" t="s">
        <v>364</v>
      </c>
      <c r="G5" s="16" t="s">
        <v>365</v>
      </c>
      <c r="H5" s="16" t="str">
        <f>VLOOKUP(G5,[1]Sheet3!A:B,2,0)</f>
        <v>ADMD</v>
      </c>
      <c r="I5" s="16" t="s">
        <v>76</v>
      </c>
      <c r="J5" s="16" t="s">
        <v>366</v>
      </c>
      <c r="K5" s="16" t="s">
        <v>377</v>
      </c>
      <c r="L5" s="16" t="s">
        <v>125</v>
      </c>
      <c r="M5" s="17">
        <v>155000</v>
      </c>
      <c r="N5" s="16" t="s">
        <v>79</v>
      </c>
      <c r="O5" s="16" t="s">
        <v>378</v>
      </c>
      <c r="P5" s="16" t="s">
        <v>85</v>
      </c>
      <c r="Q5" s="17">
        <v>155000</v>
      </c>
      <c r="R5" s="16" t="s">
        <v>85</v>
      </c>
      <c r="S5" s="16" t="s">
        <v>83</v>
      </c>
      <c r="T5" s="16" t="s">
        <v>370</v>
      </c>
      <c r="U5" s="39">
        <v>5663272.6600000001</v>
      </c>
      <c r="V5" s="16" t="s">
        <v>85</v>
      </c>
      <c r="W5" s="16" t="s">
        <v>85</v>
      </c>
      <c r="X5" s="16" t="s">
        <v>86</v>
      </c>
      <c r="Y5" s="16" t="s">
        <v>371</v>
      </c>
      <c r="Z5" s="16" t="s">
        <v>372</v>
      </c>
      <c r="AA5" s="16" t="s">
        <v>89</v>
      </c>
      <c r="AB5" s="16" t="s">
        <v>85</v>
      </c>
      <c r="AC5" s="16" t="s">
        <v>131</v>
      </c>
      <c r="AD5" s="16" t="s">
        <v>85</v>
      </c>
      <c r="AE5" s="16" t="s">
        <v>85</v>
      </c>
      <c r="AF5" s="16" t="s">
        <v>91</v>
      </c>
      <c r="AG5" s="16" t="s">
        <v>85</v>
      </c>
      <c r="AH5" s="16" t="s">
        <v>91</v>
      </c>
      <c r="AI5" s="17">
        <v>155000</v>
      </c>
      <c r="AJ5" s="16" t="s">
        <v>79</v>
      </c>
      <c r="AK5" s="16" t="s">
        <v>79</v>
      </c>
      <c r="AL5" s="17">
        <v>155000</v>
      </c>
      <c r="AM5" s="16" t="s">
        <v>371</v>
      </c>
      <c r="AN5" s="16" t="s">
        <v>85</v>
      </c>
      <c r="AO5" s="16" t="s">
        <v>85</v>
      </c>
      <c r="AP5" s="16" t="s">
        <v>127</v>
      </c>
      <c r="AQ5" s="16" t="s">
        <v>85</v>
      </c>
      <c r="AR5" s="16" t="s">
        <v>85</v>
      </c>
      <c r="AS5" s="39">
        <v>0</v>
      </c>
      <c r="AT5" s="39">
        <v>0</v>
      </c>
      <c r="AU5" s="16" t="s">
        <v>91</v>
      </c>
      <c r="AV5" s="16" t="s">
        <v>85</v>
      </c>
      <c r="AW5" s="16" t="s">
        <v>91</v>
      </c>
      <c r="AX5" s="16" t="s">
        <v>91</v>
      </c>
      <c r="AY5" s="16" t="s">
        <v>85</v>
      </c>
      <c r="AZ5" s="16" t="s">
        <v>93</v>
      </c>
      <c r="BA5" s="16" t="s">
        <v>85</v>
      </c>
      <c r="BB5" s="16" t="s">
        <v>85</v>
      </c>
      <c r="BC5" s="16" t="s">
        <v>91</v>
      </c>
      <c r="BD5" s="16" t="s">
        <v>79</v>
      </c>
      <c r="BE5" s="16" t="s">
        <v>94</v>
      </c>
      <c r="BF5" s="16" t="s">
        <v>85</v>
      </c>
      <c r="BG5" s="16" t="s">
        <v>85</v>
      </c>
      <c r="BH5" s="16" t="s">
        <v>85</v>
      </c>
      <c r="BI5" s="16" t="s">
        <v>91</v>
      </c>
      <c r="BJ5" s="16" t="s">
        <v>91</v>
      </c>
      <c r="BK5" s="16" t="s">
        <v>85</v>
      </c>
      <c r="BL5" s="16" t="s">
        <v>85</v>
      </c>
      <c r="BM5" s="16" t="s">
        <v>95</v>
      </c>
      <c r="BN5" s="16" t="s">
        <v>96</v>
      </c>
      <c r="BO5" s="39">
        <v>0</v>
      </c>
      <c r="BP5" s="16" t="s">
        <v>85</v>
      </c>
      <c r="BQ5" s="16" t="s">
        <v>85</v>
      </c>
      <c r="BR5" s="16" t="s">
        <v>91</v>
      </c>
      <c r="BS5" s="16" t="s">
        <v>85</v>
      </c>
      <c r="BT5" s="16" t="s">
        <v>388</v>
      </c>
      <c r="BU5" s="16"/>
      <c r="BV5" s="16" t="s">
        <v>389</v>
      </c>
      <c r="BW5" s="16" t="s">
        <v>1219</v>
      </c>
      <c r="BX5" s="16" t="s">
        <v>1323</v>
      </c>
      <c r="BY5" s="7" t="s">
        <v>391</v>
      </c>
    </row>
    <row r="6" spans="1:77" s="7" customFormat="1">
      <c r="A6" s="14">
        <v>45930</v>
      </c>
      <c r="B6" s="14">
        <v>45930</v>
      </c>
      <c r="C6" s="15">
        <v>0.64668981481481003</v>
      </c>
      <c r="D6" s="16" t="s">
        <v>376</v>
      </c>
      <c r="E6" s="14">
        <v>45930</v>
      </c>
      <c r="F6" s="16" t="s">
        <v>364</v>
      </c>
      <c r="G6" s="16" t="s">
        <v>365</v>
      </c>
      <c r="H6" s="16" t="str">
        <f>VLOOKUP(G6,[1]Sheet3!A:B,2,0)</f>
        <v>ADMD</v>
      </c>
      <c r="I6" s="16" t="s">
        <v>76</v>
      </c>
      <c r="J6" s="16" t="s">
        <v>366</v>
      </c>
      <c r="K6" s="16" t="s">
        <v>377</v>
      </c>
      <c r="L6" s="16" t="s">
        <v>125</v>
      </c>
      <c r="M6" s="17">
        <v>155000</v>
      </c>
      <c r="N6" s="16" t="s">
        <v>79</v>
      </c>
      <c r="O6" s="16" t="s">
        <v>379</v>
      </c>
      <c r="P6" s="16" t="s">
        <v>85</v>
      </c>
      <c r="Q6" s="17">
        <v>155000</v>
      </c>
      <c r="R6" s="16" t="s">
        <v>85</v>
      </c>
      <c r="S6" s="16" t="s">
        <v>83</v>
      </c>
      <c r="T6" s="16" t="s">
        <v>370</v>
      </c>
      <c r="U6" s="39">
        <v>5663272.6600000001</v>
      </c>
      <c r="V6" s="16" t="s">
        <v>85</v>
      </c>
      <c r="W6" s="16" t="s">
        <v>85</v>
      </c>
      <c r="X6" s="16" t="s">
        <v>86</v>
      </c>
      <c r="Y6" s="16" t="s">
        <v>371</v>
      </c>
      <c r="Z6" s="16" t="s">
        <v>372</v>
      </c>
      <c r="AA6" s="16" t="s">
        <v>89</v>
      </c>
      <c r="AB6" s="16" t="s">
        <v>85</v>
      </c>
      <c r="AC6" s="16" t="s">
        <v>134</v>
      </c>
      <c r="AD6" s="16" t="s">
        <v>85</v>
      </c>
      <c r="AE6" s="16" t="s">
        <v>85</v>
      </c>
      <c r="AF6" s="16" t="s">
        <v>91</v>
      </c>
      <c r="AG6" s="16" t="s">
        <v>85</v>
      </c>
      <c r="AH6" s="16" t="s">
        <v>91</v>
      </c>
      <c r="AI6" s="17">
        <v>155000</v>
      </c>
      <c r="AJ6" s="16" t="s">
        <v>79</v>
      </c>
      <c r="AK6" s="16" t="s">
        <v>79</v>
      </c>
      <c r="AL6" s="17">
        <v>155000</v>
      </c>
      <c r="AM6" s="16" t="s">
        <v>371</v>
      </c>
      <c r="AN6" s="16" t="s">
        <v>85</v>
      </c>
      <c r="AO6" s="16" t="s">
        <v>85</v>
      </c>
      <c r="AP6" s="16" t="s">
        <v>127</v>
      </c>
      <c r="AQ6" s="16" t="s">
        <v>85</v>
      </c>
      <c r="AR6" s="16" t="s">
        <v>85</v>
      </c>
      <c r="AS6" s="39">
        <v>0</v>
      </c>
      <c r="AT6" s="39">
        <v>0</v>
      </c>
      <c r="AU6" s="16" t="s">
        <v>91</v>
      </c>
      <c r="AV6" s="16" t="s">
        <v>85</v>
      </c>
      <c r="AW6" s="16" t="s">
        <v>91</v>
      </c>
      <c r="AX6" s="16" t="s">
        <v>91</v>
      </c>
      <c r="AY6" s="16" t="s">
        <v>85</v>
      </c>
      <c r="AZ6" s="16" t="s">
        <v>93</v>
      </c>
      <c r="BA6" s="16" t="s">
        <v>85</v>
      </c>
      <c r="BB6" s="16" t="s">
        <v>85</v>
      </c>
      <c r="BC6" s="16" t="s">
        <v>91</v>
      </c>
      <c r="BD6" s="16" t="s">
        <v>79</v>
      </c>
      <c r="BE6" s="16" t="s">
        <v>94</v>
      </c>
      <c r="BF6" s="16" t="s">
        <v>85</v>
      </c>
      <c r="BG6" s="16" t="s">
        <v>85</v>
      </c>
      <c r="BH6" s="16" t="s">
        <v>85</v>
      </c>
      <c r="BI6" s="16" t="s">
        <v>91</v>
      </c>
      <c r="BJ6" s="16" t="s">
        <v>91</v>
      </c>
      <c r="BK6" s="16" t="s">
        <v>85</v>
      </c>
      <c r="BL6" s="16" t="s">
        <v>85</v>
      </c>
      <c r="BM6" s="16" t="s">
        <v>95</v>
      </c>
      <c r="BN6" s="16" t="s">
        <v>96</v>
      </c>
      <c r="BO6" s="39">
        <v>0</v>
      </c>
      <c r="BP6" s="16" t="s">
        <v>85</v>
      </c>
      <c r="BQ6" s="16" t="s">
        <v>85</v>
      </c>
      <c r="BR6" s="16" t="s">
        <v>91</v>
      </c>
      <c r="BS6" s="16" t="s">
        <v>85</v>
      </c>
      <c r="BT6" s="16" t="s">
        <v>388</v>
      </c>
      <c r="BU6" s="16"/>
      <c r="BV6" s="16" t="s">
        <v>389</v>
      </c>
      <c r="BW6" s="16" t="s">
        <v>1219</v>
      </c>
      <c r="BX6" s="16" t="s">
        <v>1323</v>
      </c>
      <c r="BY6" s="7" t="s">
        <v>391</v>
      </c>
    </row>
    <row r="7" spans="1:77" s="7" customFormat="1">
      <c r="A7" s="14">
        <v>45930</v>
      </c>
      <c r="B7" s="14">
        <v>45930</v>
      </c>
      <c r="C7" s="15">
        <v>0.64668981481481003</v>
      </c>
      <c r="D7" s="16" t="s">
        <v>376</v>
      </c>
      <c r="E7" s="14">
        <v>45930</v>
      </c>
      <c r="F7" s="16" t="s">
        <v>364</v>
      </c>
      <c r="G7" s="16" t="s">
        <v>365</v>
      </c>
      <c r="H7" s="16" t="str">
        <f>VLOOKUP(G7,[1]Sheet3!A:B,2,0)</f>
        <v>ADMD</v>
      </c>
      <c r="I7" s="16" t="s">
        <v>76</v>
      </c>
      <c r="J7" s="16" t="s">
        <v>366</v>
      </c>
      <c r="K7" s="16" t="s">
        <v>377</v>
      </c>
      <c r="L7" s="16" t="s">
        <v>125</v>
      </c>
      <c r="M7" s="17">
        <v>35000</v>
      </c>
      <c r="N7" s="16" t="s">
        <v>79</v>
      </c>
      <c r="O7" s="16" t="s">
        <v>380</v>
      </c>
      <c r="P7" s="16" t="s">
        <v>85</v>
      </c>
      <c r="Q7" s="17">
        <v>35000</v>
      </c>
      <c r="R7" s="16" t="s">
        <v>85</v>
      </c>
      <c r="S7" s="16" t="s">
        <v>83</v>
      </c>
      <c r="T7" s="16" t="s">
        <v>370</v>
      </c>
      <c r="U7" s="39">
        <v>1278803.5</v>
      </c>
      <c r="V7" s="16" t="s">
        <v>85</v>
      </c>
      <c r="W7" s="16" t="s">
        <v>85</v>
      </c>
      <c r="X7" s="16" t="s">
        <v>86</v>
      </c>
      <c r="Y7" s="16" t="s">
        <v>371</v>
      </c>
      <c r="Z7" s="16" t="s">
        <v>372</v>
      </c>
      <c r="AA7" s="16" t="s">
        <v>89</v>
      </c>
      <c r="AB7" s="16" t="s">
        <v>85</v>
      </c>
      <c r="AC7" s="16" t="s">
        <v>128</v>
      </c>
      <c r="AD7" s="16" t="s">
        <v>85</v>
      </c>
      <c r="AE7" s="16" t="s">
        <v>85</v>
      </c>
      <c r="AF7" s="16" t="s">
        <v>91</v>
      </c>
      <c r="AG7" s="16" t="s">
        <v>85</v>
      </c>
      <c r="AH7" s="16" t="s">
        <v>91</v>
      </c>
      <c r="AI7" s="17">
        <v>35000</v>
      </c>
      <c r="AJ7" s="16" t="s">
        <v>79</v>
      </c>
      <c r="AK7" s="16" t="s">
        <v>79</v>
      </c>
      <c r="AL7" s="17">
        <v>35000</v>
      </c>
      <c r="AM7" s="16" t="s">
        <v>371</v>
      </c>
      <c r="AN7" s="16" t="s">
        <v>85</v>
      </c>
      <c r="AO7" s="16" t="s">
        <v>85</v>
      </c>
      <c r="AP7" s="16" t="s">
        <v>127</v>
      </c>
      <c r="AQ7" s="16" t="s">
        <v>85</v>
      </c>
      <c r="AR7" s="16" t="s">
        <v>85</v>
      </c>
      <c r="AS7" s="39">
        <v>0</v>
      </c>
      <c r="AT7" s="39">
        <v>0</v>
      </c>
      <c r="AU7" s="16" t="s">
        <v>91</v>
      </c>
      <c r="AV7" s="16" t="s">
        <v>85</v>
      </c>
      <c r="AW7" s="16" t="s">
        <v>91</v>
      </c>
      <c r="AX7" s="16" t="s">
        <v>91</v>
      </c>
      <c r="AY7" s="16" t="s">
        <v>85</v>
      </c>
      <c r="AZ7" s="16" t="s">
        <v>93</v>
      </c>
      <c r="BA7" s="16" t="s">
        <v>85</v>
      </c>
      <c r="BB7" s="16" t="s">
        <v>85</v>
      </c>
      <c r="BC7" s="16" t="s">
        <v>91</v>
      </c>
      <c r="BD7" s="16" t="s">
        <v>79</v>
      </c>
      <c r="BE7" s="16" t="s">
        <v>94</v>
      </c>
      <c r="BF7" s="16" t="s">
        <v>85</v>
      </c>
      <c r="BG7" s="16" t="s">
        <v>85</v>
      </c>
      <c r="BH7" s="16" t="s">
        <v>85</v>
      </c>
      <c r="BI7" s="16" t="s">
        <v>91</v>
      </c>
      <c r="BJ7" s="16" t="s">
        <v>91</v>
      </c>
      <c r="BK7" s="16" t="s">
        <v>85</v>
      </c>
      <c r="BL7" s="16" t="s">
        <v>85</v>
      </c>
      <c r="BM7" s="16" t="s">
        <v>95</v>
      </c>
      <c r="BN7" s="16" t="s">
        <v>96</v>
      </c>
      <c r="BO7" s="39">
        <v>0</v>
      </c>
      <c r="BP7" s="16" t="s">
        <v>85</v>
      </c>
      <c r="BQ7" s="16" t="s">
        <v>85</v>
      </c>
      <c r="BR7" s="16" t="s">
        <v>91</v>
      </c>
      <c r="BS7" s="16" t="s">
        <v>85</v>
      </c>
      <c r="BT7" s="16" t="s">
        <v>388</v>
      </c>
      <c r="BU7" s="16"/>
      <c r="BV7" s="16" t="s">
        <v>389</v>
      </c>
      <c r="BW7" s="16" t="s">
        <v>1219</v>
      </c>
      <c r="BX7" s="16" t="s">
        <v>1323</v>
      </c>
      <c r="BY7" s="7" t="s">
        <v>391</v>
      </c>
    </row>
    <row r="8" spans="1:77" s="7" customFormat="1">
      <c r="A8" s="14">
        <v>45930</v>
      </c>
      <c r="B8" s="14">
        <v>45930</v>
      </c>
      <c r="C8" s="15">
        <v>0.64668981481481003</v>
      </c>
      <c r="D8" s="16" t="s">
        <v>376</v>
      </c>
      <c r="E8" s="14">
        <v>45930</v>
      </c>
      <c r="F8" s="16" t="s">
        <v>364</v>
      </c>
      <c r="G8" s="16" t="s">
        <v>365</v>
      </c>
      <c r="H8" s="16" t="str">
        <f>VLOOKUP(G8,[1]Sheet3!A:B,2,0)</f>
        <v>ADMD</v>
      </c>
      <c r="I8" s="16" t="s">
        <v>76</v>
      </c>
      <c r="J8" s="16" t="s">
        <v>366</v>
      </c>
      <c r="K8" s="16" t="s">
        <v>377</v>
      </c>
      <c r="L8" s="16" t="s">
        <v>125</v>
      </c>
      <c r="M8" s="17">
        <v>155000</v>
      </c>
      <c r="N8" s="16" t="s">
        <v>79</v>
      </c>
      <c r="O8" s="16" t="s">
        <v>381</v>
      </c>
      <c r="P8" s="16" t="s">
        <v>85</v>
      </c>
      <c r="Q8" s="17">
        <v>155000</v>
      </c>
      <c r="R8" s="16" t="s">
        <v>85</v>
      </c>
      <c r="S8" s="16" t="s">
        <v>83</v>
      </c>
      <c r="T8" s="16" t="s">
        <v>370</v>
      </c>
      <c r="U8" s="39">
        <v>5663272.6600000001</v>
      </c>
      <c r="V8" s="16" t="s">
        <v>85</v>
      </c>
      <c r="W8" s="16" t="s">
        <v>85</v>
      </c>
      <c r="X8" s="16" t="s">
        <v>86</v>
      </c>
      <c r="Y8" s="16" t="s">
        <v>371</v>
      </c>
      <c r="Z8" s="16" t="s">
        <v>372</v>
      </c>
      <c r="AA8" s="16" t="s">
        <v>89</v>
      </c>
      <c r="AB8" s="16" t="s">
        <v>85</v>
      </c>
      <c r="AC8" s="16" t="s">
        <v>126</v>
      </c>
      <c r="AD8" s="16" t="s">
        <v>85</v>
      </c>
      <c r="AE8" s="16" t="s">
        <v>85</v>
      </c>
      <c r="AF8" s="16" t="s">
        <v>91</v>
      </c>
      <c r="AG8" s="16" t="s">
        <v>85</v>
      </c>
      <c r="AH8" s="16" t="s">
        <v>91</v>
      </c>
      <c r="AI8" s="17">
        <v>155000</v>
      </c>
      <c r="AJ8" s="16" t="s">
        <v>79</v>
      </c>
      <c r="AK8" s="16" t="s">
        <v>79</v>
      </c>
      <c r="AL8" s="17">
        <v>155000</v>
      </c>
      <c r="AM8" s="16" t="s">
        <v>371</v>
      </c>
      <c r="AN8" s="16" t="s">
        <v>85</v>
      </c>
      <c r="AO8" s="16" t="s">
        <v>85</v>
      </c>
      <c r="AP8" s="16" t="s">
        <v>127</v>
      </c>
      <c r="AQ8" s="16" t="s">
        <v>85</v>
      </c>
      <c r="AR8" s="16" t="s">
        <v>85</v>
      </c>
      <c r="AS8" s="39">
        <v>0</v>
      </c>
      <c r="AT8" s="39">
        <v>0</v>
      </c>
      <c r="AU8" s="16" t="s">
        <v>91</v>
      </c>
      <c r="AV8" s="16" t="s">
        <v>85</v>
      </c>
      <c r="AW8" s="16" t="s">
        <v>91</v>
      </c>
      <c r="AX8" s="16" t="s">
        <v>91</v>
      </c>
      <c r="AY8" s="16" t="s">
        <v>85</v>
      </c>
      <c r="AZ8" s="16" t="s">
        <v>93</v>
      </c>
      <c r="BA8" s="16" t="s">
        <v>85</v>
      </c>
      <c r="BB8" s="16" t="s">
        <v>85</v>
      </c>
      <c r="BC8" s="16" t="s">
        <v>91</v>
      </c>
      <c r="BD8" s="16" t="s">
        <v>79</v>
      </c>
      <c r="BE8" s="16" t="s">
        <v>94</v>
      </c>
      <c r="BF8" s="16" t="s">
        <v>85</v>
      </c>
      <c r="BG8" s="16" t="s">
        <v>85</v>
      </c>
      <c r="BH8" s="16" t="s">
        <v>85</v>
      </c>
      <c r="BI8" s="16" t="s">
        <v>91</v>
      </c>
      <c r="BJ8" s="16" t="s">
        <v>91</v>
      </c>
      <c r="BK8" s="16" t="s">
        <v>85</v>
      </c>
      <c r="BL8" s="16" t="s">
        <v>85</v>
      </c>
      <c r="BM8" s="16" t="s">
        <v>95</v>
      </c>
      <c r="BN8" s="16" t="s">
        <v>96</v>
      </c>
      <c r="BO8" s="39">
        <v>0</v>
      </c>
      <c r="BP8" s="16" t="s">
        <v>85</v>
      </c>
      <c r="BQ8" s="16" t="s">
        <v>85</v>
      </c>
      <c r="BR8" s="16" t="s">
        <v>91</v>
      </c>
      <c r="BS8" s="16" t="s">
        <v>85</v>
      </c>
      <c r="BT8" s="16" t="s">
        <v>388</v>
      </c>
      <c r="BU8" s="16"/>
      <c r="BV8" s="16" t="s">
        <v>389</v>
      </c>
      <c r="BW8" s="16" t="s">
        <v>1219</v>
      </c>
      <c r="BX8" s="16" t="s">
        <v>1323</v>
      </c>
      <c r="BY8" s="7" t="s">
        <v>391</v>
      </c>
    </row>
    <row r="9" spans="1:77" s="7" customFormat="1">
      <c r="A9" s="14">
        <v>45950</v>
      </c>
      <c r="B9" s="14">
        <v>45950</v>
      </c>
      <c r="C9" s="15">
        <v>0.71788194444443998</v>
      </c>
      <c r="D9" s="16" t="s">
        <v>382</v>
      </c>
      <c r="E9" s="14">
        <v>45950</v>
      </c>
      <c r="F9" s="16" t="s">
        <v>383</v>
      </c>
      <c r="G9" s="16" t="s">
        <v>365</v>
      </c>
      <c r="H9" s="16" t="str">
        <f>VLOOKUP(G9,[1]Sheet3!A:B,2,0)</f>
        <v>ADMD</v>
      </c>
      <c r="I9" s="16" t="s">
        <v>76</v>
      </c>
      <c r="J9" s="16" t="s">
        <v>384</v>
      </c>
      <c r="K9" s="16" t="s">
        <v>385</v>
      </c>
      <c r="L9" s="16" t="s">
        <v>386</v>
      </c>
      <c r="M9" s="17">
        <v>3900800</v>
      </c>
      <c r="N9" s="16" t="s">
        <v>79</v>
      </c>
      <c r="O9" s="16" t="s">
        <v>387</v>
      </c>
      <c r="P9" s="16" t="s">
        <v>85</v>
      </c>
      <c r="Q9" s="17">
        <v>3900800</v>
      </c>
      <c r="R9" s="16" t="s">
        <v>85</v>
      </c>
      <c r="S9" s="16" t="s">
        <v>83</v>
      </c>
      <c r="T9" s="16" t="s">
        <v>370</v>
      </c>
      <c r="U9" s="39">
        <v>48215061.329999998</v>
      </c>
      <c r="V9" s="16" t="s">
        <v>85</v>
      </c>
      <c r="W9" s="16" t="s">
        <v>85</v>
      </c>
      <c r="X9" s="16" t="s">
        <v>86</v>
      </c>
      <c r="Y9" s="16" t="s">
        <v>371</v>
      </c>
      <c r="Z9" s="16" t="s">
        <v>372</v>
      </c>
      <c r="AA9" s="16" t="s">
        <v>89</v>
      </c>
      <c r="AB9" s="16" t="s">
        <v>85</v>
      </c>
      <c r="AC9" s="16" t="s">
        <v>98</v>
      </c>
      <c r="AD9" s="16" t="s">
        <v>85</v>
      </c>
      <c r="AE9" s="16" t="s">
        <v>85</v>
      </c>
      <c r="AF9" s="16" t="s">
        <v>91</v>
      </c>
      <c r="AG9" s="16" t="s">
        <v>85</v>
      </c>
      <c r="AH9" s="16" t="s">
        <v>91</v>
      </c>
      <c r="AI9" s="17">
        <v>3900800</v>
      </c>
      <c r="AJ9" s="16" t="s">
        <v>79</v>
      </c>
      <c r="AK9" s="16" t="s">
        <v>79</v>
      </c>
      <c r="AL9" s="17">
        <v>3900800</v>
      </c>
      <c r="AM9" s="16" t="s">
        <v>371</v>
      </c>
      <c r="AN9" s="16" t="s">
        <v>85</v>
      </c>
      <c r="AO9" s="16" t="s">
        <v>85</v>
      </c>
      <c r="AP9" s="16" t="s">
        <v>118</v>
      </c>
      <c r="AQ9" s="16" t="s">
        <v>85</v>
      </c>
      <c r="AR9" s="16" t="s">
        <v>85</v>
      </c>
      <c r="AS9" s="39">
        <v>0</v>
      </c>
      <c r="AT9" s="39">
        <v>0</v>
      </c>
      <c r="AU9" s="16" t="s">
        <v>91</v>
      </c>
      <c r="AV9" s="16" t="s">
        <v>85</v>
      </c>
      <c r="AW9" s="16" t="s">
        <v>91</v>
      </c>
      <c r="AX9" s="16" t="s">
        <v>91</v>
      </c>
      <c r="AY9" s="16" t="s">
        <v>85</v>
      </c>
      <c r="AZ9" s="16" t="s">
        <v>93</v>
      </c>
      <c r="BA9" s="16" t="s">
        <v>85</v>
      </c>
      <c r="BB9" s="16" t="s">
        <v>85</v>
      </c>
      <c r="BC9" s="16" t="s">
        <v>91</v>
      </c>
      <c r="BD9" s="16" t="s">
        <v>79</v>
      </c>
      <c r="BE9" s="16" t="s">
        <v>94</v>
      </c>
      <c r="BF9" s="16" t="s">
        <v>85</v>
      </c>
      <c r="BG9" s="16" t="s">
        <v>85</v>
      </c>
      <c r="BH9" s="16" t="s">
        <v>85</v>
      </c>
      <c r="BI9" s="16" t="s">
        <v>91</v>
      </c>
      <c r="BJ9" s="16" t="s">
        <v>91</v>
      </c>
      <c r="BK9" s="16" t="s">
        <v>85</v>
      </c>
      <c r="BL9" s="16" t="s">
        <v>85</v>
      </c>
      <c r="BM9" s="16" t="s">
        <v>95</v>
      </c>
      <c r="BN9" s="16" t="s">
        <v>96</v>
      </c>
      <c r="BO9" s="39">
        <v>0</v>
      </c>
      <c r="BP9" s="16" t="s">
        <v>85</v>
      </c>
      <c r="BQ9" s="16" t="s">
        <v>85</v>
      </c>
      <c r="BR9" s="16" t="s">
        <v>91</v>
      </c>
      <c r="BS9" s="16" t="s">
        <v>85</v>
      </c>
      <c r="BT9" s="16" t="s">
        <v>388</v>
      </c>
      <c r="BU9" s="16"/>
      <c r="BV9" s="16" t="s">
        <v>389</v>
      </c>
      <c r="BW9" s="16" t="s">
        <v>1258</v>
      </c>
      <c r="BX9" s="16" t="s">
        <v>390</v>
      </c>
      <c r="BY9" s="16" t="s">
        <v>391</v>
      </c>
    </row>
    <row r="10" spans="1:77" s="7" customFormat="1">
      <c r="A10" s="14">
        <v>45959</v>
      </c>
      <c r="B10" s="14">
        <v>45959</v>
      </c>
      <c r="C10" s="15">
        <v>0.74049768518518999</v>
      </c>
      <c r="D10" s="16" t="s">
        <v>392</v>
      </c>
      <c r="E10" s="14">
        <v>45959</v>
      </c>
      <c r="F10" s="16" t="s">
        <v>393</v>
      </c>
      <c r="G10" s="16" t="s">
        <v>394</v>
      </c>
      <c r="H10" s="16" t="str">
        <f>VLOOKUP(G10,[1]Sheet3!A:B,2,0)</f>
        <v>TG</v>
      </c>
      <c r="I10" s="7" t="s">
        <v>76</v>
      </c>
      <c r="J10" s="7" t="s">
        <v>395</v>
      </c>
      <c r="K10" s="16" t="s">
        <v>396</v>
      </c>
      <c r="L10" s="16" t="s">
        <v>123</v>
      </c>
      <c r="M10" s="17">
        <v>800</v>
      </c>
      <c r="N10" s="16" t="s">
        <v>79</v>
      </c>
      <c r="O10" s="16" t="s">
        <v>232</v>
      </c>
      <c r="P10" s="16" t="s">
        <v>85</v>
      </c>
      <c r="Q10" s="17">
        <v>800</v>
      </c>
      <c r="R10" s="7" t="s">
        <v>85</v>
      </c>
      <c r="S10" s="7" t="s">
        <v>83</v>
      </c>
      <c r="T10" s="7" t="s">
        <v>370</v>
      </c>
      <c r="U10" s="12">
        <v>554590.38</v>
      </c>
      <c r="V10" s="7" t="s">
        <v>85</v>
      </c>
      <c r="W10" s="7" t="s">
        <v>85</v>
      </c>
      <c r="X10" s="7" t="s">
        <v>86</v>
      </c>
      <c r="Y10" s="7" t="s">
        <v>371</v>
      </c>
      <c r="Z10" s="7" t="s">
        <v>372</v>
      </c>
      <c r="AA10" s="7" t="s">
        <v>89</v>
      </c>
      <c r="AB10" s="7" t="s">
        <v>85</v>
      </c>
      <c r="AC10" s="7" t="s">
        <v>98</v>
      </c>
      <c r="AD10" s="7" t="s">
        <v>85</v>
      </c>
      <c r="AE10" s="7" t="s">
        <v>85</v>
      </c>
      <c r="AF10" s="7" t="s">
        <v>91</v>
      </c>
      <c r="AG10" s="7" t="s">
        <v>85</v>
      </c>
      <c r="AH10" s="7" t="s">
        <v>91</v>
      </c>
      <c r="AI10" s="13">
        <v>800</v>
      </c>
      <c r="AJ10" s="7" t="s">
        <v>79</v>
      </c>
      <c r="AK10" s="7" t="s">
        <v>79</v>
      </c>
      <c r="AL10" s="13">
        <v>800</v>
      </c>
      <c r="AM10" s="7" t="s">
        <v>371</v>
      </c>
      <c r="AN10" s="7" t="s">
        <v>85</v>
      </c>
      <c r="AO10" s="7" t="s">
        <v>85</v>
      </c>
      <c r="AP10" s="7" t="s">
        <v>397</v>
      </c>
      <c r="AQ10" s="7" t="s">
        <v>85</v>
      </c>
      <c r="AR10" s="7" t="s">
        <v>85</v>
      </c>
      <c r="AS10" s="12">
        <v>0</v>
      </c>
      <c r="AT10" s="12">
        <v>0</v>
      </c>
      <c r="AU10" s="7" t="s">
        <v>91</v>
      </c>
      <c r="AV10" s="7" t="s">
        <v>85</v>
      </c>
      <c r="AW10" s="7" t="s">
        <v>91</v>
      </c>
      <c r="AX10" s="7" t="s">
        <v>91</v>
      </c>
      <c r="AY10" s="7" t="s">
        <v>85</v>
      </c>
      <c r="AZ10" s="7" t="s">
        <v>93</v>
      </c>
      <c r="BA10" s="7" t="s">
        <v>85</v>
      </c>
      <c r="BB10" s="7" t="s">
        <v>85</v>
      </c>
      <c r="BC10" s="7" t="s">
        <v>91</v>
      </c>
      <c r="BD10" s="7" t="s">
        <v>79</v>
      </c>
      <c r="BE10" s="7" t="s">
        <v>94</v>
      </c>
      <c r="BF10" s="7" t="s">
        <v>85</v>
      </c>
      <c r="BG10" s="7" t="s">
        <v>85</v>
      </c>
      <c r="BH10" s="7" t="s">
        <v>85</v>
      </c>
      <c r="BI10" s="7" t="s">
        <v>91</v>
      </c>
      <c r="BJ10" s="7" t="s">
        <v>91</v>
      </c>
      <c r="BK10" s="7" t="s">
        <v>85</v>
      </c>
      <c r="BL10" s="7" t="s">
        <v>85</v>
      </c>
      <c r="BM10" s="7" t="s">
        <v>95</v>
      </c>
      <c r="BN10" s="7" t="s">
        <v>96</v>
      </c>
      <c r="BO10" s="12">
        <v>0</v>
      </c>
      <c r="BP10" s="7" t="s">
        <v>85</v>
      </c>
      <c r="BQ10" s="7" t="s">
        <v>85</v>
      </c>
      <c r="BR10" s="7" t="s">
        <v>91</v>
      </c>
      <c r="BS10" s="7" t="s">
        <v>85</v>
      </c>
      <c r="BT10" s="16" t="s">
        <v>388</v>
      </c>
      <c r="BU10" s="16" t="s">
        <v>398</v>
      </c>
      <c r="BV10" s="16" t="s">
        <v>389</v>
      </c>
      <c r="BW10" s="16" t="s">
        <v>1230</v>
      </c>
      <c r="BX10" s="16" t="s">
        <v>399</v>
      </c>
    </row>
    <row r="11" spans="1:77" s="7" customFormat="1">
      <c r="A11" s="14">
        <v>45959</v>
      </c>
      <c r="B11" s="14">
        <v>45959</v>
      </c>
      <c r="C11" s="15">
        <v>0.74049768518518999</v>
      </c>
      <c r="D11" s="16" t="s">
        <v>400</v>
      </c>
      <c r="E11" s="14">
        <v>45959</v>
      </c>
      <c r="F11" s="16" t="s">
        <v>393</v>
      </c>
      <c r="G11" s="16" t="s">
        <v>394</v>
      </c>
      <c r="H11" s="16" t="str">
        <f>VLOOKUP(G11,[1]Sheet3!A:B,2,0)</f>
        <v>TG</v>
      </c>
      <c r="I11" s="7" t="s">
        <v>76</v>
      </c>
      <c r="J11" s="7" t="s">
        <v>395</v>
      </c>
      <c r="K11" s="16" t="s">
        <v>401</v>
      </c>
      <c r="L11" s="16" t="s">
        <v>124</v>
      </c>
      <c r="M11" s="17">
        <v>2000</v>
      </c>
      <c r="N11" s="16" t="s">
        <v>79</v>
      </c>
      <c r="O11" s="16" t="s">
        <v>232</v>
      </c>
      <c r="P11" s="16" t="s">
        <v>85</v>
      </c>
      <c r="Q11" s="17">
        <v>2000</v>
      </c>
      <c r="R11" s="7" t="s">
        <v>85</v>
      </c>
      <c r="S11" s="7" t="s">
        <v>83</v>
      </c>
      <c r="T11" s="7" t="s">
        <v>370</v>
      </c>
      <c r="U11" s="12">
        <v>1385421.35</v>
      </c>
      <c r="V11" s="7" t="s">
        <v>85</v>
      </c>
      <c r="W11" s="7" t="s">
        <v>85</v>
      </c>
      <c r="X11" s="7" t="s">
        <v>86</v>
      </c>
      <c r="Y11" s="7" t="s">
        <v>371</v>
      </c>
      <c r="Z11" s="7" t="s">
        <v>372</v>
      </c>
      <c r="AA11" s="7" t="s">
        <v>89</v>
      </c>
      <c r="AB11" s="7" t="s">
        <v>85</v>
      </c>
      <c r="AC11" s="7" t="s">
        <v>90</v>
      </c>
      <c r="AD11" s="7" t="s">
        <v>85</v>
      </c>
      <c r="AE11" s="7" t="s">
        <v>85</v>
      </c>
      <c r="AF11" s="7" t="s">
        <v>91</v>
      </c>
      <c r="AG11" s="7" t="s">
        <v>85</v>
      </c>
      <c r="AH11" s="7" t="s">
        <v>91</v>
      </c>
      <c r="AI11" s="13">
        <v>2000</v>
      </c>
      <c r="AJ11" s="7" t="s">
        <v>79</v>
      </c>
      <c r="AK11" s="7" t="s">
        <v>79</v>
      </c>
      <c r="AL11" s="13">
        <v>2000</v>
      </c>
      <c r="AM11" s="7" t="s">
        <v>371</v>
      </c>
      <c r="AN11" s="7" t="s">
        <v>85</v>
      </c>
      <c r="AO11" s="7" t="s">
        <v>85</v>
      </c>
      <c r="AP11" s="7" t="s">
        <v>402</v>
      </c>
      <c r="AQ11" s="7" t="s">
        <v>85</v>
      </c>
      <c r="AR11" s="7" t="s">
        <v>85</v>
      </c>
      <c r="AS11" s="12">
        <v>0</v>
      </c>
      <c r="AT11" s="12">
        <v>0</v>
      </c>
      <c r="AU11" s="7" t="s">
        <v>91</v>
      </c>
      <c r="AV11" s="7" t="s">
        <v>85</v>
      </c>
      <c r="AW11" s="7" t="s">
        <v>91</v>
      </c>
      <c r="AX11" s="7" t="s">
        <v>91</v>
      </c>
      <c r="AY11" s="7" t="s">
        <v>85</v>
      </c>
      <c r="AZ11" s="7" t="s">
        <v>93</v>
      </c>
      <c r="BA11" s="7" t="s">
        <v>85</v>
      </c>
      <c r="BB11" s="7" t="s">
        <v>85</v>
      </c>
      <c r="BC11" s="7" t="s">
        <v>91</v>
      </c>
      <c r="BD11" s="7" t="s">
        <v>79</v>
      </c>
      <c r="BE11" s="7" t="s">
        <v>94</v>
      </c>
      <c r="BF11" s="7" t="s">
        <v>85</v>
      </c>
      <c r="BG11" s="7" t="s">
        <v>85</v>
      </c>
      <c r="BH11" s="7" t="s">
        <v>85</v>
      </c>
      <c r="BI11" s="7" t="s">
        <v>91</v>
      </c>
      <c r="BJ11" s="7" t="s">
        <v>91</v>
      </c>
      <c r="BK11" s="7" t="s">
        <v>85</v>
      </c>
      <c r="BL11" s="7" t="s">
        <v>85</v>
      </c>
      <c r="BM11" s="7" t="s">
        <v>95</v>
      </c>
      <c r="BN11" s="7" t="s">
        <v>96</v>
      </c>
      <c r="BO11" s="12">
        <v>0</v>
      </c>
      <c r="BP11" s="7" t="s">
        <v>85</v>
      </c>
      <c r="BQ11" s="7" t="s">
        <v>85</v>
      </c>
      <c r="BR11" s="7" t="s">
        <v>91</v>
      </c>
      <c r="BS11" s="7" t="s">
        <v>85</v>
      </c>
      <c r="BT11" s="16" t="s">
        <v>388</v>
      </c>
      <c r="BU11" s="16" t="s">
        <v>398</v>
      </c>
      <c r="BV11" s="16" t="s">
        <v>389</v>
      </c>
      <c r="BW11" s="16" t="s">
        <v>1230</v>
      </c>
      <c r="BX11" s="16" t="s">
        <v>399</v>
      </c>
    </row>
    <row r="12" spans="1:77" s="7" customFormat="1">
      <c r="A12" s="14">
        <v>46037</v>
      </c>
      <c r="B12" s="14">
        <v>46037</v>
      </c>
      <c r="C12" s="15">
        <v>0.72042824074073997</v>
      </c>
      <c r="D12" s="16" t="s">
        <v>403</v>
      </c>
      <c r="E12" s="14">
        <v>46037</v>
      </c>
      <c r="F12" s="16" t="s">
        <v>364</v>
      </c>
      <c r="G12" s="16" t="s">
        <v>365</v>
      </c>
      <c r="H12" s="16" t="str">
        <f>VLOOKUP(G12,[1]Sheet3!A:B,2,0)</f>
        <v>ADMD</v>
      </c>
      <c r="I12" s="16" t="s">
        <v>76</v>
      </c>
      <c r="J12" s="16" t="s">
        <v>404</v>
      </c>
      <c r="K12" s="16" t="s">
        <v>405</v>
      </c>
      <c r="L12" s="16" t="s">
        <v>406</v>
      </c>
      <c r="M12" s="17">
        <v>20000</v>
      </c>
      <c r="N12" s="16" t="s">
        <v>79</v>
      </c>
      <c r="O12" s="16" t="s">
        <v>407</v>
      </c>
      <c r="P12" s="16" t="s">
        <v>85</v>
      </c>
      <c r="Q12" s="17">
        <v>20000</v>
      </c>
      <c r="R12" s="16" t="s">
        <v>85</v>
      </c>
      <c r="S12" s="16" t="s">
        <v>122</v>
      </c>
      <c r="T12" s="16" t="s">
        <v>370</v>
      </c>
      <c r="U12" s="39">
        <v>1237053.4099999999</v>
      </c>
      <c r="V12" s="16" t="s">
        <v>85</v>
      </c>
      <c r="W12" s="16" t="s">
        <v>85</v>
      </c>
      <c r="X12" s="16" t="s">
        <v>86</v>
      </c>
      <c r="Y12" s="16" t="s">
        <v>371</v>
      </c>
      <c r="Z12" s="16" t="s">
        <v>372</v>
      </c>
      <c r="AA12" s="16" t="s">
        <v>89</v>
      </c>
      <c r="AB12" s="16" t="s">
        <v>85</v>
      </c>
      <c r="AC12" s="16" t="s">
        <v>98</v>
      </c>
      <c r="AD12" s="16" t="s">
        <v>85</v>
      </c>
      <c r="AE12" s="16" t="s">
        <v>85</v>
      </c>
      <c r="AF12" s="16" t="s">
        <v>91</v>
      </c>
      <c r="AG12" s="16" t="s">
        <v>85</v>
      </c>
      <c r="AH12" s="16" t="s">
        <v>91</v>
      </c>
      <c r="AI12" s="17">
        <v>20000</v>
      </c>
      <c r="AJ12" s="16" t="s">
        <v>79</v>
      </c>
      <c r="AK12" s="16" t="s">
        <v>79</v>
      </c>
      <c r="AL12" s="17">
        <v>20000</v>
      </c>
      <c r="AM12" s="16" t="s">
        <v>371</v>
      </c>
      <c r="AN12" s="16" t="s">
        <v>85</v>
      </c>
      <c r="AO12" s="16" t="s">
        <v>85</v>
      </c>
      <c r="AP12" s="16" t="s">
        <v>107</v>
      </c>
      <c r="AQ12" s="16" t="s">
        <v>85</v>
      </c>
      <c r="AR12" s="16" t="s">
        <v>85</v>
      </c>
      <c r="AS12" s="39">
        <v>0</v>
      </c>
      <c r="AT12" s="39">
        <v>0</v>
      </c>
      <c r="AU12" s="16" t="s">
        <v>91</v>
      </c>
      <c r="AV12" s="16" t="s">
        <v>85</v>
      </c>
      <c r="AW12" s="16" t="s">
        <v>91</v>
      </c>
      <c r="AX12" s="16" t="s">
        <v>91</v>
      </c>
      <c r="AY12" s="16" t="s">
        <v>85</v>
      </c>
      <c r="AZ12" s="16" t="s">
        <v>93</v>
      </c>
      <c r="BA12" s="16" t="s">
        <v>85</v>
      </c>
      <c r="BB12" s="16" t="s">
        <v>85</v>
      </c>
      <c r="BC12" s="16" t="s">
        <v>91</v>
      </c>
      <c r="BD12" s="16" t="s">
        <v>79</v>
      </c>
      <c r="BE12" s="16" t="s">
        <v>300</v>
      </c>
      <c r="BF12" s="16" t="s">
        <v>85</v>
      </c>
      <c r="BG12" s="16" t="s">
        <v>85</v>
      </c>
      <c r="BH12" s="16" t="s">
        <v>85</v>
      </c>
      <c r="BI12" s="16" t="s">
        <v>91</v>
      </c>
      <c r="BJ12" s="16" t="s">
        <v>91</v>
      </c>
      <c r="BK12" s="16" t="s">
        <v>85</v>
      </c>
      <c r="BL12" s="16" t="s">
        <v>85</v>
      </c>
      <c r="BM12" s="16" t="s">
        <v>95</v>
      </c>
      <c r="BN12" s="16" t="s">
        <v>96</v>
      </c>
      <c r="BO12" s="39">
        <v>0</v>
      </c>
      <c r="BP12" s="16" t="s">
        <v>85</v>
      </c>
      <c r="BQ12" s="16" t="s">
        <v>85</v>
      </c>
      <c r="BR12" s="16" t="s">
        <v>91</v>
      </c>
      <c r="BS12" s="16" t="s">
        <v>85</v>
      </c>
      <c r="BT12" s="16" t="s">
        <v>388</v>
      </c>
      <c r="BU12" s="16"/>
      <c r="BV12" s="16" t="s">
        <v>389</v>
      </c>
      <c r="BW12" s="16" t="s">
        <v>1219</v>
      </c>
      <c r="BX12" s="16" t="s">
        <v>1323</v>
      </c>
      <c r="BY12" s="7" t="s">
        <v>391</v>
      </c>
    </row>
    <row r="13" spans="1:77" s="7" customFormat="1">
      <c r="A13" s="14">
        <v>46037</v>
      </c>
      <c r="B13" s="14">
        <v>46037</v>
      </c>
      <c r="C13" s="15">
        <v>0.72042824074073997</v>
      </c>
      <c r="D13" s="16" t="s">
        <v>408</v>
      </c>
      <c r="E13" s="14">
        <v>46037</v>
      </c>
      <c r="F13" s="16" t="s">
        <v>364</v>
      </c>
      <c r="G13" s="16" t="s">
        <v>365</v>
      </c>
      <c r="H13" s="16" t="str">
        <f>VLOOKUP(G13,[1]Sheet3!A:B,2,0)</f>
        <v>ADMD</v>
      </c>
      <c r="I13" s="16" t="s">
        <v>76</v>
      </c>
      <c r="J13" s="16" t="s">
        <v>404</v>
      </c>
      <c r="K13" s="16" t="s">
        <v>409</v>
      </c>
      <c r="L13" s="16" t="s">
        <v>410</v>
      </c>
      <c r="M13" s="17">
        <v>30000</v>
      </c>
      <c r="N13" s="16" t="s">
        <v>79</v>
      </c>
      <c r="O13" s="16" t="s">
        <v>411</v>
      </c>
      <c r="P13" s="16" t="s">
        <v>85</v>
      </c>
      <c r="Q13" s="17">
        <v>30000</v>
      </c>
      <c r="R13" s="16" t="s">
        <v>85</v>
      </c>
      <c r="S13" s="16" t="s">
        <v>122</v>
      </c>
      <c r="T13" s="16" t="s">
        <v>370</v>
      </c>
      <c r="U13" s="39">
        <v>1801322.34</v>
      </c>
      <c r="V13" s="16" t="s">
        <v>85</v>
      </c>
      <c r="W13" s="16" t="s">
        <v>85</v>
      </c>
      <c r="X13" s="16" t="s">
        <v>86</v>
      </c>
      <c r="Y13" s="16" t="s">
        <v>371</v>
      </c>
      <c r="Z13" s="16" t="s">
        <v>372</v>
      </c>
      <c r="AA13" s="16" t="s">
        <v>89</v>
      </c>
      <c r="AB13" s="16" t="s">
        <v>85</v>
      </c>
      <c r="AC13" s="16" t="s">
        <v>90</v>
      </c>
      <c r="AD13" s="16" t="s">
        <v>85</v>
      </c>
      <c r="AE13" s="16" t="s">
        <v>85</v>
      </c>
      <c r="AF13" s="16" t="s">
        <v>91</v>
      </c>
      <c r="AG13" s="16" t="s">
        <v>85</v>
      </c>
      <c r="AH13" s="16" t="s">
        <v>91</v>
      </c>
      <c r="AI13" s="17">
        <v>30000</v>
      </c>
      <c r="AJ13" s="16" t="s">
        <v>79</v>
      </c>
      <c r="AK13" s="16" t="s">
        <v>79</v>
      </c>
      <c r="AL13" s="17">
        <v>30000</v>
      </c>
      <c r="AM13" s="16" t="s">
        <v>371</v>
      </c>
      <c r="AN13" s="16" t="s">
        <v>85</v>
      </c>
      <c r="AO13" s="16" t="s">
        <v>85</v>
      </c>
      <c r="AP13" s="16" t="s">
        <v>92</v>
      </c>
      <c r="AQ13" s="16" t="s">
        <v>85</v>
      </c>
      <c r="AR13" s="16" t="s">
        <v>85</v>
      </c>
      <c r="AS13" s="39">
        <v>0</v>
      </c>
      <c r="AT13" s="39">
        <v>0</v>
      </c>
      <c r="AU13" s="16" t="s">
        <v>91</v>
      </c>
      <c r="AV13" s="16" t="s">
        <v>85</v>
      </c>
      <c r="AW13" s="16" t="s">
        <v>91</v>
      </c>
      <c r="AX13" s="16" t="s">
        <v>91</v>
      </c>
      <c r="AY13" s="16" t="s">
        <v>85</v>
      </c>
      <c r="AZ13" s="16" t="s">
        <v>93</v>
      </c>
      <c r="BA13" s="16" t="s">
        <v>85</v>
      </c>
      <c r="BB13" s="16" t="s">
        <v>85</v>
      </c>
      <c r="BC13" s="16" t="s">
        <v>91</v>
      </c>
      <c r="BD13" s="16" t="s">
        <v>79</v>
      </c>
      <c r="BE13" s="16" t="s">
        <v>300</v>
      </c>
      <c r="BF13" s="16" t="s">
        <v>85</v>
      </c>
      <c r="BG13" s="16" t="s">
        <v>85</v>
      </c>
      <c r="BH13" s="16" t="s">
        <v>85</v>
      </c>
      <c r="BI13" s="16" t="s">
        <v>91</v>
      </c>
      <c r="BJ13" s="16" t="s">
        <v>91</v>
      </c>
      <c r="BK13" s="16" t="s">
        <v>85</v>
      </c>
      <c r="BL13" s="16" t="s">
        <v>85</v>
      </c>
      <c r="BM13" s="16" t="s">
        <v>95</v>
      </c>
      <c r="BN13" s="16" t="s">
        <v>96</v>
      </c>
      <c r="BO13" s="39">
        <v>0</v>
      </c>
      <c r="BP13" s="16" t="s">
        <v>85</v>
      </c>
      <c r="BQ13" s="16" t="s">
        <v>85</v>
      </c>
      <c r="BR13" s="16" t="s">
        <v>91</v>
      </c>
      <c r="BS13" s="16" t="s">
        <v>85</v>
      </c>
      <c r="BT13" s="16" t="s">
        <v>388</v>
      </c>
      <c r="BU13" s="16"/>
      <c r="BV13" s="16" t="s">
        <v>389</v>
      </c>
      <c r="BW13" s="16" t="s">
        <v>1219</v>
      </c>
      <c r="BX13" s="16" t="s">
        <v>1323</v>
      </c>
      <c r="BY13" s="7" t="s">
        <v>391</v>
      </c>
    </row>
    <row r="14" spans="1:77" s="7" customFormat="1">
      <c r="A14" s="14">
        <v>46037</v>
      </c>
      <c r="B14" s="14">
        <v>46037</v>
      </c>
      <c r="C14" s="15">
        <v>0.72042824074073997</v>
      </c>
      <c r="D14" s="16" t="s">
        <v>412</v>
      </c>
      <c r="E14" s="14">
        <v>46037</v>
      </c>
      <c r="F14" s="16" t="s">
        <v>364</v>
      </c>
      <c r="G14" s="16" t="s">
        <v>365</v>
      </c>
      <c r="H14" s="16" t="str">
        <f>VLOOKUP(G14,[1]Sheet3!A:B,2,0)</f>
        <v>ADMD</v>
      </c>
      <c r="I14" s="16" t="s">
        <v>76</v>
      </c>
      <c r="J14" s="16" t="s">
        <v>404</v>
      </c>
      <c r="K14" s="16" t="s">
        <v>413</v>
      </c>
      <c r="L14" s="16" t="s">
        <v>301</v>
      </c>
      <c r="M14" s="17">
        <v>85000</v>
      </c>
      <c r="N14" s="16" t="s">
        <v>79</v>
      </c>
      <c r="O14" s="16" t="s">
        <v>411</v>
      </c>
      <c r="P14" s="16" t="s">
        <v>85</v>
      </c>
      <c r="Q14" s="17">
        <v>85000</v>
      </c>
      <c r="R14" s="16" t="s">
        <v>85</v>
      </c>
      <c r="S14" s="16" t="s">
        <v>122</v>
      </c>
      <c r="T14" s="16" t="s">
        <v>370</v>
      </c>
      <c r="U14" s="39">
        <v>5335236.9000000004</v>
      </c>
      <c r="V14" s="16" t="s">
        <v>85</v>
      </c>
      <c r="W14" s="16" t="s">
        <v>85</v>
      </c>
      <c r="X14" s="16" t="s">
        <v>86</v>
      </c>
      <c r="Y14" s="16" t="s">
        <v>371</v>
      </c>
      <c r="Z14" s="16" t="s">
        <v>372</v>
      </c>
      <c r="AA14" s="16" t="s">
        <v>89</v>
      </c>
      <c r="AB14" s="16" t="s">
        <v>85</v>
      </c>
      <c r="AC14" s="16" t="s">
        <v>112</v>
      </c>
      <c r="AD14" s="16" t="s">
        <v>85</v>
      </c>
      <c r="AE14" s="16" t="s">
        <v>85</v>
      </c>
      <c r="AF14" s="16" t="s">
        <v>91</v>
      </c>
      <c r="AG14" s="16" t="s">
        <v>85</v>
      </c>
      <c r="AH14" s="16" t="s">
        <v>91</v>
      </c>
      <c r="AI14" s="17">
        <v>85000</v>
      </c>
      <c r="AJ14" s="16" t="s">
        <v>79</v>
      </c>
      <c r="AK14" s="16" t="s">
        <v>79</v>
      </c>
      <c r="AL14" s="17">
        <v>85000</v>
      </c>
      <c r="AM14" s="16" t="s">
        <v>371</v>
      </c>
      <c r="AN14" s="16" t="s">
        <v>85</v>
      </c>
      <c r="AO14" s="16" t="s">
        <v>85</v>
      </c>
      <c r="AP14" s="16" t="s">
        <v>135</v>
      </c>
      <c r="AQ14" s="16" t="s">
        <v>85</v>
      </c>
      <c r="AR14" s="16" t="s">
        <v>85</v>
      </c>
      <c r="AS14" s="39">
        <v>0</v>
      </c>
      <c r="AT14" s="39">
        <v>0</v>
      </c>
      <c r="AU14" s="16" t="s">
        <v>91</v>
      </c>
      <c r="AV14" s="16" t="s">
        <v>85</v>
      </c>
      <c r="AW14" s="16" t="s">
        <v>91</v>
      </c>
      <c r="AX14" s="16" t="s">
        <v>91</v>
      </c>
      <c r="AY14" s="16" t="s">
        <v>85</v>
      </c>
      <c r="AZ14" s="16" t="s">
        <v>93</v>
      </c>
      <c r="BA14" s="16" t="s">
        <v>85</v>
      </c>
      <c r="BB14" s="16" t="s">
        <v>85</v>
      </c>
      <c r="BC14" s="16" t="s">
        <v>91</v>
      </c>
      <c r="BD14" s="16" t="s">
        <v>79</v>
      </c>
      <c r="BE14" s="16" t="s">
        <v>300</v>
      </c>
      <c r="BF14" s="16" t="s">
        <v>85</v>
      </c>
      <c r="BG14" s="16" t="s">
        <v>85</v>
      </c>
      <c r="BH14" s="16" t="s">
        <v>85</v>
      </c>
      <c r="BI14" s="16" t="s">
        <v>91</v>
      </c>
      <c r="BJ14" s="16" t="s">
        <v>91</v>
      </c>
      <c r="BK14" s="16" t="s">
        <v>85</v>
      </c>
      <c r="BL14" s="16" t="s">
        <v>85</v>
      </c>
      <c r="BM14" s="16" t="s">
        <v>95</v>
      </c>
      <c r="BN14" s="16" t="s">
        <v>96</v>
      </c>
      <c r="BO14" s="39">
        <v>0</v>
      </c>
      <c r="BP14" s="16" t="s">
        <v>85</v>
      </c>
      <c r="BQ14" s="16" t="s">
        <v>85</v>
      </c>
      <c r="BR14" s="16" t="s">
        <v>91</v>
      </c>
      <c r="BS14" s="16" t="s">
        <v>85</v>
      </c>
      <c r="BT14" s="16" t="s">
        <v>388</v>
      </c>
      <c r="BU14" s="16"/>
      <c r="BV14" s="16" t="s">
        <v>389</v>
      </c>
      <c r="BW14" s="16" t="s">
        <v>1219</v>
      </c>
      <c r="BX14" s="16" t="s">
        <v>1323</v>
      </c>
      <c r="BY14" s="7" t="s">
        <v>391</v>
      </c>
    </row>
    <row r="15" spans="1:77" s="7" customFormat="1">
      <c r="A15" s="14">
        <v>46037</v>
      </c>
      <c r="B15" s="14">
        <v>46037</v>
      </c>
      <c r="C15" s="15">
        <v>0.72087962962963004</v>
      </c>
      <c r="D15" s="16" t="s">
        <v>414</v>
      </c>
      <c r="E15" s="14">
        <v>46037</v>
      </c>
      <c r="F15" s="16" t="s">
        <v>364</v>
      </c>
      <c r="G15" s="16" t="s">
        <v>365</v>
      </c>
      <c r="H15" s="16" t="str">
        <f>VLOOKUP(G15,[1]Sheet3!A:B,2,0)</f>
        <v>ADMD</v>
      </c>
      <c r="I15" s="16" t="s">
        <v>76</v>
      </c>
      <c r="J15" s="16" t="s">
        <v>415</v>
      </c>
      <c r="K15" s="16" t="s">
        <v>416</v>
      </c>
      <c r="L15" s="16" t="s">
        <v>417</v>
      </c>
      <c r="M15" s="17">
        <v>10000</v>
      </c>
      <c r="N15" s="16" t="s">
        <v>79</v>
      </c>
      <c r="O15" s="16" t="s">
        <v>418</v>
      </c>
      <c r="P15" s="16" t="s">
        <v>85</v>
      </c>
      <c r="Q15" s="17">
        <v>10000</v>
      </c>
      <c r="R15" s="16" t="s">
        <v>85</v>
      </c>
      <c r="S15" s="16" t="s">
        <v>122</v>
      </c>
      <c r="T15" s="16" t="s">
        <v>370</v>
      </c>
      <c r="U15" s="39">
        <v>3097093.37</v>
      </c>
      <c r="V15" s="16" t="s">
        <v>85</v>
      </c>
      <c r="W15" s="16" t="s">
        <v>85</v>
      </c>
      <c r="X15" s="16" t="s">
        <v>86</v>
      </c>
      <c r="Y15" s="16" t="s">
        <v>371</v>
      </c>
      <c r="Z15" s="16" t="s">
        <v>372</v>
      </c>
      <c r="AA15" s="16" t="s">
        <v>89</v>
      </c>
      <c r="AB15" s="16" t="s">
        <v>85</v>
      </c>
      <c r="AC15" s="16" t="s">
        <v>98</v>
      </c>
      <c r="AD15" s="16" t="s">
        <v>85</v>
      </c>
      <c r="AE15" s="16" t="s">
        <v>85</v>
      </c>
      <c r="AF15" s="16" t="s">
        <v>91</v>
      </c>
      <c r="AG15" s="16" t="s">
        <v>85</v>
      </c>
      <c r="AH15" s="16" t="s">
        <v>91</v>
      </c>
      <c r="AI15" s="17">
        <v>10000</v>
      </c>
      <c r="AJ15" s="16" t="s">
        <v>79</v>
      </c>
      <c r="AK15" s="16" t="s">
        <v>79</v>
      </c>
      <c r="AL15" s="17">
        <v>10000</v>
      </c>
      <c r="AM15" s="16" t="s">
        <v>371</v>
      </c>
      <c r="AN15" s="16" t="s">
        <v>85</v>
      </c>
      <c r="AO15" s="16" t="s">
        <v>85</v>
      </c>
      <c r="AP15" s="16" t="s">
        <v>118</v>
      </c>
      <c r="AQ15" s="16" t="s">
        <v>85</v>
      </c>
      <c r="AR15" s="16" t="s">
        <v>85</v>
      </c>
      <c r="AS15" s="39">
        <v>0</v>
      </c>
      <c r="AT15" s="39">
        <v>0</v>
      </c>
      <c r="AU15" s="16" t="s">
        <v>91</v>
      </c>
      <c r="AV15" s="16" t="s">
        <v>85</v>
      </c>
      <c r="AW15" s="16" t="s">
        <v>91</v>
      </c>
      <c r="AX15" s="16" t="s">
        <v>91</v>
      </c>
      <c r="AY15" s="16" t="s">
        <v>85</v>
      </c>
      <c r="AZ15" s="16" t="s">
        <v>93</v>
      </c>
      <c r="BA15" s="16" t="s">
        <v>85</v>
      </c>
      <c r="BB15" s="16" t="s">
        <v>85</v>
      </c>
      <c r="BC15" s="16" t="s">
        <v>91</v>
      </c>
      <c r="BD15" s="16" t="s">
        <v>79</v>
      </c>
      <c r="BE15" s="16" t="s">
        <v>300</v>
      </c>
      <c r="BF15" s="16" t="s">
        <v>85</v>
      </c>
      <c r="BG15" s="16" t="s">
        <v>85</v>
      </c>
      <c r="BH15" s="16" t="s">
        <v>85</v>
      </c>
      <c r="BI15" s="16" t="s">
        <v>91</v>
      </c>
      <c r="BJ15" s="16" t="s">
        <v>91</v>
      </c>
      <c r="BK15" s="16" t="s">
        <v>85</v>
      </c>
      <c r="BL15" s="16" t="s">
        <v>85</v>
      </c>
      <c r="BM15" s="16" t="s">
        <v>95</v>
      </c>
      <c r="BN15" s="16" t="s">
        <v>96</v>
      </c>
      <c r="BO15" s="39">
        <v>0</v>
      </c>
      <c r="BP15" s="16" t="s">
        <v>85</v>
      </c>
      <c r="BQ15" s="16" t="s">
        <v>85</v>
      </c>
      <c r="BR15" s="16" t="s">
        <v>91</v>
      </c>
      <c r="BS15" s="16" t="s">
        <v>85</v>
      </c>
      <c r="BT15" s="16" t="s">
        <v>388</v>
      </c>
      <c r="BU15" s="16"/>
      <c r="BV15" s="16" t="s">
        <v>389</v>
      </c>
      <c r="BW15" s="16" t="s">
        <v>1219</v>
      </c>
      <c r="BX15" s="16" t="s">
        <v>1323</v>
      </c>
      <c r="BY15" s="7" t="s">
        <v>391</v>
      </c>
    </row>
    <row r="16" spans="1:77" s="7" customFormat="1">
      <c r="A16" s="14">
        <v>46037</v>
      </c>
      <c r="B16" s="14">
        <v>46037</v>
      </c>
      <c r="C16" s="15">
        <v>0.72138888888888997</v>
      </c>
      <c r="D16" s="16" t="s">
        <v>414</v>
      </c>
      <c r="E16" s="14">
        <v>46037</v>
      </c>
      <c r="F16" s="16" t="s">
        <v>364</v>
      </c>
      <c r="G16" s="16" t="s">
        <v>365</v>
      </c>
      <c r="H16" s="16" t="str">
        <f>VLOOKUP(G16,[1]Sheet3!A:B,2,0)</f>
        <v>ADMD</v>
      </c>
      <c r="I16" s="16" t="s">
        <v>76</v>
      </c>
      <c r="J16" s="16" t="s">
        <v>419</v>
      </c>
      <c r="K16" s="16" t="s">
        <v>416</v>
      </c>
      <c r="L16" s="16" t="s">
        <v>417</v>
      </c>
      <c r="M16" s="17">
        <v>5000</v>
      </c>
      <c r="N16" s="16" t="s">
        <v>79</v>
      </c>
      <c r="O16" s="16" t="s">
        <v>418</v>
      </c>
      <c r="P16" s="16" t="s">
        <v>85</v>
      </c>
      <c r="Q16" s="17">
        <v>5000</v>
      </c>
      <c r="R16" s="16" t="s">
        <v>85</v>
      </c>
      <c r="S16" s="16" t="s">
        <v>122</v>
      </c>
      <c r="T16" s="16" t="s">
        <v>370</v>
      </c>
      <c r="U16" s="39">
        <v>1548546.7</v>
      </c>
      <c r="V16" s="16" t="s">
        <v>85</v>
      </c>
      <c r="W16" s="16" t="s">
        <v>85</v>
      </c>
      <c r="X16" s="16" t="s">
        <v>86</v>
      </c>
      <c r="Y16" s="16" t="s">
        <v>371</v>
      </c>
      <c r="Z16" s="16" t="s">
        <v>372</v>
      </c>
      <c r="AA16" s="16" t="s">
        <v>89</v>
      </c>
      <c r="AB16" s="16" t="s">
        <v>85</v>
      </c>
      <c r="AC16" s="16" t="s">
        <v>98</v>
      </c>
      <c r="AD16" s="16" t="s">
        <v>85</v>
      </c>
      <c r="AE16" s="16" t="s">
        <v>85</v>
      </c>
      <c r="AF16" s="16" t="s">
        <v>91</v>
      </c>
      <c r="AG16" s="16" t="s">
        <v>85</v>
      </c>
      <c r="AH16" s="16" t="s">
        <v>91</v>
      </c>
      <c r="AI16" s="17">
        <v>5000</v>
      </c>
      <c r="AJ16" s="16" t="s">
        <v>79</v>
      </c>
      <c r="AK16" s="16" t="s">
        <v>79</v>
      </c>
      <c r="AL16" s="17">
        <v>5000</v>
      </c>
      <c r="AM16" s="16" t="s">
        <v>371</v>
      </c>
      <c r="AN16" s="16" t="s">
        <v>85</v>
      </c>
      <c r="AO16" s="16" t="s">
        <v>85</v>
      </c>
      <c r="AP16" s="16" t="s">
        <v>118</v>
      </c>
      <c r="AQ16" s="16" t="s">
        <v>85</v>
      </c>
      <c r="AR16" s="16" t="s">
        <v>85</v>
      </c>
      <c r="AS16" s="39">
        <v>0</v>
      </c>
      <c r="AT16" s="39">
        <v>0</v>
      </c>
      <c r="AU16" s="16" t="s">
        <v>91</v>
      </c>
      <c r="AV16" s="16" t="s">
        <v>85</v>
      </c>
      <c r="AW16" s="16" t="s">
        <v>91</v>
      </c>
      <c r="AX16" s="16" t="s">
        <v>91</v>
      </c>
      <c r="AY16" s="16" t="s">
        <v>85</v>
      </c>
      <c r="AZ16" s="16" t="s">
        <v>93</v>
      </c>
      <c r="BA16" s="16" t="s">
        <v>85</v>
      </c>
      <c r="BB16" s="16" t="s">
        <v>85</v>
      </c>
      <c r="BC16" s="16" t="s">
        <v>91</v>
      </c>
      <c r="BD16" s="16" t="s">
        <v>79</v>
      </c>
      <c r="BE16" s="16" t="s">
        <v>300</v>
      </c>
      <c r="BF16" s="16" t="s">
        <v>85</v>
      </c>
      <c r="BG16" s="16" t="s">
        <v>85</v>
      </c>
      <c r="BH16" s="16" t="s">
        <v>85</v>
      </c>
      <c r="BI16" s="16" t="s">
        <v>91</v>
      </c>
      <c r="BJ16" s="16" t="s">
        <v>91</v>
      </c>
      <c r="BK16" s="16" t="s">
        <v>85</v>
      </c>
      <c r="BL16" s="16" t="s">
        <v>85</v>
      </c>
      <c r="BM16" s="16" t="s">
        <v>95</v>
      </c>
      <c r="BN16" s="16" t="s">
        <v>96</v>
      </c>
      <c r="BO16" s="39">
        <v>0</v>
      </c>
      <c r="BP16" s="16" t="s">
        <v>85</v>
      </c>
      <c r="BQ16" s="16" t="s">
        <v>85</v>
      </c>
      <c r="BR16" s="16" t="s">
        <v>91</v>
      </c>
      <c r="BS16" s="16" t="s">
        <v>85</v>
      </c>
      <c r="BT16" s="16" t="s">
        <v>388</v>
      </c>
      <c r="BU16" s="16"/>
      <c r="BV16" s="16" t="s">
        <v>389</v>
      </c>
      <c r="BW16" s="16" t="s">
        <v>1219</v>
      </c>
      <c r="BX16" s="16" t="s">
        <v>1323</v>
      </c>
      <c r="BY16" s="7" t="s">
        <v>391</v>
      </c>
    </row>
    <row r="17" spans="1:76" s="7" customFormat="1">
      <c r="A17" s="14">
        <v>46050</v>
      </c>
      <c r="B17" s="14">
        <v>46050</v>
      </c>
      <c r="C17" s="15">
        <v>0.45640046296296</v>
      </c>
      <c r="D17" s="16" t="s">
        <v>420</v>
      </c>
      <c r="E17" s="14">
        <v>46050</v>
      </c>
      <c r="F17" s="16" t="s">
        <v>421</v>
      </c>
      <c r="G17" s="16" t="s">
        <v>394</v>
      </c>
      <c r="H17" s="16" t="str">
        <f>VLOOKUP(G17,[1]Sheet3!A:B,2,0)</f>
        <v>TG</v>
      </c>
      <c r="I17" s="16" t="s">
        <v>76</v>
      </c>
      <c r="J17" s="16" t="s">
        <v>422</v>
      </c>
      <c r="K17" s="16" t="s">
        <v>423</v>
      </c>
      <c r="L17" s="16" t="s">
        <v>424</v>
      </c>
      <c r="M17" s="17">
        <v>560</v>
      </c>
      <c r="N17" s="16" t="s">
        <v>219</v>
      </c>
      <c r="O17" s="16" t="s">
        <v>121</v>
      </c>
      <c r="P17" s="16" t="s">
        <v>85</v>
      </c>
      <c r="Q17" s="17">
        <v>560</v>
      </c>
      <c r="R17" s="16" t="s">
        <v>85</v>
      </c>
      <c r="S17" s="16" t="s">
        <v>122</v>
      </c>
      <c r="T17" s="16" t="s">
        <v>370</v>
      </c>
      <c r="U17" s="39">
        <v>1685378.96</v>
      </c>
      <c r="V17" s="16" t="s">
        <v>85</v>
      </c>
      <c r="W17" s="16" t="s">
        <v>85</v>
      </c>
      <c r="X17" s="16" t="s">
        <v>86</v>
      </c>
      <c r="Y17" s="16" t="s">
        <v>371</v>
      </c>
      <c r="Z17" s="16" t="s">
        <v>372</v>
      </c>
      <c r="AA17" s="16" t="s">
        <v>89</v>
      </c>
      <c r="AB17" s="16" t="s">
        <v>85</v>
      </c>
      <c r="AC17" s="16" t="s">
        <v>98</v>
      </c>
      <c r="AD17" s="16" t="s">
        <v>85</v>
      </c>
      <c r="AE17" s="16" t="s">
        <v>85</v>
      </c>
      <c r="AF17" s="16" t="s">
        <v>91</v>
      </c>
      <c r="AG17" s="16" t="s">
        <v>85</v>
      </c>
      <c r="AH17" s="16" t="s">
        <v>91</v>
      </c>
      <c r="AI17" s="17">
        <v>560</v>
      </c>
      <c r="AJ17" s="16" t="s">
        <v>219</v>
      </c>
      <c r="AK17" s="16" t="s">
        <v>219</v>
      </c>
      <c r="AL17" s="17">
        <v>560</v>
      </c>
      <c r="AM17" s="16" t="s">
        <v>371</v>
      </c>
      <c r="AN17" s="16" t="s">
        <v>85</v>
      </c>
      <c r="AO17" s="16" t="s">
        <v>85</v>
      </c>
      <c r="AP17" s="16" t="s">
        <v>118</v>
      </c>
      <c r="AQ17" s="16" t="s">
        <v>85</v>
      </c>
      <c r="AR17" s="16" t="s">
        <v>85</v>
      </c>
      <c r="AS17" s="39">
        <v>0</v>
      </c>
      <c r="AT17" s="39">
        <v>0</v>
      </c>
      <c r="AU17" s="16" t="s">
        <v>91</v>
      </c>
      <c r="AV17" s="16" t="s">
        <v>85</v>
      </c>
      <c r="AW17" s="16" t="s">
        <v>91</v>
      </c>
      <c r="AX17" s="16" t="s">
        <v>91</v>
      </c>
      <c r="AY17" s="16" t="s">
        <v>85</v>
      </c>
      <c r="AZ17" s="16" t="s">
        <v>93</v>
      </c>
      <c r="BA17" s="16" t="s">
        <v>85</v>
      </c>
      <c r="BB17" s="16" t="s">
        <v>85</v>
      </c>
      <c r="BC17" s="16" t="s">
        <v>91</v>
      </c>
      <c r="BD17" s="16" t="s">
        <v>219</v>
      </c>
      <c r="BE17" s="16" t="s">
        <v>300</v>
      </c>
      <c r="BF17" s="16" t="s">
        <v>85</v>
      </c>
      <c r="BG17" s="16" t="s">
        <v>85</v>
      </c>
      <c r="BH17" s="16" t="s">
        <v>85</v>
      </c>
      <c r="BI17" s="16" t="s">
        <v>91</v>
      </c>
      <c r="BJ17" s="16" t="s">
        <v>91</v>
      </c>
      <c r="BK17" s="16" t="s">
        <v>85</v>
      </c>
      <c r="BL17" s="16" t="s">
        <v>85</v>
      </c>
      <c r="BM17" s="16" t="s">
        <v>95</v>
      </c>
      <c r="BN17" s="16" t="s">
        <v>96</v>
      </c>
      <c r="BO17" s="39">
        <v>0</v>
      </c>
      <c r="BP17" s="16" t="s">
        <v>85</v>
      </c>
      <c r="BQ17" s="16" t="s">
        <v>85</v>
      </c>
      <c r="BR17" s="16" t="s">
        <v>91</v>
      </c>
      <c r="BS17" s="16" t="s">
        <v>85</v>
      </c>
      <c r="BT17" s="16" t="s">
        <v>388</v>
      </c>
      <c r="BU17" s="16" t="s">
        <v>1224</v>
      </c>
      <c r="BV17" s="16" t="s">
        <v>389</v>
      </c>
      <c r="BW17" s="16" t="s">
        <v>1231</v>
      </c>
      <c r="BX17" s="16" t="s">
        <v>1322</v>
      </c>
    </row>
    <row r="18" spans="1:76" s="7" customFormat="1">
      <c r="A18" s="14">
        <v>46050</v>
      </c>
      <c r="B18" s="14">
        <v>46050</v>
      </c>
      <c r="C18" s="15">
        <v>0.45640046296296</v>
      </c>
      <c r="D18" s="16" t="s">
        <v>425</v>
      </c>
      <c r="E18" s="14">
        <v>46050</v>
      </c>
      <c r="F18" s="16" t="s">
        <v>421</v>
      </c>
      <c r="G18" s="16" t="s">
        <v>394</v>
      </c>
      <c r="H18" s="16" t="str">
        <f>VLOOKUP(G18,[1]Sheet3!A:B,2,0)</f>
        <v>TG</v>
      </c>
      <c r="I18" s="16" t="s">
        <v>76</v>
      </c>
      <c r="J18" s="16" t="s">
        <v>422</v>
      </c>
      <c r="K18" s="16" t="s">
        <v>426</v>
      </c>
      <c r="L18" s="16" t="s">
        <v>270</v>
      </c>
      <c r="M18" s="17">
        <v>32</v>
      </c>
      <c r="N18" s="16" t="s">
        <v>219</v>
      </c>
      <c r="O18" s="16" t="s">
        <v>121</v>
      </c>
      <c r="P18" s="16" t="s">
        <v>85</v>
      </c>
      <c r="Q18" s="17">
        <v>32</v>
      </c>
      <c r="R18" s="16" t="s">
        <v>85</v>
      </c>
      <c r="S18" s="16" t="s">
        <v>122</v>
      </c>
      <c r="T18" s="16" t="s">
        <v>370</v>
      </c>
      <c r="U18" s="39">
        <v>112920.56</v>
      </c>
      <c r="V18" s="16" t="s">
        <v>85</v>
      </c>
      <c r="W18" s="16" t="s">
        <v>85</v>
      </c>
      <c r="X18" s="16" t="s">
        <v>86</v>
      </c>
      <c r="Y18" s="16" t="s">
        <v>371</v>
      </c>
      <c r="Z18" s="16" t="s">
        <v>372</v>
      </c>
      <c r="AA18" s="16" t="s">
        <v>89</v>
      </c>
      <c r="AB18" s="16" t="s">
        <v>85</v>
      </c>
      <c r="AC18" s="16" t="s">
        <v>90</v>
      </c>
      <c r="AD18" s="16" t="s">
        <v>85</v>
      </c>
      <c r="AE18" s="16" t="s">
        <v>85</v>
      </c>
      <c r="AF18" s="16" t="s">
        <v>91</v>
      </c>
      <c r="AG18" s="16" t="s">
        <v>85</v>
      </c>
      <c r="AH18" s="16" t="s">
        <v>91</v>
      </c>
      <c r="AI18" s="17">
        <v>32</v>
      </c>
      <c r="AJ18" s="16" t="s">
        <v>219</v>
      </c>
      <c r="AK18" s="16" t="s">
        <v>219</v>
      </c>
      <c r="AL18" s="17">
        <v>32</v>
      </c>
      <c r="AM18" s="16" t="s">
        <v>371</v>
      </c>
      <c r="AN18" s="16" t="s">
        <v>85</v>
      </c>
      <c r="AO18" s="16" t="s">
        <v>85</v>
      </c>
      <c r="AP18" s="16" t="s">
        <v>107</v>
      </c>
      <c r="AQ18" s="16" t="s">
        <v>85</v>
      </c>
      <c r="AR18" s="16" t="s">
        <v>85</v>
      </c>
      <c r="AS18" s="39">
        <v>0</v>
      </c>
      <c r="AT18" s="39">
        <v>0</v>
      </c>
      <c r="AU18" s="16" t="s">
        <v>91</v>
      </c>
      <c r="AV18" s="16" t="s">
        <v>85</v>
      </c>
      <c r="AW18" s="16" t="s">
        <v>91</v>
      </c>
      <c r="AX18" s="16" t="s">
        <v>91</v>
      </c>
      <c r="AY18" s="16" t="s">
        <v>85</v>
      </c>
      <c r="AZ18" s="16" t="s">
        <v>93</v>
      </c>
      <c r="BA18" s="16" t="s">
        <v>85</v>
      </c>
      <c r="BB18" s="16" t="s">
        <v>85</v>
      </c>
      <c r="BC18" s="16" t="s">
        <v>91</v>
      </c>
      <c r="BD18" s="16" t="s">
        <v>219</v>
      </c>
      <c r="BE18" s="16" t="s">
        <v>300</v>
      </c>
      <c r="BF18" s="16" t="s">
        <v>85</v>
      </c>
      <c r="BG18" s="16" t="s">
        <v>85</v>
      </c>
      <c r="BH18" s="16" t="s">
        <v>85</v>
      </c>
      <c r="BI18" s="16" t="s">
        <v>91</v>
      </c>
      <c r="BJ18" s="16" t="s">
        <v>91</v>
      </c>
      <c r="BK18" s="16" t="s">
        <v>85</v>
      </c>
      <c r="BL18" s="16" t="s">
        <v>85</v>
      </c>
      <c r="BM18" s="16" t="s">
        <v>95</v>
      </c>
      <c r="BN18" s="16" t="s">
        <v>96</v>
      </c>
      <c r="BO18" s="39">
        <v>0</v>
      </c>
      <c r="BP18" s="16" t="s">
        <v>85</v>
      </c>
      <c r="BQ18" s="16" t="s">
        <v>85</v>
      </c>
      <c r="BR18" s="16" t="s">
        <v>91</v>
      </c>
      <c r="BS18" s="16" t="s">
        <v>85</v>
      </c>
      <c r="BT18" s="16" t="s">
        <v>388</v>
      </c>
      <c r="BU18" s="16" t="s">
        <v>1224</v>
      </c>
      <c r="BV18" s="16" t="s">
        <v>389</v>
      </c>
      <c r="BW18" s="16" t="s">
        <v>1231</v>
      </c>
      <c r="BX18" s="16" t="s">
        <v>1322</v>
      </c>
    </row>
    <row r="19" spans="1:76" s="7" customFormat="1">
      <c r="A19" s="14">
        <v>46050</v>
      </c>
      <c r="B19" s="14">
        <v>46050</v>
      </c>
      <c r="C19" s="15">
        <v>0.45640046296296</v>
      </c>
      <c r="D19" s="16" t="s">
        <v>427</v>
      </c>
      <c r="E19" s="14">
        <v>46050</v>
      </c>
      <c r="F19" s="16" t="s">
        <v>421</v>
      </c>
      <c r="G19" s="16" t="s">
        <v>394</v>
      </c>
      <c r="H19" s="16" t="str">
        <f>VLOOKUP(G19,[1]Sheet3!A:B,2,0)</f>
        <v>TG</v>
      </c>
      <c r="I19" s="16" t="s">
        <v>76</v>
      </c>
      <c r="J19" s="16" t="s">
        <v>422</v>
      </c>
      <c r="K19" s="16" t="s">
        <v>428</v>
      </c>
      <c r="L19" s="16" t="s">
        <v>357</v>
      </c>
      <c r="M19" s="17">
        <v>3440</v>
      </c>
      <c r="N19" s="16" t="s">
        <v>219</v>
      </c>
      <c r="O19" s="16" t="s">
        <v>121</v>
      </c>
      <c r="P19" s="16" t="s">
        <v>85</v>
      </c>
      <c r="Q19" s="17">
        <v>3440</v>
      </c>
      <c r="R19" s="16" t="s">
        <v>85</v>
      </c>
      <c r="S19" s="16" t="s">
        <v>122</v>
      </c>
      <c r="T19" s="16" t="s">
        <v>370</v>
      </c>
      <c r="U19" s="39">
        <v>12269878.26</v>
      </c>
      <c r="V19" s="16" t="s">
        <v>85</v>
      </c>
      <c r="W19" s="16" t="s">
        <v>85</v>
      </c>
      <c r="X19" s="16" t="s">
        <v>86</v>
      </c>
      <c r="Y19" s="16" t="s">
        <v>371</v>
      </c>
      <c r="Z19" s="16" t="s">
        <v>372</v>
      </c>
      <c r="AA19" s="16" t="s">
        <v>89</v>
      </c>
      <c r="AB19" s="16" t="s">
        <v>85</v>
      </c>
      <c r="AC19" s="16" t="s">
        <v>112</v>
      </c>
      <c r="AD19" s="16" t="s">
        <v>85</v>
      </c>
      <c r="AE19" s="16" t="s">
        <v>85</v>
      </c>
      <c r="AF19" s="16" t="s">
        <v>91</v>
      </c>
      <c r="AG19" s="16" t="s">
        <v>85</v>
      </c>
      <c r="AH19" s="16" t="s">
        <v>91</v>
      </c>
      <c r="AI19" s="17">
        <v>3440</v>
      </c>
      <c r="AJ19" s="16" t="s">
        <v>219</v>
      </c>
      <c r="AK19" s="16" t="s">
        <v>219</v>
      </c>
      <c r="AL19" s="17">
        <v>3440</v>
      </c>
      <c r="AM19" s="16" t="s">
        <v>371</v>
      </c>
      <c r="AN19" s="16" t="s">
        <v>85</v>
      </c>
      <c r="AO19" s="16" t="s">
        <v>85</v>
      </c>
      <c r="AP19" s="16" t="s">
        <v>92</v>
      </c>
      <c r="AQ19" s="16" t="s">
        <v>85</v>
      </c>
      <c r="AR19" s="16" t="s">
        <v>85</v>
      </c>
      <c r="AS19" s="39">
        <v>0</v>
      </c>
      <c r="AT19" s="39">
        <v>0</v>
      </c>
      <c r="AU19" s="16" t="s">
        <v>91</v>
      </c>
      <c r="AV19" s="16" t="s">
        <v>85</v>
      </c>
      <c r="AW19" s="16" t="s">
        <v>91</v>
      </c>
      <c r="AX19" s="16" t="s">
        <v>91</v>
      </c>
      <c r="AY19" s="16" t="s">
        <v>85</v>
      </c>
      <c r="AZ19" s="16" t="s">
        <v>93</v>
      </c>
      <c r="BA19" s="16" t="s">
        <v>85</v>
      </c>
      <c r="BB19" s="16" t="s">
        <v>85</v>
      </c>
      <c r="BC19" s="16" t="s">
        <v>91</v>
      </c>
      <c r="BD19" s="16" t="s">
        <v>219</v>
      </c>
      <c r="BE19" s="16" t="s">
        <v>300</v>
      </c>
      <c r="BF19" s="16" t="s">
        <v>85</v>
      </c>
      <c r="BG19" s="16" t="s">
        <v>85</v>
      </c>
      <c r="BH19" s="16" t="s">
        <v>85</v>
      </c>
      <c r="BI19" s="16" t="s">
        <v>91</v>
      </c>
      <c r="BJ19" s="16" t="s">
        <v>91</v>
      </c>
      <c r="BK19" s="16" t="s">
        <v>85</v>
      </c>
      <c r="BL19" s="16" t="s">
        <v>85</v>
      </c>
      <c r="BM19" s="16" t="s">
        <v>95</v>
      </c>
      <c r="BN19" s="16" t="s">
        <v>96</v>
      </c>
      <c r="BO19" s="39">
        <v>0</v>
      </c>
      <c r="BP19" s="16" t="s">
        <v>85</v>
      </c>
      <c r="BQ19" s="16" t="s">
        <v>85</v>
      </c>
      <c r="BR19" s="16" t="s">
        <v>91</v>
      </c>
      <c r="BS19" s="16" t="s">
        <v>85</v>
      </c>
      <c r="BT19" s="16" t="s">
        <v>388</v>
      </c>
      <c r="BU19" s="16" t="s">
        <v>1224</v>
      </c>
      <c r="BV19" s="16" t="s">
        <v>389</v>
      </c>
      <c r="BW19" s="16" t="s">
        <v>1231</v>
      </c>
      <c r="BX19" s="16" t="s">
        <v>1322</v>
      </c>
    </row>
    <row r="20" spans="1:76" s="7" customFormat="1">
      <c r="A20" s="14">
        <v>46050</v>
      </c>
      <c r="B20" s="14">
        <v>46050</v>
      </c>
      <c r="C20" s="15">
        <v>0.45640046296296</v>
      </c>
      <c r="D20" s="16" t="s">
        <v>429</v>
      </c>
      <c r="E20" s="14">
        <v>46050</v>
      </c>
      <c r="F20" s="16" t="s">
        <v>421</v>
      </c>
      <c r="G20" s="16" t="s">
        <v>394</v>
      </c>
      <c r="H20" s="16" t="str">
        <f>VLOOKUP(G20,[1]Sheet3!A:B,2,0)</f>
        <v>TG</v>
      </c>
      <c r="I20" s="16" t="s">
        <v>76</v>
      </c>
      <c r="J20" s="16" t="s">
        <v>422</v>
      </c>
      <c r="K20" s="16" t="s">
        <v>430</v>
      </c>
      <c r="L20" s="16" t="s">
        <v>431</v>
      </c>
      <c r="M20" s="17">
        <v>200</v>
      </c>
      <c r="N20" s="16" t="s">
        <v>219</v>
      </c>
      <c r="O20" s="16" t="s">
        <v>121</v>
      </c>
      <c r="P20" s="16" t="s">
        <v>85</v>
      </c>
      <c r="Q20" s="17">
        <v>200</v>
      </c>
      <c r="R20" s="16" t="s">
        <v>85</v>
      </c>
      <c r="S20" s="16" t="s">
        <v>122</v>
      </c>
      <c r="T20" s="16" t="s">
        <v>370</v>
      </c>
      <c r="U20" s="39">
        <v>602372.73</v>
      </c>
      <c r="V20" s="16" t="s">
        <v>85</v>
      </c>
      <c r="W20" s="16" t="s">
        <v>85</v>
      </c>
      <c r="X20" s="16" t="s">
        <v>86</v>
      </c>
      <c r="Y20" s="16" t="s">
        <v>371</v>
      </c>
      <c r="Z20" s="16" t="s">
        <v>372</v>
      </c>
      <c r="AA20" s="16" t="s">
        <v>89</v>
      </c>
      <c r="AB20" s="16" t="s">
        <v>85</v>
      </c>
      <c r="AC20" s="16" t="s">
        <v>134</v>
      </c>
      <c r="AD20" s="16" t="s">
        <v>85</v>
      </c>
      <c r="AE20" s="16" t="s">
        <v>85</v>
      </c>
      <c r="AF20" s="16" t="s">
        <v>91</v>
      </c>
      <c r="AG20" s="16" t="s">
        <v>85</v>
      </c>
      <c r="AH20" s="16" t="s">
        <v>91</v>
      </c>
      <c r="AI20" s="17">
        <v>200</v>
      </c>
      <c r="AJ20" s="16" t="s">
        <v>219</v>
      </c>
      <c r="AK20" s="16" t="s">
        <v>219</v>
      </c>
      <c r="AL20" s="17">
        <v>200</v>
      </c>
      <c r="AM20" s="16" t="s">
        <v>371</v>
      </c>
      <c r="AN20" s="16" t="s">
        <v>85</v>
      </c>
      <c r="AO20" s="16" t="s">
        <v>85</v>
      </c>
      <c r="AP20" s="16" t="s">
        <v>135</v>
      </c>
      <c r="AQ20" s="16" t="s">
        <v>85</v>
      </c>
      <c r="AR20" s="16" t="s">
        <v>85</v>
      </c>
      <c r="AS20" s="39">
        <v>0</v>
      </c>
      <c r="AT20" s="39">
        <v>0</v>
      </c>
      <c r="AU20" s="16" t="s">
        <v>91</v>
      </c>
      <c r="AV20" s="16" t="s">
        <v>85</v>
      </c>
      <c r="AW20" s="16" t="s">
        <v>91</v>
      </c>
      <c r="AX20" s="16" t="s">
        <v>91</v>
      </c>
      <c r="AY20" s="16" t="s">
        <v>85</v>
      </c>
      <c r="AZ20" s="16" t="s">
        <v>93</v>
      </c>
      <c r="BA20" s="16" t="s">
        <v>85</v>
      </c>
      <c r="BB20" s="16" t="s">
        <v>85</v>
      </c>
      <c r="BC20" s="16" t="s">
        <v>91</v>
      </c>
      <c r="BD20" s="16" t="s">
        <v>219</v>
      </c>
      <c r="BE20" s="16" t="s">
        <v>300</v>
      </c>
      <c r="BF20" s="16" t="s">
        <v>85</v>
      </c>
      <c r="BG20" s="16" t="s">
        <v>85</v>
      </c>
      <c r="BH20" s="16" t="s">
        <v>85</v>
      </c>
      <c r="BI20" s="16" t="s">
        <v>91</v>
      </c>
      <c r="BJ20" s="16" t="s">
        <v>91</v>
      </c>
      <c r="BK20" s="16" t="s">
        <v>85</v>
      </c>
      <c r="BL20" s="16" t="s">
        <v>85</v>
      </c>
      <c r="BM20" s="16" t="s">
        <v>95</v>
      </c>
      <c r="BN20" s="16" t="s">
        <v>96</v>
      </c>
      <c r="BO20" s="39">
        <v>0</v>
      </c>
      <c r="BP20" s="16" t="s">
        <v>85</v>
      </c>
      <c r="BQ20" s="16" t="s">
        <v>85</v>
      </c>
      <c r="BR20" s="16" t="s">
        <v>91</v>
      </c>
      <c r="BS20" s="16" t="s">
        <v>85</v>
      </c>
      <c r="BT20" s="16" t="s">
        <v>388</v>
      </c>
      <c r="BU20" s="16" t="s">
        <v>1224</v>
      </c>
      <c r="BV20" s="16" t="s">
        <v>389</v>
      </c>
      <c r="BW20" s="16" t="s">
        <v>1231</v>
      </c>
      <c r="BX20" s="16" t="s">
        <v>1322</v>
      </c>
    </row>
    <row r="21" spans="1:76" s="7" customFormat="1">
      <c r="A21" s="14">
        <v>46050</v>
      </c>
      <c r="B21" s="14">
        <v>46050</v>
      </c>
      <c r="C21" s="15">
        <v>0.45640046296296</v>
      </c>
      <c r="D21" s="16" t="s">
        <v>432</v>
      </c>
      <c r="E21" s="14">
        <v>46050</v>
      </c>
      <c r="F21" s="16" t="s">
        <v>421</v>
      </c>
      <c r="G21" s="16" t="s">
        <v>394</v>
      </c>
      <c r="H21" s="16" t="str">
        <f>VLOOKUP(G21,[1]Sheet3!A:B,2,0)</f>
        <v>TG</v>
      </c>
      <c r="I21" s="16" t="s">
        <v>76</v>
      </c>
      <c r="J21" s="16" t="s">
        <v>422</v>
      </c>
      <c r="K21" s="16" t="s">
        <v>433</v>
      </c>
      <c r="L21" s="16" t="s">
        <v>358</v>
      </c>
      <c r="M21" s="17">
        <v>1200</v>
      </c>
      <c r="N21" s="16" t="s">
        <v>434</v>
      </c>
      <c r="O21" s="16" t="s">
        <v>121</v>
      </c>
      <c r="P21" s="16" t="s">
        <v>85</v>
      </c>
      <c r="Q21" s="17">
        <v>1200</v>
      </c>
      <c r="R21" s="16" t="s">
        <v>85</v>
      </c>
      <c r="S21" s="16" t="s">
        <v>122</v>
      </c>
      <c r="T21" s="16" t="s">
        <v>370</v>
      </c>
      <c r="U21" s="39">
        <v>3851391.41</v>
      </c>
      <c r="V21" s="16" t="s">
        <v>85</v>
      </c>
      <c r="W21" s="16" t="s">
        <v>85</v>
      </c>
      <c r="X21" s="16" t="s">
        <v>86</v>
      </c>
      <c r="Y21" s="16" t="s">
        <v>371</v>
      </c>
      <c r="Z21" s="16" t="s">
        <v>372</v>
      </c>
      <c r="AA21" s="16" t="s">
        <v>89</v>
      </c>
      <c r="AB21" s="16" t="s">
        <v>85</v>
      </c>
      <c r="AC21" s="16" t="s">
        <v>131</v>
      </c>
      <c r="AD21" s="16" t="s">
        <v>85</v>
      </c>
      <c r="AE21" s="16" t="s">
        <v>85</v>
      </c>
      <c r="AF21" s="16" t="s">
        <v>91</v>
      </c>
      <c r="AG21" s="16" t="s">
        <v>85</v>
      </c>
      <c r="AH21" s="16" t="s">
        <v>91</v>
      </c>
      <c r="AI21" s="17">
        <v>1200</v>
      </c>
      <c r="AJ21" s="16" t="s">
        <v>434</v>
      </c>
      <c r="AK21" s="16" t="s">
        <v>434</v>
      </c>
      <c r="AL21" s="17">
        <v>1200</v>
      </c>
      <c r="AM21" s="16" t="s">
        <v>371</v>
      </c>
      <c r="AN21" s="16" t="s">
        <v>85</v>
      </c>
      <c r="AO21" s="16" t="s">
        <v>85</v>
      </c>
      <c r="AP21" s="16" t="s">
        <v>132</v>
      </c>
      <c r="AQ21" s="16" t="s">
        <v>85</v>
      </c>
      <c r="AR21" s="16" t="s">
        <v>85</v>
      </c>
      <c r="AS21" s="39">
        <v>0</v>
      </c>
      <c r="AT21" s="39">
        <v>0</v>
      </c>
      <c r="AU21" s="16" t="s">
        <v>91</v>
      </c>
      <c r="AV21" s="16" t="s">
        <v>85</v>
      </c>
      <c r="AW21" s="16" t="s">
        <v>91</v>
      </c>
      <c r="AX21" s="16" t="s">
        <v>91</v>
      </c>
      <c r="AY21" s="16" t="s">
        <v>85</v>
      </c>
      <c r="AZ21" s="16" t="s">
        <v>93</v>
      </c>
      <c r="BA21" s="16" t="s">
        <v>85</v>
      </c>
      <c r="BB21" s="16" t="s">
        <v>85</v>
      </c>
      <c r="BC21" s="16" t="s">
        <v>91</v>
      </c>
      <c r="BD21" s="16" t="s">
        <v>434</v>
      </c>
      <c r="BE21" s="16" t="s">
        <v>300</v>
      </c>
      <c r="BF21" s="16" t="s">
        <v>85</v>
      </c>
      <c r="BG21" s="16" t="s">
        <v>85</v>
      </c>
      <c r="BH21" s="16" t="s">
        <v>85</v>
      </c>
      <c r="BI21" s="16" t="s">
        <v>91</v>
      </c>
      <c r="BJ21" s="16" t="s">
        <v>91</v>
      </c>
      <c r="BK21" s="16" t="s">
        <v>85</v>
      </c>
      <c r="BL21" s="16" t="s">
        <v>85</v>
      </c>
      <c r="BM21" s="16" t="s">
        <v>95</v>
      </c>
      <c r="BN21" s="16" t="s">
        <v>96</v>
      </c>
      <c r="BO21" s="39">
        <v>0</v>
      </c>
      <c r="BP21" s="16" t="s">
        <v>85</v>
      </c>
      <c r="BQ21" s="16" t="s">
        <v>85</v>
      </c>
      <c r="BR21" s="16" t="s">
        <v>91</v>
      </c>
      <c r="BS21" s="16" t="s">
        <v>85</v>
      </c>
      <c r="BT21" s="16" t="s">
        <v>388</v>
      </c>
      <c r="BU21" s="16" t="s">
        <v>1224</v>
      </c>
      <c r="BV21" s="16" t="s">
        <v>389</v>
      </c>
      <c r="BW21" s="16" t="s">
        <v>1231</v>
      </c>
      <c r="BX21" s="16" t="s">
        <v>1322</v>
      </c>
    </row>
    <row r="22" spans="1:76" s="7" customFormat="1">
      <c r="A22" s="14">
        <v>46050</v>
      </c>
      <c r="B22" s="14">
        <v>46050</v>
      </c>
      <c r="C22" s="15">
        <v>0.45640046296296</v>
      </c>
      <c r="D22" s="16" t="s">
        <v>435</v>
      </c>
      <c r="E22" s="14">
        <v>46050</v>
      </c>
      <c r="F22" s="16" t="s">
        <v>421</v>
      </c>
      <c r="G22" s="16" t="s">
        <v>394</v>
      </c>
      <c r="H22" s="16" t="str">
        <f>VLOOKUP(G22,[1]Sheet3!A:B,2,0)</f>
        <v>TG</v>
      </c>
      <c r="I22" s="16" t="s">
        <v>76</v>
      </c>
      <c r="J22" s="16" t="s">
        <v>422</v>
      </c>
      <c r="K22" s="16" t="s">
        <v>436</v>
      </c>
      <c r="L22" s="16" t="s">
        <v>120</v>
      </c>
      <c r="M22" s="17">
        <v>168</v>
      </c>
      <c r="N22" s="16" t="s">
        <v>434</v>
      </c>
      <c r="O22" s="16" t="s">
        <v>121</v>
      </c>
      <c r="P22" s="16" t="s">
        <v>85</v>
      </c>
      <c r="Q22" s="17">
        <v>168</v>
      </c>
      <c r="R22" s="16" t="s">
        <v>85</v>
      </c>
      <c r="S22" s="16" t="s">
        <v>122</v>
      </c>
      <c r="T22" s="16" t="s">
        <v>370</v>
      </c>
      <c r="U22" s="39">
        <v>632376.06999999995</v>
      </c>
      <c r="V22" s="16" t="s">
        <v>85</v>
      </c>
      <c r="W22" s="16" t="s">
        <v>85</v>
      </c>
      <c r="X22" s="16" t="s">
        <v>86</v>
      </c>
      <c r="Y22" s="16" t="s">
        <v>371</v>
      </c>
      <c r="Z22" s="16" t="s">
        <v>372</v>
      </c>
      <c r="AA22" s="16" t="s">
        <v>89</v>
      </c>
      <c r="AB22" s="16" t="s">
        <v>85</v>
      </c>
      <c r="AC22" s="16" t="s">
        <v>126</v>
      </c>
      <c r="AD22" s="16" t="s">
        <v>85</v>
      </c>
      <c r="AE22" s="16" t="s">
        <v>85</v>
      </c>
      <c r="AF22" s="16" t="s">
        <v>91</v>
      </c>
      <c r="AG22" s="16" t="s">
        <v>85</v>
      </c>
      <c r="AH22" s="16" t="s">
        <v>91</v>
      </c>
      <c r="AI22" s="17">
        <v>168</v>
      </c>
      <c r="AJ22" s="16" t="s">
        <v>434</v>
      </c>
      <c r="AK22" s="16" t="s">
        <v>434</v>
      </c>
      <c r="AL22" s="17">
        <v>168</v>
      </c>
      <c r="AM22" s="16" t="s">
        <v>371</v>
      </c>
      <c r="AN22" s="16" t="s">
        <v>85</v>
      </c>
      <c r="AO22" s="16" t="s">
        <v>85</v>
      </c>
      <c r="AP22" s="16" t="s">
        <v>127</v>
      </c>
      <c r="AQ22" s="16" t="s">
        <v>85</v>
      </c>
      <c r="AR22" s="16" t="s">
        <v>85</v>
      </c>
      <c r="AS22" s="39">
        <v>0</v>
      </c>
      <c r="AT22" s="39">
        <v>0</v>
      </c>
      <c r="AU22" s="16" t="s">
        <v>91</v>
      </c>
      <c r="AV22" s="16" t="s">
        <v>85</v>
      </c>
      <c r="AW22" s="16" t="s">
        <v>91</v>
      </c>
      <c r="AX22" s="16" t="s">
        <v>91</v>
      </c>
      <c r="AY22" s="16" t="s">
        <v>85</v>
      </c>
      <c r="AZ22" s="16" t="s">
        <v>93</v>
      </c>
      <c r="BA22" s="16" t="s">
        <v>85</v>
      </c>
      <c r="BB22" s="16" t="s">
        <v>85</v>
      </c>
      <c r="BC22" s="16" t="s">
        <v>91</v>
      </c>
      <c r="BD22" s="16" t="s">
        <v>434</v>
      </c>
      <c r="BE22" s="16" t="s">
        <v>300</v>
      </c>
      <c r="BF22" s="16" t="s">
        <v>85</v>
      </c>
      <c r="BG22" s="16" t="s">
        <v>85</v>
      </c>
      <c r="BH22" s="16" t="s">
        <v>85</v>
      </c>
      <c r="BI22" s="16" t="s">
        <v>91</v>
      </c>
      <c r="BJ22" s="16" t="s">
        <v>91</v>
      </c>
      <c r="BK22" s="16" t="s">
        <v>85</v>
      </c>
      <c r="BL22" s="16" t="s">
        <v>85</v>
      </c>
      <c r="BM22" s="16" t="s">
        <v>95</v>
      </c>
      <c r="BN22" s="16" t="s">
        <v>96</v>
      </c>
      <c r="BO22" s="39">
        <v>0</v>
      </c>
      <c r="BP22" s="16" t="s">
        <v>85</v>
      </c>
      <c r="BQ22" s="16" t="s">
        <v>85</v>
      </c>
      <c r="BR22" s="16" t="s">
        <v>91</v>
      </c>
      <c r="BS22" s="16" t="s">
        <v>85</v>
      </c>
      <c r="BT22" s="16" t="s">
        <v>388</v>
      </c>
      <c r="BU22" s="16" t="s">
        <v>1224</v>
      </c>
      <c r="BV22" s="16" t="s">
        <v>389</v>
      </c>
      <c r="BW22" s="16" t="s">
        <v>1231</v>
      </c>
      <c r="BX22" s="16" t="s">
        <v>1322</v>
      </c>
    </row>
    <row r="23" spans="1:76" s="7" customFormat="1">
      <c r="A23" s="14">
        <v>46050</v>
      </c>
      <c r="B23" s="14">
        <v>46050</v>
      </c>
      <c r="C23" s="15">
        <v>0.45640046296296</v>
      </c>
      <c r="D23" s="16" t="s">
        <v>437</v>
      </c>
      <c r="E23" s="14">
        <v>46050</v>
      </c>
      <c r="F23" s="16" t="s">
        <v>421</v>
      </c>
      <c r="G23" s="16" t="s">
        <v>394</v>
      </c>
      <c r="H23" s="16" t="str">
        <f>VLOOKUP(G23,[1]Sheet3!A:B,2,0)</f>
        <v>TG</v>
      </c>
      <c r="I23" s="16" t="s">
        <v>76</v>
      </c>
      <c r="J23" s="16" t="s">
        <v>422</v>
      </c>
      <c r="K23" s="16" t="s">
        <v>438</v>
      </c>
      <c r="L23" s="16" t="s">
        <v>271</v>
      </c>
      <c r="M23" s="17">
        <v>1504</v>
      </c>
      <c r="N23" s="16" t="s">
        <v>434</v>
      </c>
      <c r="O23" s="16" t="s">
        <v>121</v>
      </c>
      <c r="P23" s="16" t="s">
        <v>85</v>
      </c>
      <c r="Q23" s="17">
        <v>1504</v>
      </c>
      <c r="R23" s="16" t="s">
        <v>85</v>
      </c>
      <c r="S23" s="16" t="s">
        <v>122</v>
      </c>
      <c r="T23" s="16" t="s">
        <v>370</v>
      </c>
      <c r="U23" s="39">
        <v>5660439.9199999999</v>
      </c>
      <c r="V23" s="16" t="s">
        <v>85</v>
      </c>
      <c r="W23" s="16" t="s">
        <v>85</v>
      </c>
      <c r="X23" s="16" t="s">
        <v>86</v>
      </c>
      <c r="Y23" s="16" t="s">
        <v>371</v>
      </c>
      <c r="Z23" s="16" t="s">
        <v>372</v>
      </c>
      <c r="AA23" s="16" t="s">
        <v>89</v>
      </c>
      <c r="AB23" s="16" t="s">
        <v>85</v>
      </c>
      <c r="AC23" s="16" t="s">
        <v>128</v>
      </c>
      <c r="AD23" s="16" t="s">
        <v>85</v>
      </c>
      <c r="AE23" s="16" t="s">
        <v>85</v>
      </c>
      <c r="AF23" s="16" t="s">
        <v>91</v>
      </c>
      <c r="AG23" s="16" t="s">
        <v>85</v>
      </c>
      <c r="AH23" s="16" t="s">
        <v>91</v>
      </c>
      <c r="AI23" s="17">
        <v>1504</v>
      </c>
      <c r="AJ23" s="16" t="s">
        <v>434</v>
      </c>
      <c r="AK23" s="16" t="s">
        <v>434</v>
      </c>
      <c r="AL23" s="17">
        <v>1504</v>
      </c>
      <c r="AM23" s="16" t="s">
        <v>371</v>
      </c>
      <c r="AN23" s="16" t="s">
        <v>85</v>
      </c>
      <c r="AO23" s="16" t="s">
        <v>85</v>
      </c>
      <c r="AP23" s="16" t="s">
        <v>129</v>
      </c>
      <c r="AQ23" s="16" t="s">
        <v>85</v>
      </c>
      <c r="AR23" s="16" t="s">
        <v>85</v>
      </c>
      <c r="AS23" s="39">
        <v>0</v>
      </c>
      <c r="AT23" s="39">
        <v>0</v>
      </c>
      <c r="AU23" s="16" t="s">
        <v>91</v>
      </c>
      <c r="AV23" s="16" t="s">
        <v>85</v>
      </c>
      <c r="AW23" s="16" t="s">
        <v>91</v>
      </c>
      <c r="AX23" s="16" t="s">
        <v>91</v>
      </c>
      <c r="AY23" s="16" t="s">
        <v>85</v>
      </c>
      <c r="AZ23" s="16" t="s">
        <v>93</v>
      </c>
      <c r="BA23" s="16" t="s">
        <v>85</v>
      </c>
      <c r="BB23" s="16" t="s">
        <v>85</v>
      </c>
      <c r="BC23" s="16" t="s">
        <v>91</v>
      </c>
      <c r="BD23" s="16" t="s">
        <v>434</v>
      </c>
      <c r="BE23" s="16" t="s">
        <v>300</v>
      </c>
      <c r="BF23" s="16" t="s">
        <v>85</v>
      </c>
      <c r="BG23" s="16" t="s">
        <v>85</v>
      </c>
      <c r="BH23" s="16" t="s">
        <v>85</v>
      </c>
      <c r="BI23" s="16" t="s">
        <v>91</v>
      </c>
      <c r="BJ23" s="16" t="s">
        <v>91</v>
      </c>
      <c r="BK23" s="16" t="s">
        <v>85</v>
      </c>
      <c r="BL23" s="16" t="s">
        <v>85</v>
      </c>
      <c r="BM23" s="16" t="s">
        <v>95</v>
      </c>
      <c r="BN23" s="16" t="s">
        <v>96</v>
      </c>
      <c r="BO23" s="39">
        <v>0</v>
      </c>
      <c r="BP23" s="16" t="s">
        <v>85</v>
      </c>
      <c r="BQ23" s="16" t="s">
        <v>85</v>
      </c>
      <c r="BR23" s="16" t="s">
        <v>91</v>
      </c>
      <c r="BS23" s="16" t="s">
        <v>85</v>
      </c>
      <c r="BT23" s="16" t="s">
        <v>388</v>
      </c>
      <c r="BU23" s="16" t="s">
        <v>1224</v>
      </c>
      <c r="BV23" s="16" t="s">
        <v>389</v>
      </c>
      <c r="BW23" s="16" t="s">
        <v>1231</v>
      </c>
      <c r="BX23" s="16" t="s">
        <v>1322</v>
      </c>
    </row>
    <row r="24" spans="1:76" s="7" customFormat="1">
      <c r="A24" s="14">
        <v>46050</v>
      </c>
      <c r="B24" s="14">
        <v>46050</v>
      </c>
      <c r="C24" s="15">
        <v>0.45640046296296</v>
      </c>
      <c r="D24" s="16" t="s">
        <v>439</v>
      </c>
      <c r="E24" s="14">
        <v>46050</v>
      </c>
      <c r="F24" s="16" t="s">
        <v>421</v>
      </c>
      <c r="G24" s="16" t="s">
        <v>394</v>
      </c>
      <c r="H24" s="16" t="str">
        <f>VLOOKUP(G24,[1]Sheet3!A:B,2,0)</f>
        <v>TG</v>
      </c>
      <c r="I24" s="16" t="s">
        <v>76</v>
      </c>
      <c r="J24" s="16" t="s">
        <v>422</v>
      </c>
      <c r="K24" s="16" t="s">
        <v>440</v>
      </c>
      <c r="L24" s="16" t="s">
        <v>441</v>
      </c>
      <c r="M24" s="17">
        <v>600</v>
      </c>
      <c r="N24" s="16" t="s">
        <v>434</v>
      </c>
      <c r="O24" s="16" t="s">
        <v>121</v>
      </c>
      <c r="P24" s="16" t="s">
        <v>85</v>
      </c>
      <c r="Q24" s="17">
        <v>600</v>
      </c>
      <c r="R24" s="16" t="s">
        <v>85</v>
      </c>
      <c r="S24" s="16" t="s">
        <v>122</v>
      </c>
      <c r="T24" s="16" t="s">
        <v>370</v>
      </c>
      <c r="U24" s="39">
        <v>1926047.28</v>
      </c>
      <c r="V24" s="16" t="s">
        <v>85</v>
      </c>
      <c r="W24" s="16" t="s">
        <v>85</v>
      </c>
      <c r="X24" s="16" t="s">
        <v>86</v>
      </c>
      <c r="Y24" s="16" t="s">
        <v>371</v>
      </c>
      <c r="Z24" s="16" t="s">
        <v>372</v>
      </c>
      <c r="AA24" s="16" t="s">
        <v>89</v>
      </c>
      <c r="AB24" s="16" t="s">
        <v>85</v>
      </c>
      <c r="AC24" s="16" t="s">
        <v>130</v>
      </c>
      <c r="AD24" s="16" t="s">
        <v>85</v>
      </c>
      <c r="AE24" s="16" t="s">
        <v>85</v>
      </c>
      <c r="AF24" s="16" t="s">
        <v>91</v>
      </c>
      <c r="AG24" s="16" t="s">
        <v>85</v>
      </c>
      <c r="AH24" s="16" t="s">
        <v>91</v>
      </c>
      <c r="AI24" s="17">
        <v>600</v>
      </c>
      <c r="AJ24" s="16" t="s">
        <v>434</v>
      </c>
      <c r="AK24" s="16" t="s">
        <v>434</v>
      </c>
      <c r="AL24" s="17">
        <v>600</v>
      </c>
      <c r="AM24" s="16" t="s">
        <v>371</v>
      </c>
      <c r="AN24" s="16" t="s">
        <v>85</v>
      </c>
      <c r="AO24" s="16" t="s">
        <v>85</v>
      </c>
      <c r="AP24" s="16" t="s">
        <v>442</v>
      </c>
      <c r="AQ24" s="16" t="s">
        <v>85</v>
      </c>
      <c r="AR24" s="16" t="s">
        <v>85</v>
      </c>
      <c r="AS24" s="39">
        <v>0</v>
      </c>
      <c r="AT24" s="39">
        <v>0</v>
      </c>
      <c r="AU24" s="16" t="s">
        <v>91</v>
      </c>
      <c r="AV24" s="16" t="s">
        <v>85</v>
      </c>
      <c r="AW24" s="16" t="s">
        <v>91</v>
      </c>
      <c r="AX24" s="16" t="s">
        <v>91</v>
      </c>
      <c r="AY24" s="16" t="s">
        <v>85</v>
      </c>
      <c r="AZ24" s="16" t="s">
        <v>93</v>
      </c>
      <c r="BA24" s="16" t="s">
        <v>85</v>
      </c>
      <c r="BB24" s="16" t="s">
        <v>85</v>
      </c>
      <c r="BC24" s="16" t="s">
        <v>91</v>
      </c>
      <c r="BD24" s="16" t="s">
        <v>434</v>
      </c>
      <c r="BE24" s="16" t="s">
        <v>300</v>
      </c>
      <c r="BF24" s="16" t="s">
        <v>85</v>
      </c>
      <c r="BG24" s="16" t="s">
        <v>85</v>
      </c>
      <c r="BH24" s="16" t="s">
        <v>85</v>
      </c>
      <c r="BI24" s="16" t="s">
        <v>91</v>
      </c>
      <c r="BJ24" s="16" t="s">
        <v>91</v>
      </c>
      <c r="BK24" s="16" t="s">
        <v>85</v>
      </c>
      <c r="BL24" s="16" t="s">
        <v>85</v>
      </c>
      <c r="BM24" s="16" t="s">
        <v>95</v>
      </c>
      <c r="BN24" s="16" t="s">
        <v>96</v>
      </c>
      <c r="BO24" s="39">
        <v>0</v>
      </c>
      <c r="BP24" s="16" t="s">
        <v>85</v>
      </c>
      <c r="BQ24" s="16" t="s">
        <v>85</v>
      </c>
      <c r="BR24" s="16" t="s">
        <v>91</v>
      </c>
      <c r="BS24" s="16" t="s">
        <v>85</v>
      </c>
      <c r="BT24" s="16" t="s">
        <v>388</v>
      </c>
      <c r="BU24" s="16" t="s">
        <v>1224</v>
      </c>
      <c r="BV24" s="16" t="s">
        <v>389</v>
      </c>
      <c r="BW24" s="16" t="s">
        <v>1231</v>
      </c>
      <c r="BX24" s="16" t="s">
        <v>1322</v>
      </c>
    </row>
    <row r="25" spans="1:76" s="7" customFormat="1">
      <c r="A25" s="14">
        <v>46056</v>
      </c>
      <c r="B25" s="14">
        <v>46056</v>
      </c>
      <c r="C25" s="15">
        <v>0.57394675925925998</v>
      </c>
      <c r="D25" s="16" t="s">
        <v>376</v>
      </c>
      <c r="E25" s="14">
        <v>46056</v>
      </c>
      <c r="F25" s="16" t="s">
        <v>443</v>
      </c>
      <c r="G25" s="16" t="s">
        <v>365</v>
      </c>
      <c r="H25" s="16" t="str">
        <f>VLOOKUP(G25,[1]Sheet3!A:B,2,0)</f>
        <v>ADMD</v>
      </c>
      <c r="I25" s="7" t="s">
        <v>76</v>
      </c>
      <c r="J25" s="7" t="s">
        <v>444</v>
      </c>
      <c r="K25" s="16" t="s">
        <v>377</v>
      </c>
      <c r="L25" s="16" t="s">
        <v>125</v>
      </c>
      <c r="M25" s="17">
        <v>155000</v>
      </c>
      <c r="N25" s="16" t="s">
        <v>79</v>
      </c>
      <c r="O25" s="16" t="s">
        <v>445</v>
      </c>
      <c r="P25" s="16" t="s">
        <v>85</v>
      </c>
      <c r="Q25" s="17">
        <v>155000</v>
      </c>
      <c r="R25" s="7" t="s">
        <v>85</v>
      </c>
      <c r="S25" s="7" t="s">
        <v>122</v>
      </c>
      <c r="T25" s="7" t="s">
        <v>370</v>
      </c>
      <c r="U25" s="12">
        <v>6330784.5999999996</v>
      </c>
      <c r="V25" s="7" t="s">
        <v>85</v>
      </c>
      <c r="W25" s="7" t="s">
        <v>85</v>
      </c>
      <c r="X25" s="7" t="s">
        <v>86</v>
      </c>
      <c r="Y25" s="7" t="s">
        <v>371</v>
      </c>
      <c r="Z25" s="7" t="s">
        <v>372</v>
      </c>
      <c r="AA25" s="7" t="s">
        <v>89</v>
      </c>
      <c r="AB25" s="7" t="s">
        <v>85</v>
      </c>
      <c r="AC25" s="7" t="s">
        <v>131</v>
      </c>
      <c r="AD25" s="7" t="s">
        <v>85</v>
      </c>
      <c r="AE25" s="7" t="s">
        <v>85</v>
      </c>
      <c r="AF25" s="7" t="s">
        <v>91</v>
      </c>
      <c r="AG25" s="7" t="s">
        <v>85</v>
      </c>
      <c r="AH25" s="7" t="s">
        <v>91</v>
      </c>
      <c r="AI25" s="13">
        <v>155000</v>
      </c>
      <c r="AJ25" s="7" t="s">
        <v>79</v>
      </c>
      <c r="AK25" s="7" t="s">
        <v>79</v>
      </c>
      <c r="AL25" s="13">
        <v>155000</v>
      </c>
      <c r="AM25" s="7" t="s">
        <v>371</v>
      </c>
      <c r="AN25" s="7" t="s">
        <v>85</v>
      </c>
      <c r="AO25" s="7" t="s">
        <v>85</v>
      </c>
      <c r="AP25" s="7" t="s">
        <v>118</v>
      </c>
      <c r="AQ25" s="7" t="s">
        <v>85</v>
      </c>
      <c r="AR25" s="7" t="s">
        <v>85</v>
      </c>
      <c r="AS25" s="12">
        <v>0</v>
      </c>
      <c r="AT25" s="12">
        <v>0</v>
      </c>
      <c r="AU25" s="7" t="s">
        <v>91</v>
      </c>
      <c r="AV25" s="7" t="s">
        <v>85</v>
      </c>
      <c r="AW25" s="7" t="s">
        <v>91</v>
      </c>
      <c r="AX25" s="7" t="s">
        <v>91</v>
      </c>
      <c r="AY25" s="7" t="s">
        <v>85</v>
      </c>
      <c r="AZ25" s="7" t="s">
        <v>93</v>
      </c>
      <c r="BA25" s="7" t="s">
        <v>85</v>
      </c>
      <c r="BB25" s="7" t="s">
        <v>85</v>
      </c>
      <c r="BC25" s="7" t="s">
        <v>91</v>
      </c>
      <c r="BD25" s="7" t="s">
        <v>79</v>
      </c>
      <c r="BE25" s="7" t="s">
        <v>300</v>
      </c>
      <c r="BF25" s="7" t="s">
        <v>85</v>
      </c>
      <c r="BG25" s="7" t="s">
        <v>85</v>
      </c>
      <c r="BH25" s="7" t="s">
        <v>85</v>
      </c>
      <c r="BI25" s="7" t="s">
        <v>91</v>
      </c>
      <c r="BJ25" s="7" t="s">
        <v>91</v>
      </c>
      <c r="BK25" s="7" t="s">
        <v>85</v>
      </c>
      <c r="BL25" s="7" t="s">
        <v>85</v>
      </c>
      <c r="BM25" s="7" t="s">
        <v>95</v>
      </c>
      <c r="BN25" s="7" t="s">
        <v>96</v>
      </c>
      <c r="BO25" s="12">
        <v>0</v>
      </c>
      <c r="BP25" s="7" t="s">
        <v>85</v>
      </c>
      <c r="BQ25" s="7" t="s">
        <v>85</v>
      </c>
      <c r="BR25" s="7" t="s">
        <v>91</v>
      </c>
      <c r="BS25" s="7" t="s">
        <v>85</v>
      </c>
      <c r="BT25" s="16" t="s">
        <v>388</v>
      </c>
      <c r="BU25" s="16" t="s">
        <v>446</v>
      </c>
      <c r="BV25" s="16" t="s">
        <v>389</v>
      </c>
      <c r="BW25" s="16" t="s">
        <v>447</v>
      </c>
      <c r="BX25" s="16" t="s">
        <v>448</v>
      </c>
    </row>
    <row r="26" spans="1:76" s="7" customFormat="1">
      <c r="A26" s="14">
        <v>46056</v>
      </c>
      <c r="B26" s="14">
        <v>46056</v>
      </c>
      <c r="C26" s="15">
        <v>0.57394675925925998</v>
      </c>
      <c r="D26" s="16" t="s">
        <v>376</v>
      </c>
      <c r="E26" s="14">
        <v>46056</v>
      </c>
      <c r="F26" s="16" t="s">
        <v>443</v>
      </c>
      <c r="G26" s="16" t="s">
        <v>365</v>
      </c>
      <c r="H26" s="16" t="str">
        <f>VLOOKUP(G26,[1]Sheet3!A:B,2,0)</f>
        <v>ADMD</v>
      </c>
      <c r="I26" s="7" t="s">
        <v>76</v>
      </c>
      <c r="J26" s="7" t="s">
        <v>444</v>
      </c>
      <c r="K26" s="16" t="s">
        <v>377</v>
      </c>
      <c r="L26" s="16" t="s">
        <v>125</v>
      </c>
      <c r="M26" s="17">
        <v>155000</v>
      </c>
      <c r="N26" s="16" t="s">
        <v>79</v>
      </c>
      <c r="O26" s="16" t="s">
        <v>449</v>
      </c>
      <c r="P26" s="16" t="s">
        <v>85</v>
      </c>
      <c r="Q26" s="17">
        <v>155000</v>
      </c>
      <c r="R26" s="7" t="s">
        <v>85</v>
      </c>
      <c r="S26" s="7" t="s">
        <v>122</v>
      </c>
      <c r="T26" s="7" t="s">
        <v>370</v>
      </c>
      <c r="U26" s="12">
        <v>6330784.5999999996</v>
      </c>
      <c r="V26" s="7" t="s">
        <v>85</v>
      </c>
      <c r="W26" s="7" t="s">
        <v>85</v>
      </c>
      <c r="X26" s="7" t="s">
        <v>86</v>
      </c>
      <c r="Y26" s="7" t="s">
        <v>371</v>
      </c>
      <c r="Z26" s="7" t="s">
        <v>372</v>
      </c>
      <c r="AA26" s="7" t="s">
        <v>89</v>
      </c>
      <c r="AB26" s="7" t="s">
        <v>85</v>
      </c>
      <c r="AC26" s="7" t="s">
        <v>126</v>
      </c>
      <c r="AD26" s="7" t="s">
        <v>85</v>
      </c>
      <c r="AE26" s="7" t="s">
        <v>85</v>
      </c>
      <c r="AF26" s="7" t="s">
        <v>91</v>
      </c>
      <c r="AG26" s="7" t="s">
        <v>85</v>
      </c>
      <c r="AH26" s="7" t="s">
        <v>91</v>
      </c>
      <c r="AI26" s="13">
        <v>155000</v>
      </c>
      <c r="AJ26" s="7" t="s">
        <v>79</v>
      </c>
      <c r="AK26" s="7" t="s">
        <v>79</v>
      </c>
      <c r="AL26" s="13">
        <v>155000</v>
      </c>
      <c r="AM26" s="7" t="s">
        <v>371</v>
      </c>
      <c r="AN26" s="7" t="s">
        <v>85</v>
      </c>
      <c r="AO26" s="7" t="s">
        <v>85</v>
      </c>
      <c r="AP26" s="7" t="s">
        <v>118</v>
      </c>
      <c r="AQ26" s="7" t="s">
        <v>85</v>
      </c>
      <c r="AR26" s="7" t="s">
        <v>85</v>
      </c>
      <c r="AS26" s="12">
        <v>0</v>
      </c>
      <c r="AT26" s="12">
        <v>0</v>
      </c>
      <c r="AU26" s="7" t="s">
        <v>91</v>
      </c>
      <c r="AV26" s="7" t="s">
        <v>85</v>
      </c>
      <c r="AW26" s="7" t="s">
        <v>91</v>
      </c>
      <c r="AX26" s="7" t="s">
        <v>91</v>
      </c>
      <c r="AY26" s="7" t="s">
        <v>85</v>
      </c>
      <c r="AZ26" s="7" t="s">
        <v>93</v>
      </c>
      <c r="BA26" s="7" t="s">
        <v>85</v>
      </c>
      <c r="BB26" s="7" t="s">
        <v>85</v>
      </c>
      <c r="BC26" s="7" t="s">
        <v>91</v>
      </c>
      <c r="BD26" s="7" t="s">
        <v>79</v>
      </c>
      <c r="BE26" s="7" t="s">
        <v>300</v>
      </c>
      <c r="BF26" s="7" t="s">
        <v>85</v>
      </c>
      <c r="BG26" s="7" t="s">
        <v>85</v>
      </c>
      <c r="BH26" s="7" t="s">
        <v>85</v>
      </c>
      <c r="BI26" s="7" t="s">
        <v>91</v>
      </c>
      <c r="BJ26" s="7" t="s">
        <v>91</v>
      </c>
      <c r="BK26" s="7" t="s">
        <v>85</v>
      </c>
      <c r="BL26" s="7" t="s">
        <v>85</v>
      </c>
      <c r="BM26" s="7" t="s">
        <v>95</v>
      </c>
      <c r="BN26" s="7" t="s">
        <v>96</v>
      </c>
      <c r="BO26" s="12">
        <v>0</v>
      </c>
      <c r="BP26" s="7" t="s">
        <v>85</v>
      </c>
      <c r="BQ26" s="7" t="s">
        <v>85</v>
      </c>
      <c r="BR26" s="7" t="s">
        <v>91</v>
      </c>
      <c r="BS26" s="7" t="s">
        <v>85</v>
      </c>
      <c r="BT26" s="16" t="s">
        <v>388</v>
      </c>
      <c r="BU26" s="16" t="s">
        <v>446</v>
      </c>
      <c r="BV26" s="16" t="s">
        <v>389</v>
      </c>
      <c r="BW26" s="16" t="s">
        <v>447</v>
      </c>
      <c r="BX26" s="16" t="s">
        <v>448</v>
      </c>
    </row>
    <row r="27" spans="1:76" s="7" customFormat="1">
      <c r="A27" s="14">
        <v>46056</v>
      </c>
      <c r="B27" s="14">
        <v>46056</v>
      </c>
      <c r="C27" s="15">
        <v>0.57394675925925998</v>
      </c>
      <c r="D27" s="16" t="s">
        <v>376</v>
      </c>
      <c r="E27" s="14">
        <v>46056</v>
      </c>
      <c r="F27" s="16" t="s">
        <v>443</v>
      </c>
      <c r="G27" s="16" t="s">
        <v>365</v>
      </c>
      <c r="H27" s="16" t="str">
        <f>VLOOKUP(G27,[1]Sheet3!A:B,2,0)</f>
        <v>ADMD</v>
      </c>
      <c r="I27" s="7" t="s">
        <v>76</v>
      </c>
      <c r="J27" s="7" t="s">
        <v>444</v>
      </c>
      <c r="K27" s="16" t="s">
        <v>377</v>
      </c>
      <c r="L27" s="16" t="s">
        <v>125</v>
      </c>
      <c r="M27" s="17">
        <v>155000</v>
      </c>
      <c r="N27" s="16" t="s">
        <v>79</v>
      </c>
      <c r="O27" s="16" t="s">
        <v>450</v>
      </c>
      <c r="P27" s="16" t="s">
        <v>85</v>
      </c>
      <c r="Q27" s="17">
        <v>155000</v>
      </c>
      <c r="R27" s="7" t="s">
        <v>85</v>
      </c>
      <c r="S27" s="7" t="s">
        <v>122</v>
      </c>
      <c r="T27" s="7" t="s">
        <v>370</v>
      </c>
      <c r="U27" s="12">
        <v>6330784.5999999996</v>
      </c>
      <c r="V27" s="7" t="s">
        <v>85</v>
      </c>
      <c r="W27" s="7" t="s">
        <v>85</v>
      </c>
      <c r="X27" s="7" t="s">
        <v>86</v>
      </c>
      <c r="Y27" s="7" t="s">
        <v>371</v>
      </c>
      <c r="Z27" s="7" t="s">
        <v>372</v>
      </c>
      <c r="AA27" s="7" t="s">
        <v>89</v>
      </c>
      <c r="AB27" s="7" t="s">
        <v>85</v>
      </c>
      <c r="AC27" s="7" t="s">
        <v>128</v>
      </c>
      <c r="AD27" s="7" t="s">
        <v>85</v>
      </c>
      <c r="AE27" s="7" t="s">
        <v>85</v>
      </c>
      <c r="AF27" s="7" t="s">
        <v>91</v>
      </c>
      <c r="AG27" s="7" t="s">
        <v>85</v>
      </c>
      <c r="AH27" s="7" t="s">
        <v>91</v>
      </c>
      <c r="AI27" s="13">
        <v>155000</v>
      </c>
      <c r="AJ27" s="7" t="s">
        <v>79</v>
      </c>
      <c r="AK27" s="7" t="s">
        <v>79</v>
      </c>
      <c r="AL27" s="13">
        <v>155000</v>
      </c>
      <c r="AM27" s="7" t="s">
        <v>371</v>
      </c>
      <c r="AN27" s="7" t="s">
        <v>85</v>
      </c>
      <c r="AO27" s="7" t="s">
        <v>85</v>
      </c>
      <c r="AP27" s="7" t="s">
        <v>118</v>
      </c>
      <c r="AQ27" s="7" t="s">
        <v>85</v>
      </c>
      <c r="AR27" s="7" t="s">
        <v>85</v>
      </c>
      <c r="AS27" s="12">
        <v>0</v>
      </c>
      <c r="AT27" s="12">
        <v>0</v>
      </c>
      <c r="AU27" s="7" t="s">
        <v>91</v>
      </c>
      <c r="AV27" s="7" t="s">
        <v>85</v>
      </c>
      <c r="AW27" s="7" t="s">
        <v>91</v>
      </c>
      <c r="AX27" s="7" t="s">
        <v>91</v>
      </c>
      <c r="AY27" s="7" t="s">
        <v>85</v>
      </c>
      <c r="AZ27" s="7" t="s">
        <v>93</v>
      </c>
      <c r="BA27" s="7" t="s">
        <v>85</v>
      </c>
      <c r="BB27" s="7" t="s">
        <v>85</v>
      </c>
      <c r="BC27" s="7" t="s">
        <v>91</v>
      </c>
      <c r="BD27" s="7" t="s">
        <v>79</v>
      </c>
      <c r="BE27" s="7" t="s">
        <v>300</v>
      </c>
      <c r="BF27" s="7" t="s">
        <v>85</v>
      </c>
      <c r="BG27" s="7" t="s">
        <v>85</v>
      </c>
      <c r="BH27" s="7" t="s">
        <v>85</v>
      </c>
      <c r="BI27" s="7" t="s">
        <v>91</v>
      </c>
      <c r="BJ27" s="7" t="s">
        <v>91</v>
      </c>
      <c r="BK27" s="7" t="s">
        <v>85</v>
      </c>
      <c r="BL27" s="7" t="s">
        <v>85</v>
      </c>
      <c r="BM27" s="7" t="s">
        <v>95</v>
      </c>
      <c r="BN27" s="7" t="s">
        <v>96</v>
      </c>
      <c r="BO27" s="12">
        <v>0</v>
      </c>
      <c r="BP27" s="7" t="s">
        <v>85</v>
      </c>
      <c r="BQ27" s="7" t="s">
        <v>85</v>
      </c>
      <c r="BR27" s="7" t="s">
        <v>91</v>
      </c>
      <c r="BS27" s="7" t="s">
        <v>85</v>
      </c>
      <c r="BT27" s="16" t="s">
        <v>388</v>
      </c>
      <c r="BU27" s="16" t="s">
        <v>446</v>
      </c>
      <c r="BV27" s="16" t="s">
        <v>389</v>
      </c>
      <c r="BW27" s="16" t="s">
        <v>447</v>
      </c>
      <c r="BX27" s="16" t="s">
        <v>448</v>
      </c>
    </row>
    <row r="28" spans="1:76" s="7" customFormat="1">
      <c r="A28" s="14">
        <v>46056</v>
      </c>
      <c r="B28" s="14">
        <v>46056</v>
      </c>
      <c r="C28" s="15">
        <v>0.57394675925925998</v>
      </c>
      <c r="D28" s="16" t="s">
        <v>376</v>
      </c>
      <c r="E28" s="14">
        <v>46056</v>
      </c>
      <c r="F28" s="16" t="s">
        <v>443</v>
      </c>
      <c r="G28" s="16" t="s">
        <v>365</v>
      </c>
      <c r="H28" s="16" t="str">
        <f>VLOOKUP(G28,[1]Sheet3!A:B,2,0)</f>
        <v>ADMD</v>
      </c>
      <c r="I28" s="7" t="s">
        <v>76</v>
      </c>
      <c r="J28" s="7" t="s">
        <v>444</v>
      </c>
      <c r="K28" s="16" t="s">
        <v>377</v>
      </c>
      <c r="L28" s="16" t="s">
        <v>125</v>
      </c>
      <c r="M28" s="17">
        <v>156000</v>
      </c>
      <c r="N28" s="16" t="s">
        <v>79</v>
      </c>
      <c r="O28" s="16" t="s">
        <v>451</v>
      </c>
      <c r="P28" s="16" t="s">
        <v>85</v>
      </c>
      <c r="Q28" s="17">
        <v>156000</v>
      </c>
      <c r="R28" s="7" t="s">
        <v>85</v>
      </c>
      <c r="S28" s="7" t="s">
        <v>122</v>
      </c>
      <c r="T28" s="7" t="s">
        <v>370</v>
      </c>
      <c r="U28" s="12">
        <v>6371628.3799999999</v>
      </c>
      <c r="V28" s="7" t="s">
        <v>85</v>
      </c>
      <c r="W28" s="7" t="s">
        <v>85</v>
      </c>
      <c r="X28" s="7" t="s">
        <v>86</v>
      </c>
      <c r="Y28" s="7" t="s">
        <v>371</v>
      </c>
      <c r="Z28" s="7" t="s">
        <v>372</v>
      </c>
      <c r="AA28" s="7" t="s">
        <v>89</v>
      </c>
      <c r="AB28" s="7" t="s">
        <v>85</v>
      </c>
      <c r="AC28" s="7" t="s">
        <v>130</v>
      </c>
      <c r="AD28" s="7" t="s">
        <v>85</v>
      </c>
      <c r="AE28" s="7" t="s">
        <v>85</v>
      </c>
      <c r="AF28" s="7" t="s">
        <v>91</v>
      </c>
      <c r="AG28" s="7" t="s">
        <v>85</v>
      </c>
      <c r="AH28" s="7" t="s">
        <v>91</v>
      </c>
      <c r="AI28" s="13">
        <v>156000</v>
      </c>
      <c r="AJ28" s="7" t="s">
        <v>79</v>
      </c>
      <c r="AK28" s="7" t="s">
        <v>79</v>
      </c>
      <c r="AL28" s="13">
        <v>156000</v>
      </c>
      <c r="AM28" s="7" t="s">
        <v>371</v>
      </c>
      <c r="AN28" s="7" t="s">
        <v>85</v>
      </c>
      <c r="AO28" s="7" t="s">
        <v>85</v>
      </c>
      <c r="AP28" s="7" t="s">
        <v>118</v>
      </c>
      <c r="AQ28" s="7" t="s">
        <v>85</v>
      </c>
      <c r="AR28" s="7" t="s">
        <v>85</v>
      </c>
      <c r="AS28" s="12">
        <v>0</v>
      </c>
      <c r="AT28" s="12">
        <v>0</v>
      </c>
      <c r="AU28" s="7" t="s">
        <v>91</v>
      </c>
      <c r="AV28" s="7" t="s">
        <v>85</v>
      </c>
      <c r="AW28" s="7" t="s">
        <v>91</v>
      </c>
      <c r="AX28" s="7" t="s">
        <v>91</v>
      </c>
      <c r="AY28" s="7" t="s">
        <v>85</v>
      </c>
      <c r="AZ28" s="7" t="s">
        <v>93</v>
      </c>
      <c r="BA28" s="7" t="s">
        <v>85</v>
      </c>
      <c r="BB28" s="7" t="s">
        <v>85</v>
      </c>
      <c r="BC28" s="7" t="s">
        <v>91</v>
      </c>
      <c r="BD28" s="7" t="s">
        <v>79</v>
      </c>
      <c r="BE28" s="7" t="s">
        <v>300</v>
      </c>
      <c r="BF28" s="7" t="s">
        <v>85</v>
      </c>
      <c r="BG28" s="7" t="s">
        <v>85</v>
      </c>
      <c r="BH28" s="7" t="s">
        <v>85</v>
      </c>
      <c r="BI28" s="7" t="s">
        <v>91</v>
      </c>
      <c r="BJ28" s="7" t="s">
        <v>91</v>
      </c>
      <c r="BK28" s="7" t="s">
        <v>85</v>
      </c>
      <c r="BL28" s="7" t="s">
        <v>85</v>
      </c>
      <c r="BM28" s="7" t="s">
        <v>95</v>
      </c>
      <c r="BN28" s="7" t="s">
        <v>96</v>
      </c>
      <c r="BO28" s="12">
        <v>0</v>
      </c>
      <c r="BP28" s="7" t="s">
        <v>85</v>
      </c>
      <c r="BQ28" s="7" t="s">
        <v>85</v>
      </c>
      <c r="BR28" s="7" t="s">
        <v>91</v>
      </c>
      <c r="BS28" s="7" t="s">
        <v>85</v>
      </c>
      <c r="BT28" s="16" t="s">
        <v>388</v>
      </c>
      <c r="BU28" s="16" t="s">
        <v>446</v>
      </c>
      <c r="BV28" s="16" t="s">
        <v>389</v>
      </c>
      <c r="BW28" s="16" t="s">
        <v>447</v>
      </c>
      <c r="BX28" s="16" t="s">
        <v>448</v>
      </c>
    </row>
    <row r="29" spans="1:76" s="7" customFormat="1">
      <c r="A29" s="14">
        <v>46056</v>
      </c>
      <c r="B29" s="14">
        <v>46056</v>
      </c>
      <c r="C29" s="15">
        <v>0.57394675925925998</v>
      </c>
      <c r="D29" s="16" t="s">
        <v>376</v>
      </c>
      <c r="E29" s="14">
        <v>46056</v>
      </c>
      <c r="F29" s="16" t="s">
        <v>443</v>
      </c>
      <c r="G29" s="16" t="s">
        <v>365</v>
      </c>
      <c r="H29" s="16" t="str">
        <f>VLOOKUP(G29,[1]Sheet3!A:B,2,0)</f>
        <v>ADMD</v>
      </c>
      <c r="I29" s="7" t="s">
        <v>76</v>
      </c>
      <c r="J29" s="7" t="s">
        <v>444</v>
      </c>
      <c r="K29" s="16" t="s">
        <v>377</v>
      </c>
      <c r="L29" s="16" t="s">
        <v>125</v>
      </c>
      <c r="M29" s="17">
        <v>155000</v>
      </c>
      <c r="N29" s="16" t="s">
        <v>79</v>
      </c>
      <c r="O29" s="16" t="s">
        <v>452</v>
      </c>
      <c r="P29" s="16" t="s">
        <v>85</v>
      </c>
      <c r="Q29" s="17">
        <v>155000</v>
      </c>
      <c r="R29" s="7" t="s">
        <v>85</v>
      </c>
      <c r="S29" s="7" t="s">
        <v>122</v>
      </c>
      <c r="T29" s="7" t="s">
        <v>370</v>
      </c>
      <c r="U29" s="12">
        <v>6330784.5999999996</v>
      </c>
      <c r="V29" s="7" t="s">
        <v>85</v>
      </c>
      <c r="W29" s="7" t="s">
        <v>85</v>
      </c>
      <c r="X29" s="7" t="s">
        <v>86</v>
      </c>
      <c r="Y29" s="7" t="s">
        <v>371</v>
      </c>
      <c r="Z29" s="7" t="s">
        <v>372</v>
      </c>
      <c r="AA29" s="7" t="s">
        <v>89</v>
      </c>
      <c r="AB29" s="7" t="s">
        <v>85</v>
      </c>
      <c r="AC29" s="7" t="s">
        <v>281</v>
      </c>
      <c r="AD29" s="7" t="s">
        <v>85</v>
      </c>
      <c r="AE29" s="7" t="s">
        <v>85</v>
      </c>
      <c r="AF29" s="7" t="s">
        <v>91</v>
      </c>
      <c r="AG29" s="7" t="s">
        <v>85</v>
      </c>
      <c r="AH29" s="7" t="s">
        <v>91</v>
      </c>
      <c r="AI29" s="13">
        <v>155000</v>
      </c>
      <c r="AJ29" s="7" t="s">
        <v>79</v>
      </c>
      <c r="AK29" s="7" t="s">
        <v>79</v>
      </c>
      <c r="AL29" s="13">
        <v>155000</v>
      </c>
      <c r="AM29" s="7" t="s">
        <v>371</v>
      </c>
      <c r="AN29" s="7" t="s">
        <v>85</v>
      </c>
      <c r="AO29" s="7" t="s">
        <v>85</v>
      </c>
      <c r="AP29" s="7" t="s">
        <v>118</v>
      </c>
      <c r="AQ29" s="7" t="s">
        <v>85</v>
      </c>
      <c r="AR29" s="7" t="s">
        <v>85</v>
      </c>
      <c r="AS29" s="12">
        <v>0</v>
      </c>
      <c r="AT29" s="12">
        <v>0</v>
      </c>
      <c r="AU29" s="7" t="s">
        <v>91</v>
      </c>
      <c r="AV29" s="7" t="s">
        <v>85</v>
      </c>
      <c r="AW29" s="7" t="s">
        <v>91</v>
      </c>
      <c r="AX29" s="7" t="s">
        <v>91</v>
      </c>
      <c r="AY29" s="7" t="s">
        <v>85</v>
      </c>
      <c r="AZ29" s="7" t="s">
        <v>93</v>
      </c>
      <c r="BA29" s="7" t="s">
        <v>85</v>
      </c>
      <c r="BB29" s="7" t="s">
        <v>85</v>
      </c>
      <c r="BC29" s="7" t="s">
        <v>91</v>
      </c>
      <c r="BD29" s="7" t="s">
        <v>79</v>
      </c>
      <c r="BE29" s="7" t="s">
        <v>300</v>
      </c>
      <c r="BF29" s="7" t="s">
        <v>85</v>
      </c>
      <c r="BG29" s="7" t="s">
        <v>85</v>
      </c>
      <c r="BH29" s="7" t="s">
        <v>85</v>
      </c>
      <c r="BI29" s="7" t="s">
        <v>91</v>
      </c>
      <c r="BJ29" s="7" t="s">
        <v>91</v>
      </c>
      <c r="BK29" s="7" t="s">
        <v>85</v>
      </c>
      <c r="BL29" s="7" t="s">
        <v>85</v>
      </c>
      <c r="BM29" s="7" t="s">
        <v>95</v>
      </c>
      <c r="BN29" s="7" t="s">
        <v>96</v>
      </c>
      <c r="BO29" s="12">
        <v>0</v>
      </c>
      <c r="BP29" s="7" t="s">
        <v>85</v>
      </c>
      <c r="BQ29" s="7" t="s">
        <v>85</v>
      </c>
      <c r="BR29" s="7" t="s">
        <v>91</v>
      </c>
      <c r="BS29" s="7" t="s">
        <v>85</v>
      </c>
      <c r="BT29" s="16" t="s">
        <v>388</v>
      </c>
      <c r="BU29" s="16" t="s">
        <v>446</v>
      </c>
      <c r="BV29" s="16" t="s">
        <v>389</v>
      </c>
      <c r="BW29" s="16" t="s">
        <v>447</v>
      </c>
      <c r="BX29" s="16" t="s">
        <v>448</v>
      </c>
    </row>
    <row r="30" spans="1:76" s="7" customFormat="1">
      <c r="A30" s="14">
        <v>46056</v>
      </c>
      <c r="B30" s="14">
        <v>46056</v>
      </c>
      <c r="C30" s="15">
        <v>0.57394675925925998</v>
      </c>
      <c r="D30" s="16" t="s">
        <v>376</v>
      </c>
      <c r="E30" s="14">
        <v>46056</v>
      </c>
      <c r="F30" s="16" t="s">
        <v>443</v>
      </c>
      <c r="G30" s="16" t="s">
        <v>365</v>
      </c>
      <c r="H30" s="16" t="str">
        <f>VLOOKUP(G30,[1]Sheet3!A:B,2,0)</f>
        <v>ADMD</v>
      </c>
      <c r="I30" s="7" t="s">
        <v>76</v>
      </c>
      <c r="J30" s="7" t="s">
        <v>444</v>
      </c>
      <c r="K30" s="16" t="s">
        <v>377</v>
      </c>
      <c r="L30" s="16" t="s">
        <v>125</v>
      </c>
      <c r="M30" s="17">
        <v>1000</v>
      </c>
      <c r="N30" s="16" t="s">
        <v>79</v>
      </c>
      <c r="O30" s="16" t="s">
        <v>453</v>
      </c>
      <c r="P30" s="16" t="s">
        <v>85</v>
      </c>
      <c r="Q30" s="17">
        <v>1000</v>
      </c>
      <c r="R30" s="7" t="s">
        <v>85</v>
      </c>
      <c r="S30" s="7" t="s">
        <v>122</v>
      </c>
      <c r="T30" s="7" t="s">
        <v>370</v>
      </c>
      <c r="U30" s="12">
        <v>40843.78</v>
      </c>
      <c r="V30" s="7" t="s">
        <v>85</v>
      </c>
      <c r="W30" s="7" t="s">
        <v>85</v>
      </c>
      <c r="X30" s="7" t="s">
        <v>86</v>
      </c>
      <c r="Y30" s="7" t="s">
        <v>371</v>
      </c>
      <c r="Z30" s="7" t="s">
        <v>372</v>
      </c>
      <c r="AA30" s="7" t="s">
        <v>89</v>
      </c>
      <c r="AB30" s="7" t="s">
        <v>85</v>
      </c>
      <c r="AC30" s="7" t="s">
        <v>98</v>
      </c>
      <c r="AD30" s="7" t="s">
        <v>85</v>
      </c>
      <c r="AE30" s="7" t="s">
        <v>85</v>
      </c>
      <c r="AF30" s="7" t="s">
        <v>91</v>
      </c>
      <c r="AG30" s="7" t="s">
        <v>85</v>
      </c>
      <c r="AH30" s="7" t="s">
        <v>91</v>
      </c>
      <c r="AI30" s="13">
        <v>1000</v>
      </c>
      <c r="AJ30" s="7" t="s">
        <v>79</v>
      </c>
      <c r="AK30" s="7" t="s">
        <v>79</v>
      </c>
      <c r="AL30" s="13">
        <v>1000</v>
      </c>
      <c r="AM30" s="7" t="s">
        <v>371</v>
      </c>
      <c r="AN30" s="7" t="s">
        <v>85</v>
      </c>
      <c r="AO30" s="7" t="s">
        <v>85</v>
      </c>
      <c r="AP30" s="7" t="s">
        <v>118</v>
      </c>
      <c r="AQ30" s="7" t="s">
        <v>85</v>
      </c>
      <c r="AR30" s="7" t="s">
        <v>85</v>
      </c>
      <c r="AS30" s="12">
        <v>0</v>
      </c>
      <c r="AT30" s="12">
        <v>0</v>
      </c>
      <c r="AU30" s="7" t="s">
        <v>91</v>
      </c>
      <c r="AV30" s="7" t="s">
        <v>85</v>
      </c>
      <c r="AW30" s="7" t="s">
        <v>91</v>
      </c>
      <c r="AX30" s="7" t="s">
        <v>91</v>
      </c>
      <c r="AY30" s="7" t="s">
        <v>85</v>
      </c>
      <c r="AZ30" s="7" t="s">
        <v>93</v>
      </c>
      <c r="BA30" s="7" t="s">
        <v>85</v>
      </c>
      <c r="BB30" s="7" t="s">
        <v>85</v>
      </c>
      <c r="BC30" s="7" t="s">
        <v>91</v>
      </c>
      <c r="BD30" s="7" t="s">
        <v>79</v>
      </c>
      <c r="BE30" s="7" t="s">
        <v>300</v>
      </c>
      <c r="BF30" s="7" t="s">
        <v>85</v>
      </c>
      <c r="BG30" s="7" t="s">
        <v>85</v>
      </c>
      <c r="BH30" s="7" t="s">
        <v>85</v>
      </c>
      <c r="BI30" s="7" t="s">
        <v>91</v>
      </c>
      <c r="BJ30" s="7" t="s">
        <v>91</v>
      </c>
      <c r="BK30" s="7" t="s">
        <v>85</v>
      </c>
      <c r="BL30" s="7" t="s">
        <v>85</v>
      </c>
      <c r="BM30" s="7" t="s">
        <v>95</v>
      </c>
      <c r="BN30" s="7" t="s">
        <v>96</v>
      </c>
      <c r="BO30" s="12">
        <v>0</v>
      </c>
      <c r="BP30" s="7" t="s">
        <v>85</v>
      </c>
      <c r="BQ30" s="7" t="s">
        <v>85</v>
      </c>
      <c r="BR30" s="7" t="s">
        <v>91</v>
      </c>
      <c r="BS30" s="7" t="s">
        <v>85</v>
      </c>
      <c r="BT30" s="16" t="s">
        <v>388</v>
      </c>
      <c r="BU30" s="16" t="s">
        <v>446</v>
      </c>
      <c r="BV30" s="16" t="s">
        <v>389</v>
      </c>
      <c r="BW30" s="16" t="s">
        <v>447</v>
      </c>
      <c r="BX30" s="16" t="s">
        <v>448</v>
      </c>
    </row>
    <row r="31" spans="1:76" s="7" customFormat="1">
      <c r="A31" s="14">
        <v>46056</v>
      </c>
      <c r="B31" s="14">
        <v>46056</v>
      </c>
      <c r="C31" s="15">
        <v>0.57394675925925998</v>
      </c>
      <c r="D31" s="16" t="s">
        <v>376</v>
      </c>
      <c r="E31" s="14">
        <v>46056</v>
      </c>
      <c r="F31" s="16" t="s">
        <v>443</v>
      </c>
      <c r="G31" s="16" t="s">
        <v>365</v>
      </c>
      <c r="H31" s="16" t="str">
        <f>VLOOKUP(G31,[1]Sheet3!A:B,2,0)</f>
        <v>ADMD</v>
      </c>
      <c r="I31" s="7" t="s">
        <v>76</v>
      </c>
      <c r="J31" s="7" t="s">
        <v>444</v>
      </c>
      <c r="K31" s="16" t="s">
        <v>377</v>
      </c>
      <c r="L31" s="16" t="s">
        <v>125</v>
      </c>
      <c r="M31" s="17">
        <v>155000</v>
      </c>
      <c r="N31" s="16" t="s">
        <v>79</v>
      </c>
      <c r="O31" s="16" t="s">
        <v>454</v>
      </c>
      <c r="P31" s="16" t="s">
        <v>85</v>
      </c>
      <c r="Q31" s="17">
        <v>155000</v>
      </c>
      <c r="R31" s="7" t="s">
        <v>85</v>
      </c>
      <c r="S31" s="7" t="s">
        <v>122</v>
      </c>
      <c r="T31" s="7" t="s">
        <v>370</v>
      </c>
      <c r="U31" s="12">
        <v>6330784.5999999996</v>
      </c>
      <c r="V31" s="7" t="s">
        <v>85</v>
      </c>
      <c r="W31" s="7" t="s">
        <v>85</v>
      </c>
      <c r="X31" s="7" t="s">
        <v>86</v>
      </c>
      <c r="Y31" s="7" t="s">
        <v>371</v>
      </c>
      <c r="Z31" s="7" t="s">
        <v>372</v>
      </c>
      <c r="AA31" s="7" t="s">
        <v>89</v>
      </c>
      <c r="AB31" s="7" t="s">
        <v>85</v>
      </c>
      <c r="AC31" s="7" t="s">
        <v>134</v>
      </c>
      <c r="AD31" s="7" t="s">
        <v>85</v>
      </c>
      <c r="AE31" s="7" t="s">
        <v>85</v>
      </c>
      <c r="AF31" s="7" t="s">
        <v>91</v>
      </c>
      <c r="AG31" s="7" t="s">
        <v>85</v>
      </c>
      <c r="AH31" s="7" t="s">
        <v>91</v>
      </c>
      <c r="AI31" s="13">
        <v>155000</v>
      </c>
      <c r="AJ31" s="7" t="s">
        <v>79</v>
      </c>
      <c r="AK31" s="7" t="s">
        <v>79</v>
      </c>
      <c r="AL31" s="13">
        <v>155000</v>
      </c>
      <c r="AM31" s="7" t="s">
        <v>371</v>
      </c>
      <c r="AN31" s="7" t="s">
        <v>85</v>
      </c>
      <c r="AO31" s="7" t="s">
        <v>85</v>
      </c>
      <c r="AP31" s="7" t="s">
        <v>118</v>
      </c>
      <c r="AQ31" s="7" t="s">
        <v>85</v>
      </c>
      <c r="AR31" s="7" t="s">
        <v>85</v>
      </c>
      <c r="AS31" s="12">
        <v>0</v>
      </c>
      <c r="AT31" s="12">
        <v>0</v>
      </c>
      <c r="AU31" s="7" t="s">
        <v>91</v>
      </c>
      <c r="AV31" s="7" t="s">
        <v>85</v>
      </c>
      <c r="AW31" s="7" t="s">
        <v>91</v>
      </c>
      <c r="AX31" s="7" t="s">
        <v>91</v>
      </c>
      <c r="AY31" s="7" t="s">
        <v>85</v>
      </c>
      <c r="AZ31" s="7" t="s">
        <v>93</v>
      </c>
      <c r="BA31" s="7" t="s">
        <v>85</v>
      </c>
      <c r="BB31" s="7" t="s">
        <v>85</v>
      </c>
      <c r="BC31" s="7" t="s">
        <v>91</v>
      </c>
      <c r="BD31" s="7" t="s">
        <v>79</v>
      </c>
      <c r="BE31" s="7" t="s">
        <v>300</v>
      </c>
      <c r="BF31" s="7" t="s">
        <v>85</v>
      </c>
      <c r="BG31" s="7" t="s">
        <v>85</v>
      </c>
      <c r="BH31" s="7" t="s">
        <v>85</v>
      </c>
      <c r="BI31" s="7" t="s">
        <v>91</v>
      </c>
      <c r="BJ31" s="7" t="s">
        <v>91</v>
      </c>
      <c r="BK31" s="7" t="s">
        <v>85</v>
      </c>
      <c r="BL31" s="7" t="s">
        <v>85</v>
      </c>
      <c r="BM31" s="7" t="s">
        <v>95</v>
      </c>
      <c r="BN31" s="7" t="s">
        <v>96</v>
      </c>
      <c r="BO31" s="12">
        <v>0</v>
      </c>
      <c r="BP31" s="7" t="s">
        <v>85</v>
      </c>
      <c r="BQ31" s="7" t="s">
        <v>85</v>
      </c>
      <c r="BR31" s="7" t="s">
        <v>91</v>
      </c>
      <c r="BS31" s="7" t="s">
        <v>85</v>
      </c>
      <c r="BT31" s="16" t="s">
        <v>388</v>
      </c>
      <c r="BU31" s="16" t="s">
        <v>446</v>
      </c>
      <c r="BV31" s="16" t="s">
        <v>389</v>
      </c>
      <c r="BW31" s="16" t="s">
        <v>447</v>
      </c>
      <c r="BX31" s="16" t="s">
        <v>448</v>
      </c>
    </row>
    <row r="32" spans="1:76" s="7" customFormat="1">
      <c r="A32" s="14">
        <v>46056</v>
      </c>
      <c r="B32" s="14">
        <v>46056</v>
      </c>
      <c r="C32" s="15">
        <v>0.57394675925925998</v>
      </c>
      <c r="D32" s="16" t="s">
        <v>376</v>
      </c>
      <c r="E32" s="14">
        <v>46056</v>
      </c>
      <c r="F32" s="16" t="s">
        <v>443</v>
      </c>
      <c r="G32" s="16" t="s">
        <v>365</v>
      </c>
      <c r="H32" s="16" t="str">
        <f>VLOOKUP(G32,[1]Sheet3!A:B,2,0)</f>
        <v>ADMD</v>
      </c>
      <c r="I32" s="7" t="s">
        <v>76</v>
      </c>
      <c r="J32" s="7" t="s">
        <v>444</v>
      </c>
      <c r="K32" s="16" t="s">
        <v>377</v>
      </c>
      <c r="L32" s="16" t="s">
        <v>125</v>
      </c>
      <c r="M32" s="17">
        <v>155000</v>
      </c>
      <c r="N32" s="16" t="s">
        <v>79</v>
      </c>
      <c r="O32" s="16" t="s">
        <v>455</v>
      </c>
      <c r="P32" s="16" t="s">
        <v>85</v>
      </c>
      <c r="Q32" s="17">
        <v>155000</v>
      </c>
      <c r="R32" s="7" t="s">
        <v>85</v>
      </c>
      <c r="S32" s="7" t="s">
        <v>122</v>
      </c>
      <c r="T32" s="7" t="s">
        <v>370</v>
      </c>
      <c r="U32" s="12">
        <v>6330784.5999999996</v>
      </c>
      <c r="V32" s="7" t="s">
        <v>85</v>
      </c>
      <c r="W32" s="7" t="s">
        <v>85</v>
      </c>
      <c r="X32" s="7" t="s">
        <v>86</v>
      </c>
      <c r="Y32" s="7" t="s">
        <v>371</v>
      </c>
      <c r="Z32" s="7" t="s">
        <v>372</v>
      </c>
      <c r="AA32" s="7" t="s">
        <v>89</v>
      </c>
      <c r="AB32" s="7" t="s">
        <v>85</v>
      </c>
      <c r="AC32" s="7" t="s">
        <v>112</v>
      </c>
      <c r="AD32" s="7" t="s">
        <v>85</v>
      </c>
      <c r="AE32" s="7" t="s">
        <v>85</v>
      </c>
      <c r="AF32" s="7" t="s">
        <v>91</v>
      </c>
      <c r="AG32" s="7" t="s">
        <v>85</v>
      </c>
      <c r="AH32" s="7" t="s">
        <v>91</v>
      </c>
      <c r="AI32" s="13">
        <v>155000</v>
      </c>
      <c r="AJ32" s="7" t="s">
        <v>79</v>
      </c>
      <c r="AK32" s="7" t="s">
        <v>79</v>
      </c>
      <c r="AL32" s="13">
        <v>155000</v>
      </c>
      <c r="AM32" s="7" t="s">
        <v>371</v>
      </c>
      <c r="AN32" s="7" t="s">
        <v>85</v>
      </c>
      <c r="AO32" s="7" t="s">
        <v>85</v>
      </c>
      <c r="AP32" s="7" t="s">
        <v>118</v>
      </c>
      <c r="AQ32" s="7" t="s">
        <v>85</v>
      </c>
      <c r="AR32" s="7" t="s">
        <v>85</v>
      </c>
      <c r="AS32" s="12">
        <v>0</v>
      </c>
      <c r="AT32" s="12">
        <v>0</v>
      </c>
      <c r="AU32" s="7" t="s">
        <v>91</v>
      </c>
      <c r="AV32" s="7" t="s">
        <v>85</v>
      </c>
      <c r="AW32" s="7" t="s">
        <v>91</v>
      </c>
      <c r="AX32" s="7" t="s">
        <v>91</v>
      </c>
      <c r="AY32" s="7" t="s">
        <v>85</v>
      </c>
      <c r="AZ32" s="7" t="s">
        <v>93</v>
      </c>
      <c r="BA32" s="7" t="s">
        <v>85</v>
      </c>
      <c r="BB32" s="7" t="s">
        <v>85</v>
      </c>
      <c r="BC32" s="7" t="s">
        <v>91</v>
      </c>
      <c r="BD32" s="7" t="s">
        <v>79</v>
      </c>
      <c r="BE32" s="7" t="s">
        <v>300</v>
      </c>
      <c r="BF32" s="7" t="s">
        <v>85</v>
      </c>
      <c r="BG32" s="7" t="s">
        <v>85</v>
      </c>
      <c r="BH32" s="7" t="s">
        <v>85</v>
      </c>
      <c r="BI32" s="7" t="s">
        <v>91</v>
      </c>
      <c r="BJ32" s="7" t="s">
        <v>91</v>
      </c>
      <c r="BK32" s="7" t="s">
        <v>85</v>
      </c>
      <c r="BL32" s="7" t="s">
        <v>85</v>
      </c>
      <c r="BM32" s="7" t="s">
        <v>95</v>
      </c>
      <c r="BN32" s="7" t="s">
        <v>96</v>
      </c>
      <c r="BO32" s="12">
        <v>0</v>
      </c>
      <c r="BP32" s="7" t="s">
        <v>85</v>
      </c>
      <c r="BQ32" s="7" t="s">
        <v>85</v>
      </c>
      <c r="BR32" s="7" t="s">
        <v>91</v>
      </c>
      <c r="BS32" s="7" t="s">
        <v>85</v>
      </c>
      <c r="BT32" s="16" t="s">
        <v>388</v>
      </c>
      <c r="BU32" s="16" t="s">
        <v>446</v>
      </c>
      <c r="BV32" s="16" t="s">
        <v>389</v>
      </c>
      <c r="BW32" s="16" t="s">
        <v>447</v>
      </c>
      <c r="BX32" s="16" t="s">
        <v>448</v>
      </c>
    </row>
    <row r="33" spans="1:77" s="7" customFormat="1">
      <c r="A33" s="14">
        <v>46056</v>
      </c>
      <c r="B33" s="14">
        <v>46056</v>
      </c>
      <c r="C33" s="15">
        <v>0.57394675925925998</v>
      </c>
      <c r="D33" s="16" t="s">
        <v>376</v>
      </c>
      <c r="E33" s="14">
        <v>46056</v>
      </c>
      <c r="F33" s="16" t="s">
        <v>443</v>
      </c>
      <c r="G33" s="16" t="s">
        <v>365</v>
      </c>
      <c r="H33" s="16" t="str">
        <f>VLOOKUP(G33,[1]Sheet3!A:B,2,0)</f>
        <v>ADMD</v>
      </c>
      <c r="I33" s="7" t="s">
        <v>76</v>
      </c>
      <c r="J33" s="7" t="s">
        <v>444</v>
      </c>
      <c r="K33" s="16" t="s">
        <v>377</v>
      </c>
      <c r="L33" s="16" t="s">
        <v>125</v>
      </c>
      <c r="M33" s="17">
        <v>94000</v>
      </c>
      <c r="N33" s="16" t="s">
        <v>79</v>
      </c>
      <c r="O33" s="16" t="s">
        <v>456</v>
      </c>
      <c r="P33" s="16" t="s">
        <v>85</v>
      </c>
      <c r="Q33" s="17">
        <v>94000</v>
      </c>
      <c r="R33" s="7" t="s">
        <v>85</v>
      </c>
      <c r="S33" s="7" t="s">
        <v>122</v>
      </c>
      <c r="T33" s="7" t="s">
        <v>370</v>
      </c>
      <c r="U33" s="12">
        <v>3839314.54</v>
      </c>
      <c r="V33" s="7" t="s">
        <v>85</v>
      </c>
      <c r="W33" s="7" t="s">
        <v>85</v>
      </c>
      <c r="X33" s="7" t="s">
        <v>86</v>
      </c>
      <c r="Y33" s="7" t="s">
        <v>371</v>
      </c>
      <c r="Z33" s="7" t="s">
        <v>372</v>
      </c>
      <c r="AA33" s="7" t="s">
        <v>89</v>
      </c>
      <c r="AB33" s="7" t="s">
        <v>85</v>
      </c>
      <c r="AC33" s="7" t="s">
        <v>90</v>
      </c>
      <c r="AD33" s="7" t="s">
        <v>85</v>
      </c>
      <c r="AE33" s="7" t="s">
        <v>85</v>
      </c>
      <c r="AF33" s="7" t="s">
        <v>91</v>
      </c>
      <c r="AG33" s="7" t="s">
        <v>85</v>
      </c>
      <c r="AH33" s="7" t="s">
        <v>91</v>
      </c>
      <c r="AI33" s="13">
        <v>94000</v>
      </c>
      <c r="AJ33" s="7" t="s">
        <v>79</v>
      </c>
      <c r="AK33" s="7" t="s">
        <v>79</v>
      </c>
      <c r="AL33" s="13">
        <v>94000</v>
      </c>
      <c r="AM33" s="7" t="s">
        <v>371</v>
      </c>
      <c r="AN33" s="7" t="s">
        <v>85</v>
      </c>
      <c r="AO33" s="7" t="s">
        <v>85</v>
      </c>
      <c r="AP33" s="7" t="s">
        <v>118</v>
      </c>
      <c r="AQ33" s="7" t="s">
        <v>85</v>
      </c>
      <c r="AR33" s="7" t="s">
        <v>85</v>
      </c>
      <c r="AS33" s="12">
        <v>0</v>
      </c>
      <c r="AT33" s="12">
        <v>0</v>
      </c>
      <c r="AU33" s="7" t="s">
        <v>91</v>
      </c>
      <c r="AV33" s="7" t="s">
        <v>85</v>
      </c>
      <c r="AW33" s="7" t="s">
        <v>91</v>
      </c>
      <c r="AX33" s="7" t="s">
        <v>91</v>
      </c>
      <c r="AY33" s="7" t="s">
        <v>85</v>
      </c>
      <c r="AZ33" s="7" t="s">
        <v>93</v>
      </c>
      <c r="BA33" s="7" t="s">
        <v>85</v>
      </c>
      <c r="BB33" s="7" t="s">
        <v>85</v>
      </c>
      <c r="BC33" s="7" t="s">
        <v>91</v>
      </c>
      <c r="BD33" s="7" t="s">
        <v>79</v>
      </c>
      <c r="BE33" s="7" t="s">
        <v>300</v>
      </c>
      <c r="BF33" s="7" t="s">
        <v>85</v>
      </c>
      <c r="BG33" s="7" t="s">
        <v>85</v>
      </c>
      <c r="BH33" s="7" t="s">
        <v>85</v>
      </c>
      <c r="BI33" s="7" t="s">
        <v>91</v>
      </c>
      <c r="BJ33" s="7" t="s">
        <v>91</v>
      </c>
      <c r="BK33" s="7" t="s">
        <v>85</v>
      </c>
      <c r="BL33" s="7" t="s">
        <v>85</v>
      </c>
      <c r="BM33" s="7" t="s">
        <v>95</v>
      </c>
      <c r="BN33" s="7" t="s">
        <v>96</v>
      </c>
      <c r="BO33" s="12">
        <v>0</v>
      </c>
      <c r="BP33" s="7" t="s">
        <v>85</v>
      </c>
      <c r="BQ33" s="7" t="s">
        <v>85</v>
      </c>
      <c r="BR33" s="7" t="s">
        <v>91</v>
      </c>
      <c r="BS33" s="7" t="s">
        <v>85</v>
      </c>
      <c r="BT33" s="16" t="s">
        <v>388</v>
      </c>
      <c r="BU33" s="16" t="s">
        <v>446</v>
      </c>
      <c r="BV33" s="16" t="s">
        <v>389</v>
      </c>
      <c r="BW33" s="16" t="s">
        <v>447</v>
      </c>
      <c r="BX33" s="16" t="s">
        <v>448</v>
      </c>
    </row>
    <row r="34" spans="1:77" s="7" customFormat="1">
      <c r="A34" s="14">
        <v>46056</v>
      </c>
      <c r="B34" s="14">
        <v>46056</v>
      </c>
      <c r="C34" s="15">
        <v>0.57394675925925998</v>
      </c>
      <c r="D34" s="16" t="s">
        <v>376</v>
      </c>
      <c r="E34" s="14">
        <v>46056</v>
      </c>
      <c r="F34" s="16" t="s">
        <v>443</v>
      </c>
      <c r="G34" s="16" t="s">
        <v>365</v>
      </c>
      <c r="H34" s="16" t="str">
        <f>VLOOKUP(G34,[1]Sheet3!A:B,2,0)</f>
        <v>ADMD</v>
      </c>
      <c r="I34" s="7" t="s">
        <v>76</v>
      </c>
      <c r="J34" s="7" t="s">
        <v>444</v>
      </c>
      <c r="K34" s="16" t="s">
        <v>377</v>
      </c>
      <c r="L34" s="16" t="s">
        <v>125</v>
      </c>
      <c r="M34" s="17">
        <v>119000</v>
      </c>
      <c r="N34" s="16" t="s">
        <v>79</v>
      </c>
      <c r="O34" s="16" t="s">
        <v>457</v>
      </c>
      <c r="P34" s="16" t="s">
        <v>85</v>
      </c>
      <c r="Q34" s="17">
        <v>119000</v>
      </c>
      <c r="R34" s="7" t="s">
        <v>85</v>
      </c>
      <c r="S34" s="7" t="s">
        <v>122</v>
      </c>
      <c r="T34" s="7" t="s">
        <v>370</v>
      </c>
      <c r="U34" s="12">
        <v>4860408.84</v>
      </c>
      <c r="V34" s="7" t="s">
        <v>85</v>
      </c>
      <c r="W34" s="7" t="s">
        <v>85</v>
      </c>
      <c r="X34" s="7" t="s">
        <v>86</v>
      </c>
      <c r="Y34" s="7" t="s">
        <v>371</v>
      </c>
      <c r="Z34" s="7" t="s">
        <v>372</v>
      </c>
      <c r="AA34" s="7" t="s">
        <v>89</v>
      </c>
      <c r="AB34" s="7" t="s">
        <v>85</v>
      </c>
      <c r="AC34" s="7" t="s">
        <v>118</v>
      </c>
      <c r="AD34" s="7" t="s">
        <v>85</v>
      </c>
      <c r="AE34" s="7" t="s">
        <v>85</v>
      </c>
      <c r="AF34" s="7" t="s">
        <v>91</v>
      </c>
      <c r="AG34" s="7" t="s">
        <v>85</v>
      </c>
      <c r="AH34" s="7" t="s">
        <v>91</v>
      </c>
      <c r="AI34" s="13">
        <v>119000</v>
      </c>
      <c r="AJ34" s="7" t="s">
        <v>79</v>
      </c>
      <c r="AK34" s="7" t="s">
        <v>79</v>
      </c>
      <c r="AL34" s="13">
        <v>119000</v>
      </c>
      <c r="AM34" s="7" t="s">
        <v>371</v>
      </c>
      <c r="AN34" s="7" t="s">
        <v>85</v>
      </c>
      <c r="AO34" s="7" t="s">
        <v>85</v>
      </c>
      <c r="AP34" s="7" t="s">
        <v>118</v>
      </c>
      <c r="AQ34" s="7" t="s">
        <v>85</v>
      </c>
      <c r="AR34" s="7" t="s">
        <v>85</v>
      </c>
      <c r="AS34" s="12">
        <v>0</v>
      </c>
      <c r="AT34" s="12">
        <v>0</v>
      </c>
      <c r="AU34" s="7" t="s">
        <v>91</v>
      </c>
      <c r="AV34" s="7" t="s">
        <v>85</v>
      </c>
      <c r="AW34" s="7" t="s">
        <v>91</v>
      </c>
      <c r="AX34" s="7" t="s">
        <v>91</v>
      </c>
      <c r="AY34" s="7" t="s">
        <v>85</v>
      </c>
      <c r="AZ34" s="7" t="s">
        <v>93</v>
      </c>
      <c r="BA34" s="7" t="s">
        <v>85</v>
      </c>
      <c r="BB34" s="7" t="s">
        <v>85</v>
      </c>
      <c r="BC34" s="7" t="s">
        <v>91</v>
      </c>
      <c r="BD34" s="7" t="s">
        <v>79</v>
      </c>
      <c r="BE34" s="7" t="s">
        <v>300</v>
      </c>
      <c r="BF34" s="7" t="s">
        <v>85</v>
      </c>
      <c r="BG34" s="7" t="s">
        <v>85</v>
      </c>
      <c r="BH34" s="7" t="s">
        <v>85</v>
      </c>
      <c r="BI34" s="7" t="s">
        <v>91</v>
      </c>
      <c r="BJ34" s="7" t="s">
        <v>91</v>
      </c>
      <c r="BK34" s="7" t="s">
        <v>85</v>
      </c>
      <c r="BL34" s="7" t="s">
        <v>85</v>
      </c>
      <c r="BM34" s="7" t="s">
        <v>95</v>
      </c>
      <c r="BN34" s="7" t="s">
        <v>96</v>
      </c>
      <c r="BO34" s="12">
        <v>0</v>
      </c>
      <c r="BP34" s="7" t="s">
        <v>85</v>
      </c>
      <c r="BQ34" s="7" t="s">
        <v>85</v>
      </c>
      <c r="BR34" s="7" t="s">
        <v>91</v>
      </c>
      <c r="BS34" s="7" t="s">
        <v>85</v>
      </c>
      <c r="BT34" s="16" t="s">
        <v>388</v>
      </c>
      <c r="BU34" s="16" t="s">
        <v>446</v>
      </c>
      <c r="BV34" s="16" t="s">
        <v>389</v>
      </c>
      <c r="BW34" s="16" t="s">
        <v>447</v>
      </c>
      <c r="BX34" s="16" t="s">
        <v>448</v>
      </c>
    </row>
    <row r="35" spans="1:77" s="7" customFormat="1">
      <c r="A35" s="14">
        <v>46057</v>
      </c>
      <c r="B35" s="14">
        <v>46057</v>
      </c>
      <c r="C35" s="15">
        <v>0.51504629629630005</v>
      </c>
      <c r="D35" s="16" t="s">
        <v>376</v>
      </c>
      <c r="E35" s="14">
        <v>46057</v>
      </c>
      <c r="F35" s="16" t="s">
        <v>458</v>
      </c>
      <c r="G35" s="16" t="s">
        <v>365</v>
      </c>
      <c r="H35" s="16" t="str">
        <f>VLOOKUP(G35,[1]Sheet3!A:B,2,0)</f>
        <v>ADMD</v>
      </c>
      <c r="I35" s="7" t="s">
        <v>76</v>
      </c>
      <c r="J35" s="7" t="s">
        <v>459</v>
      </c>
      <c r="K35" s="16" t="s">
        <v>377</v>
      </c>
      <c r="L35" s="16" t="s">
        <v>125</v>
      </c>
      <c r="M35" s="17">
        <v>155000</v>
      </c>
      <c r="N35" s="16" t="s">
        <v>79</v>
      </c>
      <c r="O35" s="16" t="s">
        <v>460</v>
      </c>
      <c r="P35" s="16" t="s">
        <v>458</v>
      </c>
      <c r="Q35" s="17">
        <v>155000</v>
      </c>
      <c r="R35" s="7" t="s">
        <v>458</v>
      </c>
      <c r="S35" s="7" t="s">
        <v>83</v>
      </c>
      <c r="T35" s="7" t="s">
        <v>370</v>
      </c>
      <c r="U35" s="12">
        <v>6330784.5999999996</v>
      </c>
      <c r="V35" s="7" t="s">
        <v>85</v>
      </c>
      <c r="W35" s="7" t="s">
        <v>85</v>
      </c>
      <c r="X35" s="7" t="s">
        <v>86</v>
      </c>
      <c r="Y35" s="7" t="s">
        <v>371</v>
      </c>
      <c r="Z35" s="7" t="s">
        <v>372</v>
      </c>
      <c r="AA35" s="7" t="s">
        <v>89</v>
      </c>
      <c r="AB35" s="7" t="s">
        <v>85</v>
      </c>
      <c r="AC35" s="7" t="s">
        <v>98</v>
      </c>
      <c r="AD35" s="7" t="s">
        <v>85</v>
      </c>
      <c r="AE35" s="7" t="s">
        <v>85</v>
      </c>
      <c r="AF35" s="7" t="s">
        <v>91</v>
      </c>
      <c r="AG35" s="7" t="s">
        <v>85</v>
      </c>
      <c r="AH35" s="7" t="s">
        <v>91</v>
      </c>
      <c r="AI35" s="13">
        <v>155000</v>
      </c>
      <c r="AJ35" s="7" t="s">
        <v>79</v>
      </c>
      <c r="AK35" s="7" t="s">
        <v>79</v>
      </c>
      <c r="AL35" s="13">
        <v>155000</v>
      </c>
      <c r="AM35" s="7" t="s">
        <v>371</v>
      </c>
      <c r="AN35" s="7" t="s">
        <v>85</v>
      </c>
      <c r="AO35" s="7" t="s">
        <v>85</v>
      </c>
      <c r="AP35" s="7" t="s">
        <v>118</v>
      </c>
      <c r="AQ35" s="7" t="s">
        <v>85</v>
      </c>
      <c r="AR35" s="7" t="s">
        <v>85</v>
      </c>
      <c r="AS35" s="12">
        <v>0</v>
      </c>
      <c r="AT35" s="12">
        <v>0</v>
      </c>
      <c r="AU35" s="7" t="s">
        <v>91</v>
      </c>
      <c r="AV35" s="7" t="s">
        <v>85</v>
      </c>
      <c r="AW35" s="7" t="s">
        <v>91</v>
      </c>
      <c r="AX35" s="7" t="s">
        <v>91</v>
      </c>
      <c r="AY35" s="7" t="s">
        <v>85</v>
      </c>
      <c r="AZ35" s="7" t="s">
        <v>93</v>
      </c>
      <c r="BA35" s="7" t="s">
        <v>85</v>
      </c>
      <c r="BB35" s="7" t="s">
        <v>85</v>
      </c>
      <c r="BC35" s="7" t="s">
        <v>91</v>
      </c>
      <c r="BD35" s="7" t="s">
        <v>79</v>
      </c>
      <c r="BE35" s="7" t="s">
        <v>300</v>
      </c>
      <c r="BF35" s="7" t="s">
        <v>85</v>
      </c>
      <c r="BG35" s="7" t="s">
        <v>85</v>
      </c>
      <c r="BH35" s="7" t="s">
        <v>85</v>
      </c>
      <c r="BI35" s="7" t="s">
        <v>91</v>
      </c>
      <c r="BJ35" s="7" t="s">
        <v>91</v>
      </c>
      <c r="BK35" s="7" t="s">
        <v>85</v>
      </c>
      <c r="BL35" s="7" t="s">
        <v>85</v>
      </c>
      <c r="BM35" s="7" t="s">
        <v>95</v>
      </c>
      <c r="BN35" s="7" t="s">
        <v>96</v>
      </c>
      <c r="BO35" s="12">
        <v>0</v>
      </c>
      <c r="BP35" s="7" t="s">
        <v>85</v>
      </c>
      <c r="BQ35" s="7" t="s">
        <v>85</v>
      </c>
      <c r="BR35" s="7" t="s">
        <v>91</v>
      </c>
      <c r="BS35" s="7" t="s">
        <v>85</v>
      </c>
      <c r="BT35" s="16" t="s">
        <v>388</v>
      </c>
      <c r="BU35" s="16" t="s">
        <v>461</v>
      </c>
      <c r="BV35" s="16" t="s">
        <v>389</v>
      </c>
      <c r="BW35" s="16" t="s">
        <v>447</v>
      </c>
      <c r="BX35" s="16" t="s">
        <v>462</v>
      </c>
    </row>
    <row r="36" spans="1:77" s="7" customFormat="1">
      <c r="A36" s="14">
        <v>46057</v>
      </c>
      <c r="B36" s="14">
        <v>46057</v>
      </c>
      <c r="C36" s="15">
        <v>0.51504629629630005</v>
      </c>
      <c r="D36" s="16" t="s">
        <v>376</v>
      </c>
      <c r="E36" s="14">
        <v>46057</v>
      </c>
      <c r="F36" s="16" t="s">
        <v>458</v>
      </c>
      <c r="G36" s="16" t="s">
        <v>365</v>
      </c>
      <c r="H36" s="16" t="str">
        <f>VLOOKUP(G36,[1]Sheet3!A:B,2,0)</f>
        <v>ADMD</v>
      </c>
      <c r="I36" s="7" t="s">
        <v>76</v>
      </c>
      <c r="J36" s="7" t="s">
        <v>459</v>
      </c>
      <c r="K36" s="16" t="s">
        <v>377</v>
      </c>
      <c r="L36" s="16" t="s">
        <v>125</v>
      </c>
      <c r="M36" s="17">
        <v>155000</v>
      </c>
      <c r="N36" s="16" t="s">
        <v>79</v>
      </c>
      <c r="O36" s="16" t="s">
        <v>463</v>
      </c>
      <c r="P36" s="16" t="s">
        <v>458</v>
      </c>
      <c r="Q36" s="17">
        <v>155000</v>
      </c>
      <c r="R36" s="7" t="s">
        <v>458</v>
      </c>
      <c r="S36" s="7" t="s">
        <v>83</v>
      </c>
      <c r="T36" s="7" t="s">
        <v>370</v>
      </c>
      <c r="U36" s="12">
        <v>6330784.5999999996</v>
      </c>
      <c r="V36" s="7" t="s">
        <v>85</v>
      </c>
      <c r="W36" s="7" t="s">
        <v>85</v>
      </c>
      <c r="X36" s="7" t="s">
        <v>86</v>
      </c>
      <c r="Y36" s="7" t="s">
        <v>371</v>
      </c>
      <c r="Z36" s="7" t="s">
        <v>372</v>
      </c>
      <c r="AA36" s="7" t="s">
        <v>89</v>
      </c>
      <c r="AB36" s="7" t="s">
        <v>85</v>
      </c>
      <c r="AC36" s="7" t="s">
        <v>90</v>
      </c>
      <c r="AD36" s="7" t="s">
        <v>85</v>
      </c>
      <c r="AE36" s="7" t="s">
        <v>85</v>
      </c>
      <c r="AF36" s="7" t="s">
        <v>91</v>
      </c>
      <c r="AG36" s="7" t="s">
        <v>85</v>
      </c>
      <c r="AH36" s="7" t="s">
        <v>91</v>
      </c>
      <c r="AI36" s="13">
        <v>155000</v>
      </c>
      <c r="AJ36" s="7" t="s">
        <v>79</v>
      </c>
      <c r="AK36" s="7" t="s">
        <v>79</v>
      </c>
      <c r="AL36" s="13">
        <v>155000</v>
      </c>
      <c r="AM36" s="7" t="s">
        <v>371</v>
      </c>
      <c r="AN36" s="7" t="s">
        <v>85</v>
      </c>
      <c r="AO36" s="7" t="s">
        <v>85</v>
      </c>
      <c r="AP36" s="7" t="s">
        <v>118</v>
      </c>
      <c r="AQ36" s="7" t="s">
        <v>85</v>
      </c>
      <c r="AR36" s="7" t="s">
        <v>85</v>
      </c>
      <c r="AS36" s="12">
        <v>0</v>
      </c>
      <c r="AT36" s="12">
        <v>0</v>
      </c>
      <c r="AU36" s="7" t="s">
        <v>91</v>
      </c>
      <c r="AV36" s="7" t="s">
        <v>85</v>
      </c>
      <c r="AW36" s="7" t="s">
        <v>91</v>
      </c>
      <c r="AX36" s="7" t="s">
        <v>91</v>
      </c>
      <c r="AY36" s="7" t="s">
        <v>85</v>
      </c>
      <c r="AZ36" s="7" t="s">
        <v>93</v>
      </c>
      <c r="BA36" s="7" t="s">
        <v>85</v>
      </c>
      <c r="BB36" s="7" t="s">
        <v>85</v>
      </c>
      <c r="BC36" s="7" t="s">
        <v>91</v>
      </c>
      <c r="BD36" s="7" t="s">
        <v>79</v>
      </c>
      <c r="BE36" s="7" t="s">
        <v>300</v>
      </c>
      <c r="BF36" s="7" t="s">
        <v>85</v>
      </c>
      <c r="BG36" s="7" t="s">
        <v>85</v>
      </c>
      <c r="BH36" s="7" t="s">
        <v>85</v>
      </c>
      <c r="BI36" s="7" t="s">
        <v>91</v>
      </c>
      <c r="BJ36" s="7" t="s">
        <v>91</v>
      </c>
      <c r="BK36" s="7" t="s">
        <v>85</v>
      </c>
      <c r="BL36" s="7" t="s">
        <v>85</v>
      </c>
      <c r="BM36" s="7" t="s">
        <v>95</v>
      </c>
      <c r="BN36" s="7" t="s">
        <v>96</v>
      </c>
      <c r="BO36" s="12">
        <v>0</v>
      </c>
      <c r="BP36" s="7" t="s">
        <v>85</v>
      </c>
      <c r="BQ36" s="7" t="s">
        <v>85</v>
      </c>
      <c r="BR36" s="7" t="s">
        <v>91</v>
      </c>
      <c r="BS36" s="7" t="s">
        <v>85</v>
      </c>
      <c r="BT36" s="16" t="s">
        <v>388</v>
      </c>
      <c r="BU36" s="16" t="s">
        <v>461</v>
      </c>
      <c r="BV36" s="16" t="s">
        <v>389</v>
      </c>
      <c r="BW36" s="16" t="s">
        <v>447</v>
      </c>
      <c r="BX36" s="16" t="s">
        <v>462</v>
      </c>
    </row>
    <row r="37" spans="1:77" s="7" customFormat="1">
      <c r="A37" s="14">
        <v>46057</v>
      </c>
      <c r="B37" s="14">
        <v>46057</v>
      </c>
      <c r="C37" s="15">
        <v>0.51504629629630005</v>
      </c>
      <c r="D37" s="16" t="s">
        <v>376</v>
      </c>
      <c r="E37" s="14">
        <v>46057</v>
      </c>
      <c r="F37" s="16" t="s">
        <v>458</v>
      </c>
      <c r="G37" s="16" t="s">
        <v>365</v>
      </c>
      <c r="H37" s="16" t="str">
        <f>VLOOKUP(G37,[1]Sheet3!A:B,2,0)</f>
        <v>ADMD</v>
      </c>
      <c r="I37" s="7" t="s">
        <v>76</v>
      </c>
      <c r="J37" s="7" t="s">
        <v>459</v>
      </c>
      <c r="K37" s="16" t="s">
        <v>377</v>
      </c>
      <c r="L37" s="16" t="s">
        <v>125</v>
      </c>
      <c r="M37" s="17">
        <v>155000</v>
      </c>
      <c r="N37" s="16" t="s">
        <v>79</v>
      </c>
      <c r="O37" s="16" t="s">
        <v>453</v>
      </c>
      <c r="P37" s="16" t="s">
        <v>458</v>
      </c>
      <c r="Q37" s="17">
        <v>155000</v>
      </c>
      <c r="R37" s="7" t="s">
        <v>458</v>
      </c>
      <c r="S37" s="7" t="s">
        <v>83</v>
      </c>
      <c r="T37" s="7" t="s">
        <v>370</v>
      </c>
      <c r="U37" s="12">
        <v>6330784.5999999996</v>
      </c>
      <c r="V37" s="7" t="s">
        <v>85</v>
      </c>
      <c r="W37" s="7" t="s">
        <v>85</v>
      </c>
      <c r="X37" s="7" t="s">
        <v>86</v>
      </c>
      <c r="Y37" s="7" t="s">
        <v>371</v>
      </c>
      <c r="Z37" s="7" t="s">
        <v>372</v>
      </c>
      <c r="AA37" s="7" t="s">
        <v>89</v>
      </c>
      <c r="AB37" s="7" t="s">
        <v>85</v>
      </c>
      <c r="AC37" s="7" t="s">
        <v>112</v>
      </c>
      <c r="AD37" s="7" t="s">
        <v>85</v>
      </c>
      <c r="AE37" s="7" t="s">
        <v>85</v>
      </c>
      <c r="AF37" s="7" t="s">
        <v>91</v>
      </c>
      <c r="AG37" s="7" t="s">
        <v>85</v>
      </c>
      <c r="AH37" s="7" t="s">
        <v>91</v>
      </c>
      <c r="AI37" s="13">
        <v>155000</v>
      </c>
      <c r="AJ37" s="7" t="s">
        <v>79</v>
      </c>
      <c r="AK37" s="7" t="s">
        <v>79</v>
      </c>
      <c r="AL37" s="13">
        <v>155000</v>
      </c>
      <c r="AM37" s="7" t="s">
        <v>371</v>
      </c>
      <c r="AN37" s="7" t="s">
        <v>85</v>
      </c>
      <c r="AO37" s="7" t="s">
        <v>85</v>
      </c>
      <c r="AP37" s="7" t="s">
        <v>118</v>
      </c>
      <c r="AQ37" s="7" t="s">
        <v>85</v>
      </c>
      <c r="AR37" s="7" t="s">
        <v>85</v>
      </c>
      <c r="AS37" s="12">
        <v>0</v>
      </c>
      <c r="AT37" s="12">
        <v>0</v>
      </c>
      <c r="AU37" s="7" t="s">
        <v>91</v>
      </c>
      <c r="AV37" s="7" t="s">
        <v>85</v>
      </c>
      <c r="AW37" s="7" t="s">
        <v>91</v>
      </c>
      <c r="AX37" s="7" t="s">
        <v>91</v>
      </c>
      <c r="AY37" s="7" t="s">
        <v>85</v>
      </c>
      <c r="AZ37" s="7" t="s">
        <v>93</v>
      </c>
      <c r="BA37" s="7" t="s">
        <v>85</v>
      </c>
      <c r="BB37" s="7" t="s">
        <v>85</v>
      </c>
      <c r="BC37" s="7" t="s">
        <v>91</v>
      </c>
      <c r="BD37" s="7" t="s">
        <v>79</v>
      </c>
      <c r="BE37" s="7" t="s">
        <v>300</v>
      </c>
      <c r="BF37" s="7" t="s">
        <v>85</v>
      </c>
      <c r="BG37" s="7" t="s">
        <v>85</v>
      </c>
      <c r="BH37" s="7" t="s">
        <v>85</v>
      </c>
      <c r="BI37" s="7" t="s">
        <v>91</v>
      </c>
      <c r="BJ37" s="7" t="s">
        <v>91</v>
      </c>
      <c r="BK37" s="7" t="s">
        <v>85</v>
      </c>
      <c r="BL37" s="7" t="s">
        <v>85</v>
      </c>
      <c r="BM37" s="7" t="s">
        <v>95</v>
      </c>
      <c r="BN37" s="7" t="s">
        <v>96</v>
      </c>
      <c r="BO37" s="12">
        <v>0</v>
      </c>
      <c r="BP37" s="7" t="s">
        <v>85</v>
      </c>
      <c r="BQ37" s="7" t="s">
        <v>85</v>
      </c>
      <c r="BR37" s="7" t="s">
        <v>91</v>
      </c>
      <c r="BS37" s="7" t="s">
        <v>85</v>
      </c>
      <c r="BT37" s="16" t="s">
        <v>388</v>
      </c>
      <c r="BU37" s="16" t="s">
        <v>461</v>
      </c>
      <c r="BV37" s="16" t="s">
        <v>389</v>
      </c>
      <c r="BW37" s="16" t="s">
        <v>447</v>
      </c>
      <c r="BX37" s="16" t="s">
        <v>462</v>
      </c>
    </row>
    <row r="38" spans="1:77" s="7" customFormat="1">
      <c r="A38" s="14">
        <v>46057</v>
      </c>
      <c r="B38" s="14">
        <v>46057</v>
      </c>
      <c r="C38" s="15">
        <v>0.51504629629630005</v>
      </c>
      <c r="D38" s="16" t="s">
        <v>376</v>
      </c>
      <c r="E38" s="14">
        <v>46057</v>
      </c>
      <c r="F38" s="16" t="s">
        <v>458</v>
      </c>
      <c r="G38" s="16" t="s">
        <v>365</v>
      </c>
      <c r="H38" s="16" t="str">
        <f>VLOOKUP(G38,[1]Sheet3!A:B,2,0)</f>
        <v>ADMD</v>
      </c>
      <c r="I38" s="7" t="s">
        <v>76</v>
      </c>
      <c r="J38" s="7" t="s">
        <v>459</v>
      </c>
      <c r="K38" s="16" t="s">
        <v>377</v>
      </c>
      <c r="L38" s="16" t="s">
        <v>125</v>
      </c>
      <c r="M38" s="17">
        <v>155000</v>
      </c>
      <c r="N38" s="16" t="s">
        <v>79</v>
      </c>
      <c r="O38" s="16" t="s">
        <v>464</v>
      </c>
      <c r="P38" s="16" t="s">
        <v>458</v>
      </c>
      <c r="Q38" s="17">
        <v>155000</v>
      </c>
      <c r="R38" s="7" t="s">
        <v>458</v>
      </c>
      <c r="S38" s="7" t="s">
        <v>83</v>
      </c>
      <c r="T38" s="7" t="s">
        <v>370</v>
      </c>
      <c r="U38" s="12">
        <v>6330784.5999999996</v>
      </c>
      <c r="V38" s="7" t="s">
        <v>85</v>
      </c>
      <c r="W38" s="7" t="s">
        <v>85</v>
      </c>
      <c r="X38" s="7" t="s">
        <v>86</v>
      </c>
      <c r="Y38" s="7" t="s">
        <v>371</v>
      </c>
      <c r="Z38" s="7" t="s">
        <v>372</v>
      </c>
      <c r="AA38" s="7" t="s">
        <v>89</v>
      </c>
      <c r="AB38" s="7" t="s">
        <v>85</v>
      </c>
      <c r="AC38" s="7" t="s">
        <v>134</v>
      </c>
      <c r="AD38" s="7" t="s">
        <v>85</v>
      </c>
      <c r="AE38" s="7" t="s">
        <v>85</v>
      </c>
      <c r="AF38" s="7" t="s">
        <v>91</v>
      </c>
      <c r="AG38" s="7" t="s">
        <v>85</v>
      </c>
      <c r="AH38" s="7" t="s">
        <v>91</v>
      </c>
      <c r="AI38" s="13">
        <v>155000</v>
      </c>
      <c r="AJ38" s="7" t="s">
        <v>79</v>
      </c>
      <c r="AK38" s="7" t="s">
        <v>79</v>
      </c>
      <c r="AL38" s="13">
        <v>155000</v>
      </c>
      <c r="AM38" s="7" t="s">
        <v>371</v>
      </c>
      <c r="AN38" s="7" t="s">
        <v>85</v>
      </c>
      <c r="AO38" s="7" t="s">
        <v>85</v>
      </c>
      <c r="AP38" s="7" t="s">
        <v>118</v>
      </c>
      <c r="AQ38" s="7" t="s">
        <v>85</v>
      </c>
      <c r="AR38" s="7" t="s">
        <v>85</v>
      </c>
      <c r="AS38" s="12">
        <v>0</v>
      </c>
      <c r="AT38" s="12">
        <v>0</v>
      </c>
      <c r="AU38" s="7" t="s">
        <v>91</v>
      </c>
      <c r="AV38" s="7" t="s">
        <v>85</v>
      </c>
      <c r="AW38" s="7" t="s">
        <v>91</v>
      </c>
      <c r="AX38" s="7" t="s">
        <v>91</v>
      </c>
      <c r="AY38" s="7" t="s">
        <v>85</v>
      </c>
      <c r="AZ38" s="7" t="s">
        <v>93</v>
      </c>
      <c r="BA38" s="7" t="s">
        <v>85</v>
      </c>
      <c r="BB38" s="7" t="s">
        <v>85</v>
      </c>
      <c r="BC38" s="7" t="s">
        <v>91</v>
      </c>
      <c r="BD38" s="7" t="s">
        <v>79</v>
      </c>
      <c r="BE38" s="7" t="s">
        <v>300</v>
      </c>
      <c r="BF38" s="7" t="s">
        <v>85</v>
      </c>
      <c r="BG38" s="7" t="s">
        <v>85</v>
      </c>
      <c r="BH38" s="7" t="s">
        <v>85</v>
      </c>
      <c r="BI38" s="7" t="s">
        <v>91</v>
      </c>
      <c r="BJ38" s="7" t="s">
        <v>91</v>
      </c>
      <c r="BK38" s="7" t="s">
        <v>85</v>
      </c>
      <c r="BL38" s="7" t="s">
        <v>85</v>
      </c>
      <c r="BM38" s="7" t="s">
        <v>95</v>
      </c>
      <c r="BN38" s="7" t="s">
        <v>96</v>
      </c>
      <c r="BO38" s="12">
        <v>0</v>
      </c>
      <c r="BP38" s="7" t="s">
        <v>85</v>
      </c>
      <c r="BQ38" s="7" t="s">
        <v>85</v>
      </c>
      <c r="BR38" s="7" t="s">
        <v>91</v>
      </c>
      <c r="BS38" s="7" t="s">
        <v>85</v>
      </c>
      <c r="BT38" s="16" t="s">
        <v>388</v>
      </c>
      <c r="BU38" s="16" t="s">
        <v>461</v>
      </c>
      <c r="BV38" s="16" t="s">
        <v>389</v>
      </c>
      <c r="BW38" s="16" t="s">
        <v>447</v>
      </c>
      <c r="BX38" s="16" t="s">
        <v>462</v>
      </c>
    </row>
    <row r="39" spans="1:77" s="7" customFormat="1">
      <c r="A39" s="14">
        <v>46057</v>
      </c>
      <c r="B39" s="14">
        <v>46057</v>
      </c>
      <c r="C39" s="15">
        <v>0.51504629629630005</v>
      </c>
      <c r="D39" s="16" t="s">
        <v>376</v>
      </c>
      <c r="E39" s="14">
        <v>46057</v>
      </c>
      <c r="F39" s="16" t="s">
        <v>458</v>
      </c>
      <c r="G39" s="16" t="s">
        <v>365</v>
      </c>
      <c r="H39" s="16" t="str">
        <f>VLOOKUP(G39,[1]Sheet3!A:B,2,0)</f>
        <v>ADMD</v>
      </c>
      <c r="I39" s="7" t="s">
        <v>76</v>
      </c>
      <c r="J39" s="7" t="s">
        <v>459</v>
      </c>
      <c r="K39" s="16" t="s">
        <v>377</v>
      </c>
      <c r="L39" s="16" t="s">
        <v>125</v>
      </c>
      <c r="M39" s="17">
        <v>155000</v>
      </c>
      <c r="N39" s="16" t="s">
        <v>79</v>
      </c>
      <c r="O39" s="16" t="s">
        <v>465</v>
      </c>
      <c r="P39" s="16" t="s">
        <v>458</v>
      </c>
      <c r="Q39" s="17">
        <v>155000</v>
      </c>
      <c r="R39" s="7" t="s">
        <v>458</v>
      </c>
      <c r="S39" s="7" t="s">
        <v>83</v>
      </c>
      <c r="T39" s="7" t="s">
        <v>370</v>
      </c>
      <c r="U39" s="12">
        <v>6330784.5999999996</v>
      </c>
      <c r="V39" s="7" t="s">
        <v>85</v>
      </c>
      <c r="W39" s="7" t="s">
        <v>85</v>
      </c>
      <c r="X39" s="7" t="s">
        <v>86</v>
      </c>
      <c r="Y39" s="7" t="s">
        <v>371</v>
      </c>
      <c r="Z39" s="7" t="s">
        <v>372</v>
      </c>
      <c r="AA39" s="7" t="s">
        <v>89</v>
      </c>
      <c r="AB39" s="7" t="s">
        <v>85</v>
      </c>
      <c r="AC39" s="7" t="s">
        <v>131</v>
      </c>
      <c r="AD39" s="7" t="s">
        <v>85</v>
      </c>
      <c r="AE39" s="7" t="s">
        <v>85</v>
      </c>
      <c r="AF39" s="7" t="s">
        <v>91</v>
      </c>
      <c r="AG39" s="7" t="s">
        <v>85</v>
      </c>
      <c r="AH39" s="7" t="s">
        <v>91</v>
      </c>
      <c r="AI39" s="13">
        <v>155000</v>
      </c>
      <c r="AJ39" s="7" t="s">
        <v>79</v>
      </c>
      <c r="AK39" s="7" t="s">
        <v>79</v>
      </c>
      <c r="AL39" s="13">
        <v>155000</v>
      </c>
      <c r="AM39" s="7" t="s">
        <v>371</v>
      </c>
      <c r="AN39" s="7" t="s">
        <v>85</v>
      </c>
      <c r="AO39" s="7" t="s">
        <v>85</v>
      </c>
      <c r="AP39" s="7" t="s">
        <v>118</v>
      </c>
      <c r="AQ39" s="7" t="s">
        <v>85</v>
      </c>
      <c r="AR39" s="7" t="s">
        <v>85</v>
      </c>
      <c r="AS39" s="12">
        <v>0</v>
      </c>
      <c r="AT39" s="12">
        <v>0</v>
      </c>
      <c r="AU39" s="7" t="s">
        <v>91</v>
      </c>
      <c r="AV39" s="7" t="s">
        <v>85</v>
      </c>
      <c r="AW39" s="7" t="s">
        <v>91</v>
      </c>
      <c r="AX39" s="7" t="s">
        <v>91</v>
      </c>
      <c r="AY39" s="7" t="s">
        <v>85</v>
      </c>
      <c r="AZ39" s="7" t="s">
        <v>93</v>
      </c>
      <c r="BA39" s="7" t="s">
        <v>85</v>
      </c>
      <c r="BB39" s="7" t="s">
        <v>85</v>
      </c>
      <c r="BC39" s="7" t="s">
        <v>91</v>
      </c>
      <c r="BD39" s="7" t="s">
        <v>79</v>
      </c>
      <c r="BE39" s="7" t="s">
        <v>300</v>
      </c>
      <c r="BF39" s="7" t="s">
        <v>85</v>
      </c>
      <c r="BG39" s="7" t="s">
        <v>85</v>
      </c>
      <c r="BH39" s="7" t="s">
        <v>85</v>
      </c>
      <c r="BI39" s="7" t="s">
        <v>91</v>
      </c>
      <c r="BJ39" s="7" t="s">
        <v>91</v>
      </c>
      <c r="BK39" s="7" t="s">
        <v>85</v>
      </c>
      <c r="BL39" s="7" t="s">
        <v>85</v>
      </c>
      <c r="BM39" s="7" t="s">
        <v>95</v>
      </c>
      <c r="BN39" s="7" t="s">
        <v>96</v>
      </c>
      <c r="BO39" s="12">
        <v>0</v>
      </c>
      <c r="BP39" s="7" t="s">
        <v>85</v>
      </c>
      <c r="BQ39" s="7" t="s">
        <v>85</v>
      </c>
      <c r="BR39" s="7" t="s">
        <v>91</v>
      </c>
      <c r="BS39" s="7" t="s">
        <v>85</v>
      </c>
      <c r="BT39" s="16" t="s">
        <v>388</v>
      </c>
      <c r="BU39" s="16" t="s">
        <v>461</v>
      </c>
      <c r="BV39" s="16" t="s">
        <v>389</v>
      </c>
      <c r="BW39" s="16" t="s">
        <v>447</v>
      </c>
      <c r="BX39" s="16" t="s">
        <v>462</v>
      </c>
    </row>
    <row r="40" spans="1:77" s="7" customFormat="1">
      <c r="A40" s="14">
        <v>46057</v>
      </c>
      <c r="B40" s="14">
        <v>46057</v>
      </c>
      <c r="C40" s="15">
        <v>0.51504629629630005</v>
      </c>
      <c r="D40" s="16" t="s">
        <v>376</v>
      </c>
      <c r="E40" s="14">
        <v>46057</v>
      </c>
      <c r="F40" s="16" t="s">
        <v>458</v>
      </c>
      <c r="G40" s="16" t="s">
        <v>365</v>
      </c>
      <c r="H40" s="16" t="str">
        <f>VLOOKUP(G40,[1]Sheet3!A:B,2,0)</f>
        <v>ADMD</v>
      </c>
      <c r="I40" s="7" t="s">
        <v>76</v>
      </c>
      <c r="J40" s="7" t="s">
        <v>459</v>
      </c>
      <c r="K40" s="16" t="s">
        <v>377</v>
      </c>
      <c r="L40" s="16" t="s">
        <v>125</v>
      </c>
      <c r="M40" s="17">
        <v>155000</v>
      </c>
      <c r="N40" s="16" t="s">
        <v>79</v>
      </c>
      <c r="O40" s="16" t="s">
        <v>466</v>
      </c>
      <c r="P40" s="16" t="s">
        <v>458</v>
      </c>
      <c r="Q40" s="17">
        <v>155000</v>
      </c>
      <c r="R40" s="7" t="s">
        <v>458</v>
      </c>
      <c r="S40" s="7" t="s">
        <v>83</v>
      </c>
      <c r="T40" s="7" t="s">
        <v>370</v>
      </c>
      <c r="U40" s="12">
        <v>6330784.5999999996</v>
      </c>
      <c r="V40" s="7" t="s">
        <v>85</v>
      </c>
      <c r="W40" s="7" t="s">
        <v>85</v>
      </c>
      <c r="X40" s="7" t="s">
        <v>86</v>
      </c>
      <c r="Y40" s="7" t="s">
        <v>371</v>
      </c>
      <c r="Z40" s="7" t="s">
        <v>372</v>
      </c>
      <c r="AA40" s="7" t="s">
        <v>89</v>
      </c>
      <c r="AB40" s="7" t="s">
        <v>85</v>
      </c>
      <c r="AC40" s="7" t="s">
        <v>126</v>
      </c>
      <c r="AD40" s="7" t="s">
        <v>85</v>
      </c>
      <c r="AE40" s="7" t="s">
        <v>85</v>
      </c>
      <c r="AF40" s="7" t="s">
        <v>91</v>
      </c>
      <c r="AG40" s="7" t="s">
        <v>85</v>
      </c>
      <c r="AH40" s="7" t="s">
        <v>91</v>
      </c>
      <c r="AI40" s="13">
        <v>155000</v>
      </c>
      <c r="AJ40" s="7" t="s">
        <v>79</v>
      </c>
      <c r="AK40" s="7" t="s">
        <v>79</v>
      </c>
      <c r="AL40" s="13">
        <v>155000</v>
      </c>
      <c r="AM40" s="7" t="s">
        <v>371</v>
      </c>
      <c r="AN40" s="7" t="s">
        <v>85</v>
      </c>
      <c r="AO40" s="7" t="s">
        <v>85</v>
      </c>
      <c r="AP40" s="7" t="s">
        <v>118</v>
      </c>
      <c r="AQ40" s="7" t="s">
        <v>85</v>
      </c>
      <c r="AR40" s="7" t="s">
        <v>85</v>
      </c>
      <c r="AS40" s="12">
        <v>0</v>
      </c>
      <c r="AT40" s="12">
        <v>0</v>
      </c>
      <c r="AU40" s="7" t="s">
        <v>91</v>
      </c>
      <c r="AV40" s="7" t="s">
        <v>85</v>
      </c>
      <c r="AW40" s="7" t="s">
        <v>91</v>
      </c>
      <c r="AX40" s="7" t="s">
        <v>91</v>
      </c>
      <c r="AY40" s="7" t="s">
        <v>85</v>
      </c>
      <c r="AZ40" s="7" t="s">
        <v>93</v>
      </c>
      <c r="BA40" s="7" t="s">
        <v>85</v>
      </c>
      <c r="BB40" s="7" t="s">
        <v>85</v>
      </c>
      <c r="BC40" s="7" t="s">
        <v>91</v>
      </c>
      <c r="BD40" s="7" t="s">
        <v>79</v>
      </c>
      <c r="BE40" s="7" t="s">
        <v>300</v>
      </c>
      <c r="BF40" s="7" t="s">
        <v>85</v>
      </c>
      <c r="BG40" s="7" t="s">
        <v>85</v>
      </c>
      <c r="BH40" s="7" t="s">
        <v>85</v>
      </c>
      <c r="BI40" s="7" t="s">
        <v>91</v>
      </c>
      <c r="BJ40" s="7" t="s">
        <v>91</v>
      </c>
      <c r="BK40" s="7" t="s">
        <v>85</v>
      </c>
      <c r="BL40" s="7" t="s">
        <v>85</v>
      </c>
      <c r="BM40" s="7" t="s">
        <v>95</v>
      </c>
      <c r="BN40" s="7" t="s">
        <v>96</v>
      </c>
      <c r="BO40" s="12">
        <v>0</v>
      </c>
      <c r="BP40" s="7" t="s">
        <v>85</v>
      </c>
      <c r="BQ40" s="7" t="s">
        <v>85</v>
      </c>
      <c r="BR40" s="7" t="s">
        <v>91</v>
      </c>
      <c r="BS40" s="7" t="s">
        <v>85</v>
      </c>
      <c r="BT40" s="16" t="s">
        <v>388</v>
      </c>
      <c r="BU40" s="16" t="s">
        <v>461</v>
      </c>
      <c r="BV40" s="16" t="s">
        <v>389</v>
      </c>
      <c r="BW40" s="16" t="s">
        <v>447</v>
      </c>
      <c r="BX40" s="16" t="s">
        <v>462</v>
      </c>
    </row>
    <row r="41" spans="1:77" s="7" customFormat="1">
      <c r="A41" s="14">
        <v>46057</v>
      </c>
      <c r="B41" s="14">
        <v>46057</v>
      </c>
      <c r="C41" s="15">
        <v>0.51504629629630005</v>
      </c>
      <c r="D41" s="16" t="s">
        <v>376</v>
      </c>
      <c r="E41" s="14">
        <v>46057</v>
      </c>
      <c r="F41" s="16" t="s">
        <v>458</v>
      </c>
      <c r="G41" s="16" t="s">
        <v>365</v>
      </c>
      <c r="H41" s="16" t="str">
        <f>VLOOKUP(G41,[1]Sheet3!A:B,2,0)</f>
        <v>ADMD</v>
      </c>
      <c r="I41" s="7" t="s">
        <v>76</v>
      </c>
      <c r="J41" s="7" t="s">
        <v>459</v>
      </c>
      <c r="K41" s="16" t="s">
        <v>377</v>
      </c>
      <c r="L41" s="16" t="s">
        <v>125</v>
      </c>
      <c r="M41" s="17">
        <v>155000</v>
      </c>
      <c r="N41" s="16" t="s">
        <v>79</v>
      </c>
      <c r="O41" s="16" t="s">
        <v>467</v>
      </c>
      <c r="P41" s="16" t="s">
        <v>458</v>
      </c>
      <c r="Q41" s="17">
        <v>155000</v>
      </c>
      <c r="R41" s="7" t="s">
        <v>458</v>
      </c>
      <c r="S41" s="7" t="s">
        <v>83</v>
      </c>
      <c r="T41" s="7" t="s">
        <v>370</v>
      </c>
      <c r="U41" s="12">
        <v>6330784.5999999996</v>
      </c>
      <c r="V41" s="7" t="s">
        <v>85</v>
      </c>
      <c r="W41" s="7" t="s">
        <v>85</v>
      </c>
      <c r="X41" s="7" t="s">
        <v>86</v>
      </c>
      <c r="Y41" s="7" t="s">
        <v>371</v>
      </c>
      <c r="Z41" s="7" t="s">
        <v>372</v>
      </c>
      <c r="AA41" s="7" t="s">
        <v>89</v>
      </c>
      <c r="AB41" s="7" t="s">
        <v>85</v>
      </c>
      <c r="AC41" s="7" t="s">
        <v>128</v>
      </c>
      <c r="AD41" s="7" t="s">
        <v>85</v>
      </c>
      <c r="AE41" s="7" t="s">
        <v>85</v>
      </c>
      <c r="AF41" s="7" t="s">
        <v>91</v>
      </c>
      <c r="AG41" s="7" t="s">
        <v>85</v>
      </c>
      <c r="AH41" s="7" t="s">
        <v>91</v>
      </c>
      <c r="AI41" s="13">
        <v>155000</v>
      </c>
      <c r="AJ41" s="7" t="s">
        <v>79</v>
      </c>
      <c r="AK41" s="7" t="s">
        <v>79</v>
      </c>
      <c r="AL41" s="13">
        <v>155000</v>
      </c>
      <c r="AM41" s="7" t="s">
        <v>371</v>
      </c>
      <c r="AN41" s="7" t="s">
        <v>85</v>
      </c>
      <c r="AO41" s="7" t="s">
        <v>85</v>
      </c>
      <c r="AP41" s="7" t="s">
        <v>118</v>
      </c>
      <c r="AQ41" s="7" t="s">
        <v>85</v>
      </c>
      <c r="AR41" s="7" t="s">
        <v>85</v>
      </c>
      <c r="AS41" s="12">
        <v>0</v>
      </c>
      <c r="AT41" s="12">
        <v>0</v>
      </c>
      <c r="AU41" s="7" t="s">
        <v>91</v>
      </c>
      <c r="AV41" s="7" t="s">
        <v>85</v>
      </c>
      <c r="AW41" s="7" t="s">
        <v>91</v>
      </c>
      <c r="AX41" s="7" t="s">
        <v>91</v>
      </c>
      <c r="AY41" s="7" t="s">
        <v>85</v>
      </c>
      <c r="AZ41" s="7" t="s">
        <v>93</v>
      </c>
      <c r="BA41" s="7" t="s">
        <v>85</v>
      </c>
      <c r="BB41" s="7" t="s">
        <v>85</v>
      </c>
      <c r="BC41" s="7" t="s">
        <v>91</v>
      </c>
      <c r="BD41" s="7" t="s">
        <v>79</v>
      </c>
      <c r="BE41" s="7" t="s">
        <v>300</v>
      </c>
      <c r="BF41" s="7" t="s">
        <v>85</v>
      </c>
      <c r="BG41" s="7" t="s">
        <v>85</v>
      </c>
      <c r="BH41" s="7" t="s">
        <v>85</v>
      </c>
      <c r="BI41" s="7" t="s">
        <v>91</v>
      </c>
      <c r="BJ41" s="7" t="s">
        <v>91</v>
      </c>
      <c r="BK41" s="7" t="s">
        <v>85</v>
      </c>
      <c r="BL41" s="7" t="s">
        <v>85</v>
      </c>
      <c r="BM41" s="7" t="s">
        <v>95</v>
      </c>
      <c r="BN41" s="7" t="s">
        <v>96</v>
      </c>
      <c r="BO41" s="12">
        <v>0</v>
      </c>
      <c r="BP41" s="7" t="s">
        <v>85</v>
      </c>
      <c r="BQ41" s="7" t="s">
        <v>85</v>
      </c>
      <c r="BR41" s="7" t="s">
        <v>91</v>
      </c>
      <c r="BS41" s="7" t="s">
        <v>85</v>
      </c>
      <c r="BT41" s="16" t="s">
        <v>388</v>
      </c>
      <c r="BU41" s="16" t="s">
        <v>461</v>
      </c>
      <c r="BV41" s="16" t="s">
        <v>389</v>
      </c>
      <c r="BW41" s="16" t="s">
        <v>447</v>
      </c>
      <c r="BX41" s="16" t="s">
        <v>462</v>
      </c>
    </row>
    <row r="42" spans="1:77" s="7" customFormat="1">
      <c r="A42" s="14">
        <v>46057</v>
      </c>
      <c r="B42" s="14">
        <v>46057</v>
      </c>
      <c r="C42" s="15">
        <v>0.51504629629630005</v>
      </c>
      <c r="D42" s="16" t="s">
        <v>376</v>
      </c>
      <c r="E42" s="14">
        <v>46057</v>
      </c>
      <c r="F42" s="16" t="s">
        <v>458</v>
      </c>
      <c r="G42" s="16" t="s">
        <v>365</v>
      </c>
      <c r="H42" s="16" t="str">
        <f>VLOOKUP(G42,[1]Sheet3!A:B,2,0)</f>
        <v>ADMD</v>
      </c>
      <c r="I42" s="7" t="s">
        <v>76</v>
      </c>
      <c r="J42" s="7" t="s">
        <v>459</v>
      </c>
      <c r="K42" s="16" t="s">
        <v>377</v>
      </c>
      <c r="L42" s="16" t="s">
        <v>125</v>
      </c>
      <c r="M42" s="17">
        <v>155000</v>
      </c>
      <c r="N42" s="16" t="s">
        <v>79</v>
      </c>
      <c r="O42" s="16" t="s">
        <v>468</v>
      </c>
      <c r="P42" s="16" t="s">
        <v>458</v>
      </c>
      <c r="Q42" s="17">
        <v>155000</v>
      </c>
      <c r="R42" s="7" t="s">
        <v>458</v>
      </c>
      <c r="S42" s="7" t="s">
        <v>83</v>
      </c>
      <c r="T42" s="7" t="s">
        <v>370</v>
      </c>
      <c r="U42" s="12">
        <v>6330784.5999999996</v>
      </c>
      <c r="V42" s="7" t="s">
        <v>85</v>
      </c>
      <c r="W42" s="7" t="s">
        <v>85</v>
      </c>
      <c r="X42" s="7" t="s">
        <v>86</v>
      </c>
      <c r="Y42" s="7" t="s">
        <v>371</v>
      </c>
      <c r="Z42" s="7" t="s">
        <v>372</v>
      </c>
      <c r="AA42" s="7" t="s">
        <v>89</v>
      </c>
      <c r="AB42" s="7" t="s">
        <v>85</v>
      </c>
      <c r="AC42" s="7" t="s">
        <v>130</v>
      </c>
      <c r="AD42" s="7" t="s">
        <v>85</v>
      </c>
      <c r="AE42" s="7" t="s">
        <v>85</v>
      </c>
      <c r="AF42" s="7" t="s">
        <v>91</v>
      </c>
      <c r="AG42" s="7" t="s">
        <v>85</v>
      </c>
      <c r="AH42" s="7" t="s">
        <v>91</v>
      </c>
      <c r="AI42" s="13">
        <v>155000</v>
      </c>
      <c r="AJ42" s="7" t="s">
        <v>79</v>
      </c>
      <c r="AK42" s="7" t="s">
        <v>79</v>
      </c>
      <c r="AL42" s="13">
        <v>155000</v>
      </c>
      <c r="AM42" s="7" t="s">
        <v>371</v>
      </c>
      <c r="AN42" s="7" t="s">
        <v>85</v>
      </c>
      <c r="AO42" s="7" t="s">
        <v>85</v>
      </c>
      <c r="AP42" s="7" t="s">
        <v>118</v>
      </c>
      <c r="AQ42" s="7" t="s">
        <v>85</v>
      </c>
      <c r="AR42" s="7" t="s">
        <v>85</v>
      </c>
      <c r="AS42" s="12">
        <v>0</v>
      </c>
      <c r="AT42" s="12">
        <v>0</v>
      </c>
      <c r="AU42" s="7" t="s">
        <v>91</v>
      </c>
      <c r="AV42" s="7" t="s">
        <v>85</v>
      </c>
      <c r="AW42" s="7" t="s">
        <v>91</v>
      </c>
      <c r="AX42" s="7" t="s">
        <v>91</v>
      </c>
      <c r="AY42" s="7" t="s">
        <v>85</v>
      </c>
      <c r="AZ42" s="7" t="s">
        <v>93</v>
      </c>
      <c r="BA42" s="7" t="s">
        <v>85</v>
      </c>
      <c r="BB42" s="7" t="s">
        <v>85</v>
      </c>
      <c r="BC42" s="7" t="s">
        <v>91</v>
      </c>
      <c r="BD42" s="7" t="s">
        <v>79</v>
      </c>
      <c r="BE42" s="7" t="s">
        <v>300</v>
      </c>
      <c r="BF42" s="7" t="s">
        <v>85</v>
      </c>
      <c r="BG42" s="7" t="s">
        <v>85</v>
      </c>
      <c r="BH42" s="7" t="s">
        <v>85</v>
      </c>
      <c r="BI42" s="7" t="s">
        <v>91</v>
      </c>
      <c r="BJ42" s="7" t="s">
        <v>91</v>
      </c>
      <c r="BK42" s="7" t="s">
        <v>85</v>
      </c>
      <c r="BL42" s="7" t="s">
        <v>85</v>
      </c>
      <c r="BM42" s="7" t="s">
        <v>95</v>
      </c>
      <c r="BN42" s="7" t="s">
        <v>96</v>
      </c>
      <c r="BO42" s="12">
        <v>0</v>
      </c>
      <c r="BP42" s="7" t="s">
        <v>85</v>
      </c>
      <c r="BQ42" s="7" t="s">
        <v>85</v>
      </c>
      <c r="BR42" s="7" t="s">
        <v>91</v>
      </c>
      <c r="BS42" s="7" t="s">
        <v>85</v>
      </c>
      <c r="BT42" s="16" t="s">
        <v>388</v>
      </c>
      <c r="BU42" s="16" t="s">
        <v>461</v>
      </c>
      <c r="BV42" s="16" t="s">
        <v>389</v>
      </c>
      <c r="BW42" s="16" t="s">
        <v>447</v>
      </c>
      <c r="BX42" s="16" t="s">
        <v>462</v>
      </c>
    </row>
    <row r="43" spans="1:77" s="7" customFormat="1">
      <c r="A43" s="14">
        <v>46057</v>
      </c>
      <c r="B43" s="14">
        <v>46057</v>
      </c>
      <c r="C43" s="15">
        <v>0.51504629629630005</v>
      </c>
      <c r="D43" s="16" t="s">
        <v>376</v>
      </c>
      <c r="E43" s="14">
        <v>46057</v>
      </c>
      <c r="F43" s="16" t="s">
        <v>458</v>
      </c>
      <c r="G43" s="16" t="s">
        <v>365</v>
      </c>
      <c r="H43" s="16" t="str">
        <f>VLOOKUP(G43,[1]Sheet3!A:B,2,0)</f>
        <v>ADMD</v>
      </c>
      <c r="I43" s="7" t="s">
        <v>76</v>
      </c>
      <c r="J43" s="7" t="s">
        <v>459</v>
      </c>
      <c r="K43" s="16" t="s">
        <v>377</v>
      </c>
      <c r="L43" s="16" t="s">
        <v>125</v>
      </c>
      <c r="M43" s="17">
        <v>60000</v>
      </c>
      <c r="N43" s="16" t="s">
        <v>79</v>
      </c>
      <c r="O43" s="16" t="s">
        <v>456</v>
      </c>
      <c r="P43" s="16" t="s">
        <v>458</v>
      </c>
      <c r="Q43" s="17">
        <v>60000</v>
      </c>
      <c r="R43" s="7" t="s">
        <v>458</v>
      </c>
      <c r="S43" s="7" t="s">
        <v>83</v>
      </c>
      <c r="T43" s="7" t="s">
        <v>370</v>
      </c>
      <c r="U43" s="12">
        <v>2450626.29</v>
      </c>
      <c r="V43" s="7" t="s">
        <v>85</v>
      </c>
      <c r="W43" s="7" t="s">
        <v>85</v>
      </c>
      <c r="X43" s="7" t="s">
        <v>86</v>
      </c>
      <c r="Y43" s="7" t="s">
        <v>371</v>
      </c>
      <c r="Z43" s="7" t="s">
        <v>372</v>
      </c>
      <c r="AA43" s="7" t="s">
        <v>89</v>
      </c>
      <c r="AB43" s="7" t="s">
        <v>85</v>
      </c>
      <c r="AC43" s="7" t="s">
        <v>281</v>
      </c>
      <c r="AD43" s="7" t="s">
        <v>85</v>
      </c>
      <c r="AE43" s="7" t="s">
        <v>85</v>
      </c>
      <c r="AF43" s="7" t="s">
        <v>91</v>
      </c>
      <c r="AG43" s="7" t="s">
        <v>85</v>
      </c>
      <c r="AH43" s="7" t="s">
        <v>91</v>
      </c>
      <c r="AI43" s="13">
        <v>60000</v>
      </c>
      <c r="AJ43" s="7" t="s">
        <v>79</v>
      </c>
      <c r="AK43" s="7" t="s">
        <v>79</v>
      </c>
      <c r="AL43" s="13">
        <v>60000</v>
      </c>
      <c r="AM43" s="7" t="s">
        <v>371</v>
      </c>
      <c r="AN43" s="7" t="s">
        <v>85</v>
      </c>
      <c r="AO43" s="7" t="s">
        <v>85</v>
      </c>
      <c r="AP43" s="7" t="s">
        <v>118</v>
      </c>
      <c r="AQ43" s="7" t="s">
        <v>85</v>
      </c>
      <c r="AR43" s="7" t="s">
        <v>85</v>
      </c>
      <c r="AS43" s="12">
        <v>0</v>
      </c>
      <c r="AT43" s="12">
        <v>0</v>
      </c>
      <c r="AU43" s="7" t="s">
        <v>91</v>
      </c>
      <c r="AV43" s="7" t="s">
        <v>85</v>
      </c>
      <c r="AW43" s="7" t="s">
        <v>91</v>
      </c>
      <c r="AX43" s="7" t="s">
        <v>91</v>
      </c>
      <c r="AY43" s="7" t="s">
        <v>85</v>
      </c>
      <c r="AZ43" s="7" t="s">
        <v>93</v>
      </c>
      <c r="BA43" s="7" t="s">
        <v>85</v>
      </c>
      <c r="BB43" s="7" t="s">
        <v>85</v>
      </c>
      <c r="BC43" s="7" t="s">
        <v>91</v>
      </c>
      <c r="BD43" s="7" t="s">
        <v>79</v>
      </c>
      <c r="BE43" s="7" t="s">
        <v>300</v>
      </c>
      <c r="BF43" s="7" t="s">
        <v>85</v>
      </c>
      <c r="BG43" s="7" t="s">
        <v>85</v>
      </c>
      <c r="BH43" s="7" t="s">
        <v>85</v>
      </c>
      <c r="BI43" s="7" t="s">
        <v>91</v>
      </c>
      <c r="BJ43" s="7" t="s">
        <v>91</v>
      </c>
      <c r="BK43" s="7" t="s">
        <v>85</v>
      </c>
      <c r="BL43" s="7" t="s">
        <v>85</v>
      </c>
      <c r="BM43" s="7" t="s">
        <v>95</v>
      </c>
      <c r="BN43" s="7" t="s">
        <v>96</v>
      </c>
      <c r="BO43" s="12">
        <v>0</v>
      </c>
      <c r="BP43" s="7" t="s">
        <v>85</v>
      </c>
      <c r="BQ43" s="7" t="s">
        <v>85</v>
      </c>
      <c r="BR43" s="7" t="s">
        <v>91</v>
      </c>
      <c r="BS43" s="7" t="s">
        <v>85</v>
      </c>
      <c r="BT43" s="16" t="s">
        <v>388</v>
      </c>
      <c r="BU43" s="16" t="s">
        <v>461</v>
      </c>
      <c r="BV43" s="16" t="s">
        <v>389</v>
      </c>
      <c r="BW43" s="16" t="s">
        <v>447</v>
      </c>
      <c r="BX43" s="16" t="s">
        <v>462</v>
      </c>
    </row>
    <row r="44" spans="1:77" s="7" customFormat="1">
      <c r="A44" s="14">
        <v>46059</v>
      </c>
      <c r="B44" s="14">
        <v>46059</v>
      </c>
      <c r="C44" s="15">
        <v>0.65055555555555999</v>
      </c>
      <c r="D44" s="16" t="s">
        <v>469</v>
      </c>
      <c r="E44" s="14">
        <v>46059</v>
      </c>
      <c r="F44" s="16" t="s">
        <v>470</v>
      </c>
      <c r="G44" s="16" t="s">
        <v>471</v>
      </c>
      <c r="H44" s="16" t="str">
        <f>VLOOKUP(G44,[1]Sheet3!A:B,2,0)</f>
        <v>Shenli</v>
      </c>
      <c r="I44" s="16" t="s">
        <v>76</v>
      </c>
      <c r="J44" s="16" t="s">
        <v>472</v>
      </c>
      <c r="K44" s="16" t="s">
        <v>473</v>
      </c>
      <c r="L44" s="16" t="s">
        <v>474</v>
      </c>
      <c r="M44" s="17">
        <v>355200</v>
      </c>
      <c r="N44" s="16" t="s">
        <v>79</v>
      </c>
      <c r="O44" s="16" t="s">
        <v>360</v>
      </c>
      <c r="P44" s="16" t="s">
        <v>85</v>
      </c>
      <c r="Q44" s="17">
        <v>355200</v>
      </c>
      <c r="R44" s="16" t="s">
        <v>85</v>
      </c>
      <c r="S44" s="16" t="s">
        <v>122</v>
      </c>
      <c r="T44" s="16" t="s">
        <v>370</v>
      </c>
      <c r="U44" s="39">
        <v>10331752.859999999</v>
      </c>
      <c r="V44" s="16" t="s">
        <v>85</v>
      </c>
      <c r="W44" s="16" t="s">
        <v>85</v>
      </c>
      <c r="X44" s="16" t="s">
        <v>86</v>
      </c>
      <c r="Y44" s="16" t="s">
        <v>371</v>
      </c>
      <c r="Z44" s="16" t="s">
        <v>372</v>
      </c>
      <c r="AA44" s="16" t="s">
        <v>89</v>
      </c>
      <c r="AB44" s="16" t="s">
        <v>85</v>
      </c>
      <c r="AC44" s="16" t="s">
        <v>98</v>
      </c>
      <c r="AD44" s="16" t="s">
        <v>85</v>
      </c>
      <c r="AE44" s="16" t="s">
        <v>85</v>
      </c>
      <c r="AF44" s="16" t="s">
        <v>91</v>
      </c>
      <c r="AG44" s="16" t="s">
        <v>85</v>
      </c>
      <c r="AH44" s="16" t="s">
        <v>91</v>
      </c>
      <c r="AI44" s="17">
        <v>355200</v>
      </c>
      <c r="AJ44" s="16" t="s">
        <v>79</v>
      </c>
      <c r="AK44" s="16" t="s">
        <v>79</v>
      </c>
      <c r="AL44" s="17">
        <v>355200</v>
      </c>
      <c r="AM44" s="16" t="s">
        <v>371</v>
      </c>
      <c r="AN44" s="16" t="s">
        <v>85</v>
      </c>
      <c r="AO44" s="16" t="s">
        <v>85</v>
      </c>
      <c r="AP44" s="16" t="s">
        <v>118</v>
      </c>
      <c r="AQ44" s="16" t="s">
        <v>85</v>
      </c>
      <c r="AR44" s="16" t="s">
        <v>85</v>
      </c>
      <c r="AS44" s="39">
        <v>0</v>
      </c>
      <c r="AT44" s="39">
        <v>0</v>
      </c>
      <c r="AU44" s="16" t="s">
        <v>91</v>
      </c>
      <c r="AV44" s="16" t="s">
        <v>85</v>
      </c>
      <c r="AW44" s="16" t="s">
        <v>91</v>
      </c>
      <c r="AX44" s="16" t="s">
        <v>91</v>
      </c>
      <c r="AY44" s="16" t="s">
        <v>85</v>
      </c>
      <c r="AZ44" s="16" t="s">
        <v>93</v>
      </c>
      <c r="BA44" s="16" t="s">
        <v>85</v>
      </c>
      <c r="BB44" s="16" t="s">
        <v>85</v>
      </c>
      <c r="BC44" s="16" t="s">
        <v>91</v>
      </c>
      <c r="BD44" s="16" t="s">
        <v>79</v>
      </c>
      <c r="BE44" s="16" t="s">
        <v>300</v>
      </c>
      <c r="BF44" s="16" t="s">
        <v>85</v>
      </c>
      <c r="BG44" s="16" t="s">
        <v>85</v>
      </c>
      <c r="BH44" s="16" t="s">
        <v>85</v>
      </c>
      <c r="BI44" s="16" t="s">
        <v>91</v>
      </c>
      <c r="BJ44" s="16" t="s">
        <v>91</v>
      </c>
      <c r="BK44" s="16" t="s">
        <v>85</v>
      </c>
      <c r="BL44" s="16" t="s">
        <v>85</v>
      </c>
      <c r="BM44" s="16" t="s">
        <v>95</v>
      </c>
      <c r="BN44" s="16" t="s">
        <v>96</v>
      </c>
      <c r="BO44" s="39">
        <v>0</v>
      </c>
      <c r="BP44" s="16" t="s">
        <v>85</v>
      </c>
      <c r="BQ44" s="16" t="s">
        <v>85</v>
      </c>
      <c r="BR44" s="16" t="s">
        <v>91</v>
      </c>
      <c r="BS44" s="16" t="s">
        <v>85</v>
      </c>
      <c r="BT44" s="16" t="s">
        <v>388</v>
      </c>
      <c r="BU44" s="16"/>
      <c r="BV44" s="16" t="s">
        <v>475</v>
      </c>
      <c r="BW44" s="16" t="s">
        <v>1287</v>
      </c>
      <c r="BX44" s="16" t="s">
        <v>476</v>
      </c>
      <c r="BY44" s="16" t="s">
        <v>391</v>
      </c>
    </row>
    <row r="45" spans="1:77" s="7" customFormat="1">
      <c r="A45" s="14">
        <v>46080</v>
      </c>
      <c r="B45" s="14">
        <v>46081</v>
      </c>
      <c r="C45" s="15">
        <v>0.45505787037036999</v>
      </c>
      <c r="D45" s="16" t="s">
        <v>477</v>
      </c>
      <c r="E45" s="14">
        <v>46080</v>
      </c>
      <c r="F45" s="16" t="s">
        <v>478</v>
      </c>
      <c r="G45" s="16" t="s">
        <v>471</v>
      </c>
      <c r="H45" s="16" t="str">
        <f>VLOOKUP(G45,[1]Sheet3!A:B,2,0)</f>
        <v>Shenli</v>
      </c>
      <c r="I45" s="7" t="s">
        <v>76</v>
      </c>
      <c r="J45" s="7" t="s">
        <v>479</v>
      </c>
      <c r="K45" s="16" t="s">
        <v>480</v>
      </c>
      <c r="L45" s="16" t="s">
        <v>481</v>
      </c>
      <c r="M45" s="17">
        <v>310000</v>
      </c>
      <c r="N45" s="16" t="s">
        <v>79</v>
      </c>
      <c r="O45" s="16" t="s">
        <v>482</v>
      </c>
      <c r="P45" s="16" t="s">
        <v>85</v>
      </c>
      <c r="Q45" s="17">
        <v>310000</v>
      </c>
      <c r="R45" s="7" t="s">
        <v>85</v>
      </c>
      <c r="S45" s="7" t="s">
        <v>122</v>
      </c>
      <c r="T45" s="7" t="s">
        <v>370</v>
      </c>
      <c r="U45" s="12">
        <v>6152468.8700000001</v>
      </c>
      <c r="V45" s="7" t="s">
        <v>85</v>
      </c>
      <c r="W45" s="7" t="s">
        <v>85</v>
      </c>
      <c r="X45" s="7" t="s">
        <v>86</v>
      </c>
      <c r="Y45" s="7" t="s">
        <v>371</v>
      </c>
      <c r="Z45" s="7" t="s">
        <v>372</v>
      </c>
      <c r="AA45" s="7" t="s">
        <v>89</v>
      </c>
      <c r="AB45" s="7" t="s">
        <v>85</v>
      </c>
      <c r="AC45" s="7" t="s">
        <v>90</v>
      </c>
      <c r="AD45" s="7" t="s">
        <v>85</v>
      </c>
      <c r="AE45" s="7" t="s">
        <v>85</v>
      </c>
      <c r="AF45" s="7" t="s">
        <v>91</v>
      </c>
      <c r="AG45" s="7" t="s">
        <v>85</v>
      </c>
      <c r="AH45" s="7" t="s">
        <v>91</v>
      </c>
      <c r="AI45" s="13">
        <v>310000</v>
      </c>
      <c r="AJ45" s="7" t="s">
        <v>79</v>
      </c>
      <c r="AK45" s="7" t="s">
        <v>79</v>
      </c>
      <c r="AL45" s="13">
        <v>310000</v>
      </c>
      <c r="AM45" s="7" t="s">
        <v>371</v>
      </c>
      <c r="AN45" s="7" t="s">
        <v>85</v>
      </c>
      <c r="AO45" s="7" t="s">
        <v>85</v>
      </c>
      <c r="AP45" s="7" t="s">
        <v>107</v>
      </c>
      <c r="AQ45" s="7" t="s">
        <v>85</v>
      </c>
      <c r="AR45" s="7" t="s">
        <v>85</v>
      </c>
      <c r="AS45" s="12">
        <v>0</v>
      </c>
      <c r="AT45" s="12">
        <v>0</v>
      </c>
      <c r="AU45" s="7" t="s">
        <v>91</v>
      </c>
      <c r="AV45" s="7" t="s">
        <v>85</v>
      </c>
      <c r="AW45" s="7" t="s">
        <v>91</v>
      </c>
      <c r="AX45" s="7" t="s">
        <v>91</v>
      </c>
      <c r="AY45" s="7" t="s">
        <v>85</v>
      </c>
      <c r="AZ45" s="7" t="s">
        <v>93</v>
      </c>
      <c r="BA45" s="7" t="s">
        <v>85</v>
      </c>
      <c r="BB45" s="7" t="s">
        <v>85</v>
      </c>
      <c r="BC45" s="7" t="s">
        <v>91</v>
      </c>
      <c r="BD45" s="7" t="s">
        <v>79</v>
      </c>
      <c r="BE45" s="7" t="s">
        <v>300</v>
      </c>
      <c r="BF45" s="7" t="s">
        <v>85</v>
      </c>
      <c r="BG45" s="7" t="s">
        <v>85</v>
      </c>
      <c r="BH45" s="7" t="s">
        <v>85</v>
      </c>
      <c r="BI45" s="7" t="s">
        <v>91</v>
      </c>
      <c r="BJ45" s="7" t="s">
        <v>91</v>
      </c>
      <c r="BK45" s="7" t="s">
        <v>85</v>
      </c>
      <c r="BL45" s="7" t="s">
        <v>85</v>
      </c>
      <c r="BM45" s="7" t="s">
        <v>95</v>
      </c>
      <c r="BN45" s="7" t="s">
        <v>96</v>
      </c>
      <c r="BO45" s="12">
        <v>0</v>
      </c>
      <c r="BP45" s="7" t="s">
        <v>85</v>
      </c>
      <c r="BQ45" s="7" t="s">
        <v>85</v>
      </c>
      <c r="BR45" s="7" t="s">
        <v>91</v>
      </c>
      <c r="BS45" s="7" t="s">
        <v>85</v>
      </c>
      <c r="BT45" s="16" t="s">
        <v>388</v>
      </c>
      <c r="BU45" s="16"/>
      <c r="BV45" s="16" t="s">
        <v>475</v>
      </c>
      <c r="BW45" s="16" t="s">
        <v>1218</v>
      </c>
      <c r="BX45" s="16" t="s">
        <v>476</v>
      </c>
      <c r="BY45" s="16" t="s">
        <v>391</v>
      </c>
    </row>
    <row r="46" spans="1:77" s="7" customFormat="1">
      <c r="A46" s="14">
        <v>46080</v>
      </c>
      <c r="B46" s="14">
        <v>46081</v>
      </c>
      <c r="C46" s="15">
        <v>0.45505787037036999</v>
      </c>
      <c r="D46" s="16" t="s">
        <v>469</v>
      </c>
      <c r="E46" s="14">
        <v>46080</v>
      </c>
      <c r="F46" s="16" t="s">
        <v>478</v>
      </c>
      <c r="G46" s="16" t="s">
        <v>471</v>
      </c>
      <c r="H46" s="16" t="str">
        <f>VLOOKUP(G46,[1]Sheet3!A:B,2,0)</f>
        <v>Shenli</v>
      </c>
      <c r="I46" s="7" t="s">
        <v>76</v>
      </c>
      <c r="J46" s="7" t="s">
        <v>479</v>
      </c>
      <c r="K46" s="16" t="s">
        <v>473</v>
      </c>
      <c r="L46" s="16" t="s">
        <v>474</v>
      </c>
      <c r="M46" s="17">
        <v>100000</v>
      </c>
      <c r="N46" s="16" t="s">
        <v>79</v>
      </c>
      <c r="O46" s="16" t="s">
        <v>482</v>
      </c>
      <c r="P46" s="16" t="s">
        <v>85</v>
      </c>
      <c r="Q46" s="17">
        <v>100000</v>
      </c>
      <c r="R46" s="7" t="s">
        <v>85</v>
      </c>
      <c r="S46" s="7" t="s">
        <v>122</v>
      </c>
      <c r="T46" s="7" t="s">
        <v>370</v>
      </c>
      <c r="U46" s="12">
        <v>3154205.35</v>
      </c>
      <c r="V46" s="7" t="s">
        <v>85</v>
      </c>
      <c r="W46" s="7" t="s">
        <v>85</v>
      </c>
      <c r="X46" s="7" t="s">
        <v>86</v>
      </c>
      <c r="Y46" s="7" t="s">
        <v>371</v>
      </c>
      <c r="Z46" s="7" t="s">
        <v>372</v>
      </c>
      <c r="AA46" s="7" t="s">
        <v>89</v>
      </c>
      <c r="AB46" s="7" t="s">
        <v>85</v>
      </c>
      <c r="AC46" s="7" t="s">
        <v>98</v>
      </c>
      <c r="AD46" s="7" t="s">
        <v>85</v>
      </c>
      <c r="AE46" s="7" t="s">
        <v>85</v>
      </c>
      <c r="AF46" s="7" t="s">
        <v>91</v>
      </c>
      <c r="AG46" s="7" t="s">
        <v>85</v>
      </c>
      <c r="AH46" s="7" t="s">
        <v>91</v>
      </c>
      <c r="AI46" s="13">
        <v>100000</v>
      </c>
      <c r="AJ46" s="7" t="s">
        <v>79</v>
      </c>
      <c r="AK46" s="7" t="s">
        <v>79</v>
      </c>
      <c r="AL46" s="13">
        <v>100000</v>
      </c>
      <c r="AM46" s="7" t="s">
        <v>371</v>
      </c>
      <c r="AN46" s="7" t="s">
        <v>85</v>
      </c>
      <c r="AO46" s="7" t="s">
        <v>85</v>
      </c>
      <c r="AP46" s="7" t="s">
        <v>118</v>
      </c>
      <c r="AQ46" s="7" t="s">
        <v>85</v>
      </c>
      <c r="AR46" s="7" t="s">
        <v>85</v>
      </c>
      <c r="AS46" s="12">
        <v>0</v>
      </c>
      <c r="AT46" s="12">
        <v>0</v>
      </c>
      <c r="AU46" s="7" t="s">
        <v>91</v>
      </c>
      <c r="AV46" s="7" t="s">
        <v>85</v>
      </c>
      <c r="AW46" s="7" t="s">
        <v>91</v>
      </c>
      <c r="AX46" s="7" t="s">
        <v>91</v>
      </c>
      <c r="AY46" s="7" t="s">
        <v>85</v>
      </c>
      <c r="AZ46" s="7" t="s">
        <v>93</v>
      </c>
      <c r="BA46" s="7" t="s">
        <v>85</v>
      </c>
      <c r="BB46" s="7" t="s">
        <v>85</v>
      </c>
      <c r="BC46" s="7" t="s">
        <v>91</v>
      </c>
      <c r="BD46" s="7" t="s">
        <v>79</v>
      </c>
      <c r="BE46" s="7" t="s">
        <v>300</v>
      </c>
      <c r="BF46" s="7" t="s">
        <v>85</v>
      </c>
      <c r="BG46" s="7" t="s">
        <v>85</v>
      </c>
      <c r="BH46" s="7" t="s">
        <v>85</v>
      </c>
      <c r="BI46" s="7" t="s">
        <v>91</v>
      </c>
      <c r="BJ46" s="7" t="s">
        <v>91</v>
      </c>
      <c r="BK46" s="7" t="s">
        <v>85</v>
      </c>
      <c r="BL46" s="7" t="s">
        <v>85</v>
      </c>
      <c r="BM46" s="7" t="s">
        <v>95</v>
      </c>
      <c r="BN46" s="7" t="s">
        <v>96</v>
      </c>
      <c r="BO46" s="12">
        <v>0</v>
      </c>
      <c r="BP46" s="7" t="s">
        <v>85</v>
      </c>
      <c r="BQ46" s="7" t="s">
        <v>85</v>
      </c>
      <c r="BR46" s="7" t="s">
        <v>91</v>
      </c>
      <c r="BS46" s="7" t="s">
        <v>85</v>
      </c>
      <c r="BT46" s="16" t="s">
        <v>388</v>
      </c>
      <c r="BU46" s="16"/>
      <c r="BV46" s="16" t="s">
        <v>475</v>
      </c>
      <c r="BW46" s="16" t="s">
        <v>1218</v>
      </c>
      <c r="BX46" s="16" t="s">
        <v>476</v>
      </c>
      <c r="BY46" s="16" t="s">
        <v>391</v>
      </c>
    </row>
    <row r="47" spans="1:77" s="7" customFormat="1">
      <c r="A47" s="14">
        <v>46118</v>
      </c>
      <c r="B47" s="14">
        <v>46118</v>
      </c>
      <c r="C47" s="15">
        <v>0.43038194444444</v>
      </c>
      <c r="D47" s="16" t="s">
        <v>427</v>
      </c>
      <c r="E47" s="14">
        <v>46118</v>
      </c>
      <c r="F47" s="16" t="s">
        <v>483</v>
      </c>
      <c r="G47" s="16" t="s">
        <v>394</v>
      </c>
      <c r="H47" s="16" t="str">
        <f>VLOOKUP(G47,[1]Sheet3!A:B,2,0)</f>
        <v>TG</v>
      </c>
      <c r="I47" s="7" t="s">
        <v>76</v>
      </c>
      <c r="J47" s="7" t="s">
        <v>484</v>
      </c>
      <c r="K47" s="16" t="s">
        <v>428</v>
      </c>
      <c r="L47" s="16" t="s">
        <v>357</v>
      </c>
      <c r="M47" s="17">
        <v>800</v>
      </c>
      <c r="N47" s="16" t="s">
        <v>219</v>
      </c>
      <c r="O47" s="16" t="s">
        <v>359</v>
      </c>
      <c r="P47" s="16" t="s">
        <v>85</v>
      </c>
      <c r="Q47" s="17">
        <v>800</v>
      </c>
      <c r="R47" s="7" t="s">
        <v>85</v>
      </c>
      <c r="S47" s="7" t="s">
        <v>122</v>
      </c>
      <c r="T47" s="7" t="s">
        <v>370</v>
      </c>
      <c r="U47" s="12">
        <v>2328546.25</v>
      </c>
      <c r="V47" s="7" t="s">
        <v>85</v>
      </c>
      <c r="W47" s="7" t="s">
        <v>85</v>
      </c>
      <c r="X47" s="7" t="s">
        <v>86</v>
      </c>
      <c r="Y47" s="7" t="s">
        <v>371</v>
      </c>
      <c r="Z47" s="7" t="s">
        <v>372</v>
      </c>
      <c r="AA47" s="7" t="s">
        <v>89</v>
      </c>
      <c r="AB47" s="7" t="s">
        <v>85</v>
      </c>
      <c r="AC47" s="7" t="s">
        <v>131</v>
      </c>
      <c r="AD47" s="7" t="s">
        <v>85</v>
      </c>
      <c r="AE47" s="7" t="s">
        <v>85</v>
      </c>
      <c r="AF47" s="7" t="s">
        <v>91</v>
      </c>
      <c r="AG47" s="7" t="s">
        <v>85</v>
      </c>
      <c r="AH47" s="7" t="s">
        <v>91</v>
      </c>
      <c r="AI47" s="13">
        <v>800</v>
      </c>
      <c r="AJ47" s="7" t="s">
        <v>219</v>
      </c>
      <c r="AK47" s="7" t="s">
        <v>219</v>
      </c>
      <c r="AL47" s="13">
        <v>800</v>
      </c>
      <c r="AM47" s="7" t="s">
        <v>371</v>
      </c>
      <c r="AN47" s="7" t="s">
        <v>85</v>
      </c>
      <c r="AO47" s="7" t="s">
        <v>85</v>
      </c>
      <c r="AP47" s="7" t="s">
        <v>132</v>
      </c>
      <c r="AQ47" s="7" t="s">
        <v>85</v>
      </c>
      <c r="AR47" s="7" t="s">
        <v>85</v>
      </c>
      <c r="AS47" s="12">
        <v>0</v>
      </c>
      <c r="AT47" s="12">
        <v>0</v>
      </c>
      <c r="AU47" s="7" t="s">
        <v>91</v>
      </c>
      <c r="AV47" s="7" t="s">
        <v>85</v>
      </c>
      <c r="AW47" s="7" t="s">
        <v>91</v>
      </c>
      <c r="AX47" s="7" t="s">
        <v>91</v>
      </c>
      <c r="AY47" s="7" t="s">
        <v>85</v>
      </c>
      <c r="AZ47" s="7" t="s">
        <v>93</v>
      </c>
      <c r="BA47" s="7" t="s">
        <v>85</v>
      </c>
      <c r="BB47" s="7" t="s">
        <v>85</v>
      </c>
      <c r="BC47" s="7" t="s">
        <v>91</v>
      </c>
      <c r="BD47" s="7" t="s">
        <v>219</v>
      </c>
      <c r="BE47" s="7" t="s">
        <v>300</v>
      </c>
      <c r="BF47" s="7" t="s">
        <v>85</v>
      </c>
      <c r="BG47" s="7" t="s">
        <v>85</v>
      </c>
      <c r="BH47" s="7" t="s">
        <v>85</v>
      </c>
      <c r="BI47" s="7" t="s">
        <v>91</v>
      </c>
      <c r="BJ47" s="7" t="s">
        <v>91</v>
      </c>
      <c r="BK47" s="7" t="s">
        <v>85</v>
      </c>
      <c r="BL47" s="7" t="s">
        <v>85</v>
      </c>
      <c r="BM47" s="7" t="s">
        <v>95</v>
      </c>
      <c r="BN47" s="7" t="s">
        <v>96</v>
      </c>
      <c r="BO47" s="12">
        <v>0</v>
      </c>
      <c r="BP47" s="7" t="s">
        <v>85</v>
      </c>
      <c r="BQ47" s="7" t="s">
        <v>85</v>
      </c>
      <c r="BR47" s="7" t="s">
        <v>91</v>
      </c>
      <c r="BS47" s="7" t="s">
        <v>85</v>
      </c>
      <c r="BT47" s="16" t="s">
        <v>388</v>
      </c>
      <c r="BU47" s="16" t="s">
        <v>485</v>
      </c>
      <c r="BV47" s="16" t="s">
        <v>389</v>
      </c>
      <c r="BW47" s="16" t="s">
        <v>1232</v>
      </c>
      <c r="BX47" s="16" t="s">
        <v>486</v>
      </c>
    </row>
    <row r="48" spans="1:77" s="7" customFormat="1">
      <c r="A48" s="14">
        <v>46118</v>
      </c>
      <c r="B48" s="14">
        <v>46118</v>
      </c>
      <c r="C48" s="15">
        <v>0.43038194444444</v>
      </c>
      <c r="D48" s="16" t="s">
        <v>432</v>
      </c>
      <c r="E48" s="14">
        <v>46118</v>
      </c>
      <c r="F48" s="16" t="s">
        <v>483</v>
      </c>
      <c r="G48" s="16" t="s">
        <v>394</v>
      </c>
      <c r="H48" s="16" t="str">
        <f>VLOOKUP(G48,[1]Sheet3!A:B,2,0)</f>
        <v>TG</v>
      </c>
      <c r="I48" s="7" t="s">
        <v>76</v>
      </c>
      <c r="J48" s="7" t="s">
        <v>484</v>
      </c>
      <c r="K48" s="16" t="s">
        <v>433</v>
      </c>
      <c r="L48" s="16" t="s">
        <v>358</v>
      </c>
      <c r="M48" s="17">
        <v>2704</v>
      </c>
      <c r="N48" s="16" t="s">
        <v>434</v>
      </c>
      <c r="O48" s="16" t="s">
        <v>359</v>
      </c>
      <c r="P48" s="16" t="s">
        <v>85</v>
      </c>
      <c r="Q48" s="17">
        <v>2704</v>
      </c>
      <c r="R48" s="7" t="s">
        <v>85</v>
      </c>
      <c r="S48" s="7" t="s">
        <v>122</v>
      </c>
      <c r="T48" s="7" t="s">
        <v>370</v>
      </c>
      <c r="U48" s="12">
        <v>8883360.3399999999</v>
      </c>
      <c r="V48" s="7" t="s">
        <v>85</v>
      </c>
      <c r="W48" s="7" t="s">
        <v>85</v>
      </c>
      <c r="X48" s="7" t="s">
        <v>86</v>
      </c>
      <c r="Y48" s="7" t="s">
        <v>371</v>
      </c>
      <c r="Z48" s="7" t="s">
        <v>372</v>
      </c>
      <c r="AA48" s="7" t="s">
        <v>89</v>
      </c>
      <c r="AB48" s="7" t="s">
        <v>85</v>
      </c>
      <c r="AC48" s="7" t="s">
        <v>98</v>
      </c>
      <c r="AD48" s="7" t="s">
        <v>85</v>
      </c>
      <c r="AE48" s="7" t="s">
        <v>85</v>
      </c>
      <c r="AF48" s="7" t="s">
        <v>91</v>
      </c>
      <c r="AG48" s="7" t="s">
        <v>85</v>
      </c>
      <c r="AH48" s="7" t="s">
        <v>91</v>
      </c>
      <c r="AI48" s="13">
        <v>2704</v>
      </c>
      <c r="AJ48" s="7" t="s">
        <v>434</v>
      </c>
      <c r="AK48" s="7" t="s">
        <v>434</v>
      </c>
      <c r="AL48" s="13">
        <v>2704</v>
      </c>
      <c r="AM48" s="7" t="s">
        <v>371</v>
      </c>
      <c r="AN48" s="7" t="s">
        <v>85</v>
      </c>
      <c r="AO48" s="7" t="s">
        <v>85</v>
      </c>
      <c r="AP48" s="7" t="s">
        <v>118</v>
      </c>
      <c r="AQ48" s="7" t="s">
        <v>85</v>
      </c>
      <c r="AR48" s="7" t="s">
        <v>85</v>
      </c>
      <c r="AS48" s="12">
        <v>0</v>
      </c>
      <c r="AT48" s="12">
        <v>0</v>
      </c>
      <c r="AU48" s="7" t="s">
        <v>91</v>
      </c>
      <c r="AV48" s="7" t="s">
        <v>85</v>
      </c>
      <c r="AW48" s="7" t="s">
        <v>91</v>
      </c>
      <c r="AX48" s="7" t="s">
        <v>91</v>
      </c>
      <c r="AY48" s="7" t="s">
        <v>85</v>
      </c>
      <c r="AZ48" s="7" t="s">
        <v>93</v>
      </c>
      <c r="BA48" s="7" t="s">
        <v>85</v>
      </c>
      <c r="BB48" s="7" t="s">
        <v>85</v>
      </c>
      <c r="BC48" s="7" t="s">
        <v>91</v>
      </c>
      <c r="BD48" s="7" t="s">
        <v>434</v>
      </c>
      <c r="BE48" s="7" t="s">
        <v>300</v>
      </c>
      <c r="BF48" s="7" t="s">
        <v>85</v>
      </c>
      <c r="BG48" s="7" t="s">
        <v>85</v>
      </c>
      <c r="BH48" s="7" t="s">
        <v>85</v>
      </c>
      <c r="BI48" s="7" t="s">
        <v>91</v>
      </c>
      <c r="BJ48" s="7" t="s">
        <v>91</v>
      </c>
      <c r="BK48" s="7" t="s">
        <v>85</v>
      </c>
      <c r="BL48" s="7" t="s">
        <v>85</v>
      </c>
      <c r="BM48" s="7" t="s">
        <v>95</v>
      </c>
      <c r="BN48" s="7" t="s">
        <v>96</v>
      </c>
      <c r="BO48" s="12">
        <v>0</v>
      </c>
      <c r="BP48" s="7" t="s">
        <v>85</v>
      </c>
      <c r="BQ48" s="7" t="s">
        <v>85</v>
      </c>
      <c r="BR48" s="7" t="s">
        <v>91</v>
      </c>
      <c r="BS48" s="7" t="s">
        <v>85</v>
      </c>
      <c r="BT48" s="16" t="s">
        <v>388</v>
      </c>
      <c r="BU48" s="16" t="s">
        <v>485</v>
      </c>
      <c r="BV48" s="16" t="s">
        <v>389</v>
      </c>
      <c r="BW48" s="16" t="s">
        <v>1232</v>
      </c>
      <c r="BX48" s="16" t="s">
        <v>486</v>
      </c>
    </row>
    <row r="49" spans="1:76" s="7" customFormat="1">
      <c r="A49" s="14">
        <v>46118</v>
      </c>
      <c r="B49" s="14">
        <v>46118</v>
      </c>
      <c r="C49" s="15">
        <v>0.43038194444444</v>
      </c>
      <c r="D49" s="16" t="s">
        <v>435</v>
      </c>
      <c r="E49" s="14">
        <v>46118</v>
      </c>
      <c r="F49" s="16" t="s">
        <v>483</v>
      </c>
      <c r="G49" s="16" t="s">
        <v>394</v>
      </c>
      <c r="H49" s="16" t="str">
        <f>VLOOKUP(G49,[1]Sheet3!A:B,2,0)</f>
        <v>TG</v>
      </c>
      <c r="I49" s="7" t="s">
        <v>76</v>
      </c>
      <c r="J49" s="7" t="s">
        <v>484</v>
      </c>
      <c r="K49" s="16" t="s">
        <v>436</v>
      </c>
      <c r="L49" s="16" t="s">
        <v>120</v>
      </c>
      <c r="M49" s="17">
        <v>2000</v>
      </c>
      <c r="N49" s="16" t="s">
        <v>434</v>
      </c>
      <c r="O49" s="16" t="s">
        <v>359</v>
      </c>
      <c r="P49" s="16" t="s">
        <v>85</v>
      </c>
      <c r="Q49" s="17">
        <v>2000</v>
      </c>
      <c r="R49" s="7" t="s">
        <v>85</v>
      </c>
      <c r="S49" s="7" t="s">
        <v>122</v>
      </c>
      <c r="T49" s="7" t="s">
        <v>370</v>
      </c>
      <c r="U49" s="12">
        <v>6709445.0599999996</v>
      </c>
      <c r="V49" s="7" t="s">
        <v>85</v>
      </c>
      <c r="W49" s="7" t="s">
        <v>85</v>
      </c>
      <c r="X49" s="7" t="s">
        <v>86</v>
      </c>
      <c r="Y49" s="7" t="s">
        <v>371</v>
      </c>
      <c r="Z49" s="7" t="s">
        <v>372</v>
      </c>
      <c r="AA49" s="7" t="s">
        <v>89</v>
      </c>
      <c r="AB49" s="7" t="s">
        <v>85</v>
      </c>
      <c r="AC49" s="7" t="s">
        <v>90</v>
      </c>
      <c r="AD49" s="7" t="s">
        <v>85</v>
      </c>
      <c r="AE49" s="7" t="s">
        <v>85</v>
      </c>
      <c r="AF49" s="7" t="s">
        <v>91</v>
      </c>
      <c r="AG49" s="7" t="s">
        <v>85</v>
      </c>
      <c r="AH49" s="7" t="s">
        <v>91</v>
      </c>
      <c r="AI49" s="13">
        <v>2000</v>
      </c>
      <c r="AJ49" s="7" t="s">
        <v>434</v>
      </c>
      <c r="AK49" s="7" t="s">
        <v>434</v>
      </c>
      <c r="AL49" s="13">
        <v>2000</v>
      </c>
      <c r="AM49" s="7" t="s">
        <v>371</v>
      </c>
      <c r="AN49" s="7" t="s">
        <v>85</v>
      </c>
      <c r="AO49" s="7" t="s">
        <v>85</v>
      </c>
      <c r="AP49" s="7" t="s">
        <v>107</v>
      </c>
      <c r="AQ49" s="7" t="s">
        <v>85</v>
      </c>
      <c r="AR49" s="7" t="s">
        <v>85</v>
      </c>
      <c r="AS49" s="12">
        <v>0</v>
      </c>
      <c r="AT49" s="12">
        <v>0</v>
      </c>
      <c r="AU49" s="7" t="s">
        <v>91</v>
      </c>
      <c r="AV49" s="7" t="s">
        <v>85</v>
      </c>
      <c r="AW49" s="7" t="s">
        <v>91</v>
      </c>
      <c r="AX49" s="7" t="s">
        <v>91</v>
      </c>
      <c r="AY49" s="7" t="s">
        <v>85</v>
      </c>
      <c r="AZ49" s="7" t="s">
        <v>93</v>
      </c>
      <c r="BA49" s="7" t="s">
        <v>85</v>
      </c>
      <c r="BB49" s="7" t="s">
        <v>85</v>
      </c>
      <c r="BC49" s="7" t="s">
        <v>91</v>
      </c>
      <c r="BD49" s="7" t="s">
        <v>434</v>
      </c>
      <c r="BE49" s="7" t="s">
        <v>300</v>
      </c>
      <c r="BF49" s="7" t="s">
        <v>85</v>
      </c>
      <c r="BG49" s="7" t="s">
        <v>85</v>
      </c>
      <c r="BH49" s="7" t="s">
        <v>85</v>
      </c>
      <c r="BI49" s="7" t="s">
        <v>91</v>
      </c>
      <c r="BJ49" s="7" t="s">
        <v>91</v>
      </c>
      <c r="BK49" s="7" t="s">
        <v>85</v>
      </c>
      <c r="BL49" s="7" t="s">
        <v>85</v>
      </c>
      <c r="BM49" s="7" t="s">
        <v>95</v>
      </c>
      <c r="BN49" s="7" t="s">
        <v>96</v>
      </c>
      <c r="BO49" s="12">
        <v>0</v>
      </c>
      <c r="BP49" s="7" t="s">
        <v>85</v>
      </c>
      <c r="BQ49" s="7" t="s">
        <v>85</v>
      </c>
      <c r="BR49" s="7" t="s">
        <v>91</v>
      </c>
      <c r="BS49" s="7" t="s">
        <v>85</v>
      </c>
      <c r="BT49" s="16" t="s">
        <v>388</v>
      </c>
      <c r="BU49" s="16" t="s">
        <v>485</v>
      </c>
      <c r="BV49" s="16" t="s">
        <v>389</v>
      </c>
      <c r="BW49" s="16" t="s">
        <v>1232</v>
      </c>
      <c r="BX49" s="16" t="s">
        <v>486</v>
      </c>
    </row>
    <row r="50" spans="1:76" s="7" customFormat="1">
      <c r="A50" s="14">
        <v>46118</v>
      </c>
      <c r="B50" s="14">
        <v>46118</v>
      </c>
      <c r="C50" s="15">
        <v>0.43038194444444</v>
      </c>
      <c r="D50" s="16" t="s">
        <v>437</v>
      </c>
      <c r="E50" s="14">
        <v>46118</v>
      </c>
      <c r="F50" s="16" t="s">
        <v>483</v>
      </c>
      <c r="G50" s="16" t="s">
        <v>394</v>
      </c>
      <c r="H50" s="16" t="str">
        <f>VLOOKUP(G50,[1]Sheet3!A:B,2,0)</f>
        <v>TG</v>
      </c>
      <c r="I50" s="7" t="s">
        <v>76</v>
      </c>
      <c r="J50" s="7" t="s">
        <v>484</v>
      </c>
      <c r="K50" s="16" t="s">
        <v>438</v>
      </c>
      <c r="L50" s="16" t="s">
        <v>271</v>
      </c>
      <c r="M50" s="17">
        <v>3000</v>
      </c>
      <c r="N50" s="16" t="s">
        <v>434</v>
      </c>
      <c r="O50" s="16" t="s">
        <v>359</v>
      </c>
      <c r="P50" s="16" t="s">
        <v>85</v>
      </c>
      <c r="Q50" s="17">
        <v>3000</v>
      </c>
      <c r="R50" s="7" t="s">
        <v>85</v>
      </c>
      <c r="S50" s="7" t="s">
        <v>122</v>
      </c>
      <c r="T50" s="7" t="s">
        <v>370</v>
      </c>
      <c r="U50" s="12">
        <v>9793384.0999999996</v>
      </c>
      <c r="V50" s="7" t="s">
        <v>85</v>
      </c>
      <c r="W50" s="7" t="s">
        <v>85</v>
      </c>
      <c r="X50" s="7" t="s">
        <v>86</v>
      </c>
      <c r="Y50" s="7" t="s">
        <v>371</v>
      </c>
      <c r="Z50" s="7" t="s">
        <v>372</v>
      </c>
      <c r="AA50" s="7" t="s">
        <v>89</v>
      </c>
      <c r="AB50" s="7" t="s">
        <v>85</v>
      </c>
      <c r="AC50" s="7" t="s">
        <v>112</v>
      </c>
      <c r="AD50" s="7" t="s">
        <v>85</v>
      </c>
      <c r="AE50" s="7" t="s">
        <v>85</v>
      </c>
      <c r="AF50" s="7" t="s">
        <v>91</v>
      </c>
      <c r="AG50" s="7" t="s">
        <v>85</v>
      </c>
      <c r="AH50" s="7" t="s">
        <v>91</v>
      </c>
      <c r="AI50" s="13">
        <v>3000</v>
      </c>
      <c r="AJ50" s="7" t="s">
        <v>434</v>
      </c>
      <c r="AK50" s="7" t="s">
        <v>434</v>
      </c>
      <c r="AL50" s="13">
        <v>3000</v>
      </c>
      <c r="AM50" s="7" t="s">
        <v>371</v>
      </c>
      <c r="AN50" s="7" t="s">
        <v>85</v>
      </c>
      <c r="AO50" s="7" t="s">
        <v>85</v>
      </c>
      <c r="AP50" s="7" t="s">
        <v>92</v>
      </c>
      <c r="AQ50" s="7" t="s">
        <v>85</v>
      </c>
      <c r="AR50" s="7" t="s">
        <v>85</v>
      </c>
      <c r="AS50" s="12">
        <v>0</v>
      </c>
      <c r="AT50" s="12">
        <v>0</v>
      </c>
      <c r="AU50" s="7" t="s">
        <v>91</v>
      </c>
      <c r="AV50" s="7" t="s">
        <v>85</v>
      </c>
      <c r="AW50" s="7" t="s">
        <v>91</v>
      </c>
      <c r="AX50" s="7" t="s">
        <v>91</v>
      </c>
      <c r="AY50" s="7" t="s">
        <v>85</v>
      </c>
      <c r="AZ50" s="7" t="s">
        <v>93</v>
      </c>
      <c r="BA50" s="7" t="s">
        <v>85</v>
      </c>
      <c r="BB50" s="7" t="s">
        <v>85</v>
      </c>
      <c r="BC50" s="7" t="s">
        <v>91</v>
      </c>
      <c r="BD50" s="7" t="s">
        <v>434</v>
      </c>
      <c r="BE50" s="7" t="s">
        <v>300</v>
      </c>
      <c r="BF50" s="7" t="s">
        <v>85</v>
      </c>
      <c r="BG50" s="7" t="s">
        <v>85</v>
      </c>
      <c r="BH50" s="7" t="s">
        <v>85</v>
      </c>
      <c r="BI50" s="7" t="s">
        <v>91</v>
      </c>
      <c r="BJ50" s="7" t="s">
        <v>91</v>
      </c>
      <c r="BK50" s="7" t="s">
        <v>85</v>
      </c>
      <c r="BL50" s="7" t="s">
        <v>85</v>
      </c>
      <c r="BM50" s="7" t="s">
        <v>95</v>
      </c>
      <c r="BN50" s="7" t="s">
        <v>96</v>
      </c>
      <c r="BO50" s="12">
        <v>0</v>
      </c>
      <c r="BP50" s="7" t="s">
        <v>85</v>
      </c>
      <c r="BQ50" s="7" t="s">
        <v>85</v>
      </c>
      <c r="BR50" s="7" t="s">
        <v>91</v>
      </c>
      <c r="BS50" s="7" t="s">
        <v>85</v>
      </c>
      <c r="BT50" s="16" t="s">
        <v>388</v>
      </c>
      <c r="BU50" s="16" t="s">
        <v>485</v>
      </c>
      <c r="BV50" s="16" t="s">
        <v>389</v>
      </c>
      <c r="BW50" s="16" t="s">
        <v>1232</v>
      </c>
      <c r="BX50" s="16" t="s">
        <v>486</v>
      </c>
    </row>
    <row r="51" spans="1:76" s="7" customFormat="1">
      <c r="A51" s="14">
        <v>46118</v>
      </c>
      <c r="B51" s="14">
        <v>46118</v>
      </c>
      <c r="C51" s="15">
        <v>0.43038194444444</v>
      </c>
      <c r="D51" s="16" t="s">
        <v>439</v>
      </c>
      <c r="E51" s="14">
        <v>46118</v>
      </c>
      <c r="F51" s="16" t="s">
        <v>483</v>
      </c>
      <c r="G51" s="16" t="s">
        <v>394</v>
      </c>
      <c r="H51" s="16" t="str">
        <f>VLOOKUP(G51,[1]Sheet3!A:B,2,0)</f>
        <v>TG</v>
      </c>
      <c r="I51" s="7" t="s">
        <v>76</v>
      </c>
      <c r="J51" s="7" t="s">
        <v>484</v>
      </c>
      <c r="K51" s="16" t="s">
        <v>440</v>
      </c>
      <c r="L51" s="16" t="s">
        <v>441</v>
      </c>
      <c r="M51" s="17">
        <v>2000</v>
      </c>
      <c r="N51" s="16" t="s">
        <v>434</v>
      </c>
      <c r="O51" s="16" t="s">
        <v>359</v>
      </c>
      <c r="P51" s="16" t="s">
        <v>85</v>
      </c>
      <c r="Q51" s="17">
        <v>2000</v>
      </c>
      <c r="R51" s="7" t="s">
        <v>85</v>
      </c>
      <c r="S51" s="7" t="s">
        <v>122</v>
      </c>
      <c r="T51" s="7" t="s">
        <v>370</v>
      </c>
      <c r="U51" s="12">
        <v>6709442.0599999996</v>
      </c>
      <c r="V51" s="7" t="s">
        <v>85</v>
      </c>
      <c r="W51" s="7" t="s">
        <v>85</v>
      </c>
      <c r="X51" s="7" t="s">
        <v>86</v>
      </c>
      <c r="Y51" s="7" t="s">
        <v>371</v>
      </c>
      <c r="Z51" s="7" t="s">
        <v>372</v>
      </c>
      <c r="AA51" s="7" t="s">
        <v>89</v>
      </c>
      <c r="AB51" s="7" t="s">
        <v>85</v>
      </c>
      <c r="AC51" s="7" t="s">
        <v>134</v>
      </c>
      <c r="AD51" s="7" t="s">
        <v>85</v>
      </c>
      <c r="AE51" s="7" t="s">
        <v>85</v>
      </c>
      <c r="AF51" s="7" t="s">
        <v>91</v>
      </c>
      <c r="AG51" s="7" t="s">
        <v>85</v>
      </c>
      <c r="AH51" s="7" t="s">
        <v>91</v>
      </c>
      <c r="AI51" s="13">
        <v>2000</v>
      </c>
      <c r="AJ51" s="7" t="s">
        <v>434</v>
      </c>
      <c r="AK51" s="7" t="s">
        <v>434</v>
      </c>
      <c r="AL51" s="13">
        <v>2000</v>
      </c>
      <c r="AM51" s="7" t="s">
        <v>371</v>
      </c>
      <c r="AN51" s="7" t="s">
        <v>85</v>
      </c>
      <c r="AO51" s="7" t="s">
        <v>85</v>
      </c>
      <c r="AP51" s="7" t="s">
        <v>135</v>
      </c>
      <c r="AQ51" s="7" t="s">
        <v>85</v>
      </c>
      <c r="AR51" s="7" t="s">
        <v>85</v>
      </c>
      <c r="AS51" s="12">
        <v>0</v>
      </c>
      <c r="AT51" s="12">
        <v>0</v>
      </c>
      <c r="AU51" s="7" t="s">
        <v>91</v>
      </c>
      <c r="AV51" s="7" t="s">
        <v>85</v>
      </c>
      <c r="AW51" s="7" t="s">
        <v>91</v>
      </c>
      <c r="AX51" s="7" t="s">
        <v>91</v>
      </c>
      <c r="AY51" s="7" t="s">
        <v>85</v>
      </c>
      <c r="AZ51" s="7" t="s">
        <v>93</v>
      </c>
      <c r="BA51" s="7" t="s">
        <v>85</v>
      </c>
      <c r="BB51" s="7" t="s">
        <v>85</v>
      </c>
      <c r="BC51" s="7" t="s">
        <v>91</v>
      </c>
      <c r="BD51" s="7" t="s">
        <v>434</v>
      </c>
      <c r="BE51" s="7" t="s">
        <v>300</v>
      </c>
      <c r="BF51" s="7" t="s">
        <v>85</v>
      </c>
      <c r="BG51" s="7" t="s">
        <v>85</v>
      </c>
      <c r="BH51" s="7" t="s">
        <v>85</v>
      </c>
      <c r="BI51" s="7" t="s">
        <v>91</v>
      </c>
      <c r="BJ51" s="7" t="s">
        <v>91</v>
      </c>
      <c r="BK51" s="7" t="s">
        <v>85</v>
      </c>
      <c r="BL51" s="7" t="s">
        <v>85</v>
      </c>
      <c r="BM51" s="7" t="s">
        <v>95</v>
      </c>
      <c r="BN51" s="7" t="s">
        <v>96</v>
      </c>
      <c r="BO51" s="12">
        <v>0</v>
      </c>
      <c r="BP51" s="7" t="s">
        <v>85</v>
      </c>
      <c r="BQ51" s="7" t="s">
        <v>85</v>
      </c>
      <c r="BR51" s="7" t="s">
        <v>91</v>
      </c>
      <c r="BS51" s="7" t="s">
        <v>85</v>
      </c>
      <c r="BT51" s="16" t="s">
        <v>388</v>
      </c>
      <c r="BU51" s="16" t="s">
        <v>485</v>
      </c>
      <c r="BV51" s="16" t="s">
        <v>389</v>
      </c>
      <c r="BW51" s="16" t="s">
        <v>1232</v>
      </c>
      <c r="BX51" s="16" t="s">
        <v>486</v>
      </c>
    </row>
    <row r="52" spans="1:76" s="7" customFormat="1">
      <c r="A52" s="14">
        <v>46121</v>
      </c>
      <c r="B52" s="14">
        <v>46121</v>
      </c>
      <c r="C52" s="15">
        <v>0.40377314814815002</v>
      </c>
      <c r="D52" s="16" t="s">
        <v>420</v>
      </c>
      <c r="E52" s="14">
        <v>46121</v>
      </c>
      <c r="F52" s="16" t="s">
        <v>393</v>
      </c>
      <c r="G52" s="16" t="s">
        <v>394</v>
      </c>
      <c r="H52" s="16" t="str">
        <f>VLOOKUP(G52,[1]Sheet3!A:B,2,0)</f>
        <v>TG</v>
      </c>
      <c r="I52" s="7" t="s">
        <v>76</v>
      </c>
      <c r="J52" s="7" t="s">
        <v>487</v>
      </c>
      <c r="K52" s="16" t="s">
        <v>423</v>
      </c>
      <c r="L52" s="16" t="s">
        <v>424</v>
      </c>
      <c r="M52" s="17">
        <v>744</v>
      </c>
      <c r="N52" s="16" t="s">
        <v>219</v>
      </c>
      <c r="O52" s="16" t="s">
        <v>333</v>
      </c>
      <c r="P52" s="16" t="s">
        <v>85</v>
      </c>
      <c r="Q52" s="17">
        <v>744</v>
      </c>
      <c r="R52" s="7" t="s">
        <v>85</v>
      </c>
      <c r="S52" s="7" t="s">
        <v>122</v>
      </c>
      <c r="T52" s="7" t="s">
        <v>370</v>
      </c>
      <c r="U52" s="12">
        <v>2172486.2799999998</v>
      </c>
      <c r="V52" s="7" t="s">
        <v>85</v>
      </c>
      <c r="W52" s="7" t="s">
        <v>85</v>
      </c>
      <c r="X52" s="7" t="s">
        <v>86</v>
      </c>
      <c r="Y52" s="7" t="s">
        <v>371</v>
      </c>
      <c r="Z52" s="7" t="s">
        <v>372</v>
      </c>
      <c r="AA52" s="7" t="s">
        <v>89</v>
      </c>
      <c r="AB52" s="7" t="s">
        <v>85</v>
      </c>
      <c r="AC52" s="7" t="s">
        <v>98</v>
      </c>
      <c r="AD52" s="7" t="s">
        <v>85</v>
      </c>
      <c r="AE52" s="7" t="s">
        <v>85</v>
      </c>
      <c r="AF52" s="7" t="s">
        <v>91</v>
      </c>
      <c r="AG52" s="7" t="s">
        <v>85</v>
      </c>
      <c r="AH52" s="7" t="s">
        <v>91</v>
      </c>
      <c r="AI52" s="13">
        <v>744</v>
      </c>
      <c r="AJ52" s="7" t="s">
        <v>219</v>
      </c>
      <c r="AK52" s="7" t="s">
        <v>219</v>
      </c>
      <c r="AL52" s="13">
        <v>744</v>
      </c>
      <c r="AM52" s="7" t="s">
        <v>371</v>
      </c>
      <c r="AN52" s="7" t="s">
        <v>85</v>
      </c>
      <c r="AO52" s="7" t="s">
        <v>85</v>
      </c>
      <c r="AP52" s="7" t="s">
        <v>118</v>
      </c>
      <c r="AQ52" s="7" t="s">
        <v>85</v>
      </c>
      <c r="AR52" s="7" t="s">
        <v>85</v>
      </c>
      <c r="AS52" s="12">
        <v>0</v>
      </c>
      <c r="AT52" s="12">
        <v>0</v>
      </c>
      <c r="AU52" s="7" t="s">
        <v>91</v>
      </c>
      <c r="AV52" s="7" t="s">
        <v>85</v>
      </c>
      <c r="AW52" s="7" t="s">
        <v>91</v>
      </c>
      <c r="AX52" s="7" t="s">
        <v>91</v>
      </c>
      <c r="AY52" s="7" t="s">
        <v>85</v>
      </c>
      <c r="AZ52" s="7" t="s">
        <v>93</v>
      </c>
      <c r="BA52" s="7" t="s">
        <v>85</v>
      </c>
      <c r="BB52" s="7" t="s">
        <v>85</v>
      </c>
      <c r="BC52" s="7" t="s">
        <v>91</v>
      </c>
      <c r="BD52" s="7" t="s">
        <v>219</v>
      </c>
      <c r="BE52" s="7" t="s">
        <v>300</v>
      </c>
      <c r="BF52" s="7" t="s">
        <v>85</v>
      </c>
      <c r="BG52" s="7" t="s">
        <v>85</v>
      </c>
      <c r="BH52" s="7" t="s">
        <v>85</v>
      </c>
      <c r="BI52" s="7" t="s">
        <v>91</v>
      </c>
      <c r="BJ52" s="7" t="s">
        <v>91</v>
      </c>
      <c r="BK52" s="7" t="s">
        <v>85</v>
      </c>
      <c r="BL52" s="7" t="s">
        <v>85</v>
      </c>
      <c r="BM52" s="7" t="s">
        <v>95</v>
      </c>
      <c r="BN52" s="7" t="s">
        <v>96</v>
      </c>
      <c r="BO52" s="12">
        <v>0</v>
      </c>
      <c r="BP52" s="7" t="s">
        <v>85</v>
      </c>
      <c r="BQ52" s="7" t="s">
        <v>85</v>
      </c>
      <c r="BR52" s="7" t="s">
        <v>91</v>
      </c>
      <c r="BS52" s="7" t="s">
        <v>85</v>
      </c>
      <c r="BT52" s="16" t="s">
        <v>388</v>
      </c>
      <c r="BU52" s="16" t="s">
        <v>398</v>
      </c>
      <c r="BV52" s="16" t="s">
        <v>389</v>
      </c>
      <c r="BW52" s="16" t="s">
        <v>1230</v>
      </c>
      <c r="BX52" s="16" t="s">
        <v>399</v>
      </c>
    </row>
    <row r="53" spans="1:76" s="7" customFormat="1">
      <c r="A53" s="14">
        <v>46121</v>
      </c>
      <c r="B53" s="14">
        <v>46121</v>
      </c>
      <c r="C53" s="15">
        <v>0.40377314814815002</v>
      </c>
      <c r="D53" s="16" t="s">
        <v>425</v>
      </c>
      <c r="E53" s="14">
        <v>46121</v>
      </c>
      <c r="F53" s="16" t="s">
        <v>393</v>
      </c>
      <c r="G53" s="16" t="s">
        <v>394</v>
      </c>
      <c r="H53" s="16" t="str">
        <f>VLOOKUP(G53,[1]Sheet3!A:B,2,0)</f>
        <v>TG</v>
      </c>
      <c r="I53" s="7" t="s">
        <v>76</v>
      </c>
      <c r="J53" s="7" t="s">
        <v>487</v>
      </c>
      <c r="K53" s="16" t="s">
        <v>426</v>
      </c>
      <c r="L53" s="16" t="s">
        <v>270</v>
      </c>
      <c r="M53" s="17">
        <v>1024</v>
      </c>
      <c r="N53" s="16" t="s">
        <v>219</v>
      </c>
      <c r="O53" s="16" t="s">
        <v>333</v>
      </c>
      <c r="P53" s="16" t="s">
        <v>85</v>
      </c>
      <c r="Q53" s="17">
        <v>1024</v>
      </c>
      <c r="R53" s="7" t="s">
        <v>85</v>
      </c>
      <c r="S53" s="7" t="s">
        <v>122</v>
      </c>
      <c r="T53" s="7" t="s">
        <v>370</v>
      </c>
      <c r="U53" s="12">
        <v>3005089.25</v>
      </c>
      <c r="V53" s="7" t="s">
        <v>85</v>
      </c>
      <c r="W53" s="7" t="s">
        <v>85</v>
      </c>
      <c r="X53" s="7" t="s">
        <v>86</v>
      </c>
      <c r="Y53" s="7" t="s">
        <v>371</v>
      </c>
      <c r="Z53" s="7" t="s">
        <v>372</v>
      </c>
      <c r="AA53" s="7" t="s">
        <v>89</v>
      </c>
      <c r="AB53" s="7" t="s">
        <v>85</v>
      </c>
      <c r="AC53" s="7" t="s">
        <v>90</v>
      </c>
      <c r="AD53" s="7" t="s">
        <v>85</v>
      </c>
      <c r="AE53" s="7" t="s">
        <v>85</v>
      </c>
      <c r="AF53" s="7" t="s">
        <v>91</v>
      </c>
      <c r="AG53" s="7" t="s">
        <v>85</v>
      </c>
      <c r="AH53" s="7" t="s">
        <v>91</v>
      </c>
      <c r="AI53" s="13">
        <v>1024</v>
      </c>
      <c r="AJ53" s="7" t="s">
        <v>219</v>
      </c>
      <c r="AK53" s="7" t="s">
        <v>219</v>
      </c>
      <c r="AL53" s="13">
        <v>1024</v>
      </c>
      <c r="AM53" s="7" t="s">
        <v>371</v>
      </c>
      <c r="AN53" s="7" t="s">
        <v>85</v>
      </c>
      <c r="AO53" s="7" t="s">
        <v>85</v>
      </c>
      <c r="AP53" s="7" t="s">
        <v>107</v>
      </c>
      <c r="AQ53" s="7" t="s">
        <v>85</v>
      </c>
      <c r="AR53" s="7" t="s">
        <v>85</v>
      </c>
      <c r="AS53" s="12">
        <v>0</v>
      </c>
      <c r="AT53" s="12">
        <v>0</v>
      </c>
      <c r="AU53" s="7" t="s">
        <v>91</v>
      </c>
      <c r="AV53" s="7" t="s">
        <v>85</v>
      </c>
      <c r="AW53" s="7" t="s">
        <v>91</v>
      </c>
      <c r="AX53" s="7" t="s">
        <v>91</v>
      </c>
      <c r="AY53" s="7" t="s">
        <v>85</v>
      </c>
      <c r="AZ53" s="7" t="s">
        <v>93</v>
      </c>
      <c r="BA53" s="7" t="s">
        <v>85</v>
      </c>
      <c r="BB53" s="7" t="s">
        <v>85</v>
      </c>
      <c r="BC53" s="7" t="s">
        <v>91</v>
      </c>
      <c r="BD53" s="7" t="s">
        <v>219</v>
      </c>
      <c r="BE53" s="7" t="s">
        <v>300</v>
      </c>
      <c r="BF53" s="7" t="s">
        <v>85</v>
      </c>
      <c r="BG53" s="7" t="s">
        <v>85</v>
      </c>
      <c r="BH53" s="7" t="s">
        <v>85</v>
      </c>
      <c r="BI53" s="7" t="s">
        <v>91</v>
      </c>
      <c r="BJ53" s="7" t="s">
        <v>91</v>
      </c>
      <c r="BK53" s="7" t="s">
        <v>85</v>
      </c>
      <c r="BL53" s="7" t="s">
        <v>85</v>
      </c>
      <c r="BM53" s="7" t="s">
        <v>95</v>
      </c>
      <c r="BN53" s="7" t="s">
        <v>96</v>
      </c>
      <c r="BO53" s="12">
        <v>0</v>
      </c>
      <c r="BP53" s="7" t="s">
        <v>85</v>
      </c>
      <c r="BQ53" s="7" t="s">
        <v>85</v>
      </c>
      <c r="BR53" s="7" t="s">
        <v>91</v>
      </c>
      <c r="BS53" s="7" t="s">
        <v>85</v>
      </c>
      <c r="BT53" s="16" t="s">
        <v>388</v>
      </c>
      <c r="BU53" s="16" t="s">
        <v>398</v>
      </c>
      <c r="BV53" s="16" t="s">
        <v>389</v>
      </c>
      <c r="BW53" s="16" t="s">
        <v>1230</v>
      </c>
      <c r="BX53" s="16" t="s">
        <v>399</v>
      </c>
    </row>
    <row r="54" spans="1:76" s="7" customFormat="1">
      <c r="A54" s="14">
        <v>46121</v>
      </c>
      <c r="B54" s="14">
        <v>46121</v>
      </c>
      <c r="C54" s="15">
        <v>0.40377314814815002</v>
      </c>
      <c r="D54" s="16" t="s">
        <v>427</v>
      </c>
      <c r="E54" s="14">
        <v>46121</v>
      </c>
      <c r="F54" s="16" t="s">
        <v>393</v>
      </c>
      <c r="G54" s="16" t="s">
        <v>394</v>
      </c>
      <c r="H54" s="16" t="str">
        <f>VLOOKUP(G54,[1]Sheet3!A:B,2,0)</f>
        <v>TG</v>
      </c>
      <c r="I54" s="7" t="s">
        <v>76</v>
      </c>
      <c r="J54" s="7" t="s">
        <v>487</v>
      </c>
      <c r="K54" s="16" t="s">
        <v>428</v>
      </c>
      <c r="L54" s="16" t="s">
        <v>357</v>
      </c>
      <c r="M54" s="17">
        <v>4144</v>
      </c>
      <c r="N54" s="16" t="s">
        <v>219</v>
      </c>
      <c r="O54" s="16" t="s">
        <v>333</v>
      </c>
      <c r="P54" s="16" t="s">
        <v>85</v>
      </c>
      <c r="Q54" s="17">
        <v>4144</v>
      </c>
      <c r="R54" s="7" t="s">
        <v>85</v>
      </c>
      <c r="S54" s="7" t="s">
        <v>122</v>
      </c>
      <c r="T54" s="7" t="s">
        <v>370</v>
      </c>
      <c r="U54" s="12">
        <v>12097549.57</v>
      </c>
      <c r="V54" s="7" t="s">
        <v>85</v>
      </c>
      <c r="W54" s="7" t="s">
        <v>85</v>
      </c>
      <c r="X54" s="7" t="s">
        <v>86</v>
      </c>
      <c r="Y54" s="7" t="s">
        <v>371</v>
      </c>
      <c r="Z54" s="7" t="s">
        <v>372</v>
      </c>
      <c r="AA54" s="7" t="s">
        <v>89</v>
      </c>
      <c r="AB54" s="7" t="s">
        <v>85</v>
      </c>
      <c r="AC54" s="7" t="s">
        <v>112</v>
      </c>
      <c r="AD54" s="7" t="s">
        <v>85</v>
      </c>
      <c r="AE54" s="7" t="s">
        <v>85</v>
      </c>
      <c r="AF54" s="7" t="s">
        <v>91</v>
      </c>
      <c r="AG54" s="7" t="s">
        <v>85</v>
      </c>
      <c r="AH54" s="7" t="s">
        <v>91</v>
      </c>
      <c r="AI54" s="13">
        <v>4144</v>
      </c>
      <c r="AJ54" s="7" t="s">
        <v>219</v>
      </c>
      <c r="AK54" s="7" t="s">
        <v>219</v>
      </c>
      <c r="AL54" s="13">
        <v>4144</v>
      </c>
      <c r="AM54" s="7" t="s">
        <v>371</v>
      </c>
      <c r="AN54" s="7" t="s">
        <v>85</v>
      </c>
      <c r="AO54" s="7" t="s">
        <v>85</v>
      </c>
      <c r="AP54" s="7" t="s">
        <v>92</v>
      </c>
      <c r="AQ54" s="7" t="s">
        <v>85</v>
      </c>
      <c r="AR54" s="7" t="s">
        <v>85</v>
      </c>
      <c r="AS54" s="12">
        <v>0</v>
      </c>
      <c r="AT54" s="12">
        <v>0</v>
      </c>
      <c r="AU54" s="7" t="s">
        <v>91</v>
      </c>
      <c r="AV54" s="7" t="s">
        <v>85</v>
      </c>
      <c r="AW54" s="7" t="s">
        <v>91</v>
      </c>
      <c r="AX54" s="7" t="s">
        <v>91</v>
      </c>
      <c r="AY54" s="7" t="s">
        <v>85</v>
      </c>
      <c r="AZ54" s="7" t="s">
        <v>93</v>
      </c>
      <c r="BA54" s="7" t="s">
        <v>85</v>
      </c>
      <c r="BB54" s="7" t="s">
        <v>85</v>
      </c>
      <c r="BC54" s="7" t="s">
        <v>91</v>
      </c>
      <c r="BD54" s="7" t="s">
        <v>219</v>
      </c>
      <c r="BE54" s="7" t="s">
        <v>300</v>
      </c>
      <c r="BF54" s="7" t="s">
        <v>85</v>
      </c>
      <c r="BG54" s="7" t="s">
        <v>85</v>
      </c>
      <c r="BH54" s="7" t="s">
        <v>85</v>
      </c>
      <c r="BI54" s="7" t="s">
        <v>91</v>
      </c>
      <c r="BJ54" s="7" t="s">
        <v>91</v>
      </c>
      <c r="BK54" s="7" t="s">
        <v>85</v>
      </c>
      <c r="BL54" s="7" t="s">
        <v>85</v>
      </c>
      <c r="BM54" s="7" t="s">
        <v>95</v>
      </c>
      <c r="BN54" s="7" t="s">
        <v>96</v>
      </c>
      <c r="BO54" s="12">
        <v>0</v>
      </c>
      <c r="BP54" s="7" t="s">
        <v>85</v>
      </c>
      <c r="BQ54" s="7" t="s">
        <v>85</v>
      </c>
      <c r="BR54" s="7" t="s">
        <v>91</v>
      </c>
      <c r="BS54" s="7" t="s">
        <v>85</v>
      </c>
      <c r="BT54" s="16" t="s">
        <v>388</v>
      </c>
      <c r="BU54" s="16" t="s">
        <v>398</v>
      </c>
      <c r="BV54" s="16" t="s">
        <v>389</v>
      </c>
      <c r="BW54" s="16" t="s">
        <v>1230</v>
      </c>
      <c r="BX54" s="16" t="s">
        <v>399</v>
      </c>
    </row>
    <row r="55" spans="1:76" s="7" customFormat="1">
      <c r="A55" s="14">
        <v>46121</v>
      </c>
      <c r="B55" s="14">
        <v>46121</v>
      </c>
      <c r="C55" s="15">
        <v>0.40377314814815002</v>
      </c>
      <c r="D55" s="16" t="s">
        <v>429</v>
      </c>
      <c r="E55" s="14">
        <v>46121</v>
      </c>
      <c r="F55" s="16" t="s">
        <v>393</v>
      </c>
      <c r="G55" s="16" t="s">
        <v>394</v>
      </c>
      <c r="H55" s="16" t="str">
        <f>VLOOKUP(G55,[1]Sheet3!A:B,2,0)</f>
        <v>TG</v>
      </c>
      <c r="I55" s="7" t="s">
        <v>76</v>
      </c>
      <c r="J55" s="7" t="s">
        <v>487</v>
      </c>
      <c r="K55" s="16" t="s">
        <v>430</v>
      </c>
      <c r="L55" s="16" t="s">
        <v>431</v>
      </c>
      <c r="M55" s="17">
        <v>984</v>
      </c>
      <c r="N55" s="16" t="s">
        <v>219</v>
      </c>
      <c r="O55" s="16" t="s">
        <v>333</v>
      </c>
      <c r="P55" s="16" t="s">
        <v>85</v>
      </c>
      <c r="Q55" s="17">
        <v>984</v>
      </c>
      <c r="R55" s="7" t="s">
        <v>85</v>
      </c>
      <c r="S55" s="7" t="s">
        <v>122</v>
      </c>
      <c r="T55" s="7" t="s">
        <v>370</v>
      </c>
      <c r="U55" s="12">
        <v>2873126.84</v>
      </c>
      <c r="V55" s="7" t="s">
        <v>85</v>
      </c>
      <c r="W55" s="7" t="s">
        <v>85</v>
      </c>
      <c r="X55" s="7" t="s">
        <v>86</v>
      </c>
      <c r="Y55" s="7" t="s">
        <v>371</v>
      </c>
      <c r="Z55" s="7" t="s">
        <v>372</v>
      </c>
      <c r="AA55" s="7" t="s">
        <v>89</v>
      </c>
      <c r="AB55" s="7" t="s">
        <v>85</v>
      </c>
      <c r="AC55" s="7" t="s">
        <v>134</v>
      </c>
      <c r="AD55" s="7" t="s">
        <v>85</v>
      </c>
      <c r="AE55" s="7" t="s">
        <v>85</v>
      </c>
      <c r="AF55" s="7" t="s">
        <v>91</v>
      </c>
      <c r="AG55" s="7" t="s">
        <v>85</v>
      </c>
      <c r="AH55" s="7" t="s">
        <v>91</v>
      </c>
      <c r="AI55" s="13">
        <v>984</v>
      </c>
      <c r="AJ55" s="7" t="s">
        <v>219</v>
      </c>
      <c r="AK55" s="7" t="s">
        <v>219</v>
      </c>
      <c r="AL55" s="13">
        <v>984</v>
      </c>
      <c r="AM55" s="7" t="s">
        <v>371</v>
      </c>
      <c r="AN55" s="7" t="s">
        <v>85</v>
      </c>
      <c r="AO55" s="7" t="s">
        <v>85</v>
      </c>
      <c r="AP55" s="7" t="s">
        <v>135</v>
      </c>
      <c r="AQ55" s="7" t="s">
        <v>85</v>
      </c>
      <c r="AR55" s="7" t="s">
        <v>85</v>
      </c>
      <c r="AS55" s="12">
        <v>0</v>
      </c>
      <c r="AT55" s="12">
        <v>0</v>
      </c>
      <c r="AU55" s="7" t="s">
        <v>91</v>
      </c>
      <c r="AV55" s="7" t="s">
        <v>85</v>
      </c>
      <c r="AW55" s="7" t="s">
        <v>91</v>
      </c>
      <c r="AX55" s="7" t="s">
        <v>91</v>
      </c>
      <c r="AY55" s="7" t="s">
        <v>85</v>
      </c>
      <c r="AZ55" s="7" t="s">
        <v>93</v>
      </c>
      <c r="BA55" s="7" t="s">
        <v>85</v>
      </c>
      <c r="BB55" s="7" t="s">
        <v>85</v>
      </c>
      <c r="BC55" s="7" t="s">
        <v>91</v>
      </c>
      <c r="BD55" s="7" t="s">
        <v>219</v>
      </c>
      <c r="BE55" s="7" t="s">
        <v>300</v>
      </c>
      <c r="BF55" s="7" t="s">
        <v>85</v>
      </c>
      <c r="BG55" s="7" t="s">
        <v>85</v>
      </c>
      <c r="BH55" s="7" t="s">
        <v>85</v>
      </c>
      <c r="BI55" s="7" t="s">
        <v>91</v>
      </c>
      <c r="BJ55" s="7" t="s">
        <v>91</v>
      </c>
      <c r="BK55" s="7" t="s">
        <v>85</v>
      </c>
      <c r="BL55" s="7" t="s">
        <v>85</v>
      </c>
      <c r="BM55" s="7" t="s">
        <v>95</v>
      </c>
      <c r="BN55" s="7" t="s">
        <v>96</v>
      </c>
      <c r="BO55" s="12">
        <v>0</v>
      </c>
      <c r="BP55" s="7" t="s">
        <v>85</v>
      </c>
      <c r="BQ55" s="7" t="s">
        <v>85</v>
      </c>
      <c r="BR55" s="7" t="s">
        <v>91</v>
      </c>
      <c r="BS55" s="7" t="s">
        <v>85</v>
      </c>
      <c r="BT55" s="16" t="s">
        <v>388</v>
      </c>
      <c r="BU55" s="16" t="s">
        <v>398</v>
      </c>
      <c r="BV55" s="16" t="s">
        <v>389</v>
      </c>
      <c r="BW55" s="16" t="s">
        <v>1230</v>
      </c>
      <c r="BX55" s="16" t="s">
        <v>399</v>
      </c>
    </row>
    <row r="56" spans="1:76" s="7" customFormat="1">
      <c r="A56" s="14">
        <v>46121</v>
      </c>
      <c r="B56" s="14">
        <v>46121</v>
      </c>
      <c r="C56" s="15">
        <v>0.40377314814815002</v>
      </c>
      <c r="D56" s="16" t="s">
        <v>432</v>
      </c>
      <c r="E56" s="14">
        <v>46121</v>
      </c>
      <c r="F56" s="16" t="s">
        <v>393</v>
      </c>
      <c r="G56" s="16" t="s">
        <v>394</v>
      </c>
      <c r="H56" s="16" t="str">
        <f>VLOOKUP(G56,[1]Sheet3!A:B,2,0)</f>
        <v>TG</v>
      </c>
      <c r="I56" s="7" t="s">
        <v>76</v>
      </c>
      <c r="J56" s="7" t="s">
        <v>487</v>
      </c>
      <c r="K56" s="16" t="s">
        <v>433</v>
      </c>
      <c r="L56" s="16" t="s">
        <v>358</v>
      </c>
      <c r="M56" s="17">
        <v>400</v>
      </c>
      <c r="N56" s="16" t="s">
        <v>434</v>
      </c>
      <c r="O56" s="16" t="s">
        <v>333</v>
      </c>
      <c r="P56" s="16" t="s">
        <v>85</v>
      </c>
      <c r="Q56" s="17">
        <v>400</v>
      </c>
      <c r="R56" s="7" t="s">
        <v>85</v>
      </c>
      <c r="S56" s="7" t="s">
        <v>122</v>
      </c>
      <c r="T56" s="7" t="s">
        <v>370</v>
      </c>
      <c r="U56" s="12">
        <v>1246198.04</v>
      </c>
      <c r="V56" s="7" t="s">
        <v>85</v>
      </c>
      <c r="W56" s="7" t="s">
        <v>85</v>
      </c>
      <c r="X56" s="7" t="s">
        <v>86</v>
      </c>
      <c r="Y56" s="7" t="s">
        <v>371</v>
      </c>
      <c r="Z56" s="7" t="s">
        <v>372</v>
      </c>
      <c r="AA56" s="7" t="s">
        <v>89</v>
      </c>
      <c r="AB56" s="7" t="s">
        <v>85</v>
      </c>
      <c r="AC56" s="7" t="s">
        <v>131</v>
      </c>
      <c r="AD56" s="7" t="s">
        <v>85</v>
      </c>
      <c r="AE56" s="7" t="s">
        <v>85</v>
      </c>
      <c r="AF56" s="7" t="s">
        <v>91</v>
      </c>
      <c r="AG56" s="7" t="s">
        <v>85</v>
      </c>
      <c r="AH56" s="7" t="s">
        <v>91</v>
      </c>
      <c r="AI56" s="13">
        <v>400</v>
      </c>
      <c r="AJ56" s="7" t="s">
        <v>434</v>
      </c>
      <c r="AK56" s="7" t="s">
        <v>434</v>
      </c>
      <c r="AL56" s="13">
        <v>400</v>
      </c>
      <c r="AM56" s="7" t="s">
        <v>371</v>
      </c>
      <c r="AN56" s="7" t="s">
        <v>85</v>
      </c>
      <c r="AO56" s="7" t="s">
        <v>85</v>
      </c>
      <c r="AP56" s="7" t="s">
        <v>132</v>
      </c>
      <c r="AQ56" s="7" t="s">
        <v>85</v>
      </c>
      <c r="AR56" s="7" t="s">
        <v>85</v>
      </c>
      <c r="AS56" s="12">
        <v>0</v>
      </c>
      <c r="AT56" s="12">
        <v>0</v>
      </c>
      <c r="AU56" s="7" t="s">
        <v>91</v>
      </c>
      <c r="AV56" s="7" t="s">
        <v>85</v>
      </c>
      <c r="AW56" s="7" t="s">
        <v>91</v>
      </c>
      <c r="AX56" s="7" t="s">
        <v>91</v>
      </c>
      <c r="AY56" s="7" t="s">
        <v>85</v>
      </c>
      <c r="AZ56" s="7" t="s">
        <v>93</v>
      </c>
      <c r="BA56" s="7" t="s">
        <v>85</v>
      </c>
      <c r="BB56" s="7" t="s">
        <v>85</v>
      </c>
      <c r="BC56" s="7" t="s">
        <v>91</v>
      </c>
      <c r="BD56" s="7" t="s">
        <v>434</v>
      </c>
      <c r="BE56" s="7" t="s">
        <v>300</v>
      </c>
      <c r="BF56" s="7" t="s">
        <v>85</v>
      </c>
      <c r="BG56" s="7" t="s">
        <v>85</v>
      </c>
      <c r="BH56" s="7" t="s">
        <v>85</v>
      </c>
      <c r="BI56" s="7" t="s">
        <v>91</v>
      </c>
      <c r="BJ56" s="7" t="s">
        <v>91</v>
      </c>
      <c r="BK56" s="7" t="s">
        <v>85</v>
      </c>
      <c r="BL56" s="7" t="s">
        <v>85</v>
      </c>
      <c r="BM56" s="7" t="s">
        <v>95</v>
      </c>
      <c r="BN56" s="7" t="s">
        <v>96</v>
      </c>
      <c r="BO56" s="12">
        <v>0</v>
      </c>
      <c r="BP56" s="7" t="s">
        <v>85</v>
      </c>
      <c r="BQ56" s="7" t="s">
        <v>85</v>
      </c>
      <c r="BR56" s="7" t="s">
        <v>91</v>
      </c>
      <c r="BS56" s="7" t="s">
        <v>85</v>
      </c>
      <c r="BT56" s="16" t="s">
        <v>388</v>
      </c>
      <c r="BU56" s="16" t="s">
        <v>398</v>
      </c>
      <c r="BV56" s="16" t="s">
        <v>389</v>
      </c>
      <c r="BW56" s="16" t="s">
        <v>1230</v>
      </c>
      <c r="BX56" s="16" t="s">
        <v>399</v>
      </c>
    </row>
    <row r="57" spans="1:76" s="7" customFormat="1">
      <c r="A57" s="14">
        <v>46121</v>
      </c>
      <c r="B57" s="14">
        <v>46121</v>
      </c>
      <c r="C57" s="15">
        <v>0.40377314814815002</v>
      </c>
      <c r="D57" s="16" t="s">
        <v>435</v>
      </c>
      <c r="E57" s="14">
        <v>46121</v>
      </c>
      <c r="F57" s="16" t="s">
        <v>393</v>
      </c>
      <c r="G57" s="16" t="s">
        <v>394</v>
      </c>
      <c r="H57" s="16" t="str">
        <f>VLOOKUP(G57,[1]Sheet3!A:B,2,0)</f>
        <v>TG</v>
      </c>
      <c r="I57" s="7" t="s">
        <v>76</v>
      </c>
      <c r="J57" s="7" t="s">
        <v>487</v>
      </c>
      <c r="K57" s="16" t="s">
        <v>436</v>
      </c>
      <c r="L57" s="16" t="s">
        <v>120</v>
      </c>
      <c r="M57" s="17">
        <v>824</v>
      </c>
      <c r="N57" s="16" t="s">
        <v>434</v>
      </c>
      <c r="O57" s="16" t="s">
        <v>333</v>
      </c>
      <c r="P57" s="16" t="s">
        <v>85</v>
      </c>
      <c r="Q57" s="17">
        <v>824</v>
      </c>
      <c r="R57" s="7" t="s">
        <v>85</v>
      </c>
      <c r="S57" s="7" t="s">
        <v>122</v>
      </c>
      <c r="T57" s="7" t="s">
        <v>370</v>
      </c>
      <c r="U57" s="12">
        <v>2566417.06</v>
      </c>
      <c r="V57" s="7" t="s">
        <v>85</v>
      </c>
      <c r="W57" s="7" t="s">
        <v>85</v>
      </c>
      <c r="X57" s="7" t="s">
        <v>86</v>
      </c>
      <c r="Y57" s="7" t="s">
        <v>371</v>
      </c>
      <c r="Z57" s="7" t="s">
        <v>372</v>
      </c>
      <c r="AA57" s="7" t="s">
        <v>89</v>
      </c>
      <c r="AB57" s="7" t="s">
        <v>85</v>
      </c>
      <c r="AC57" s="7" t="s">
        <v>126</v>
      </c>
      <c r="AD57" s="7" t="s">
        <v>85</v>
      </c>
      <c r="AE57" s="7" t="s">
        <v>85</v>
      </c>
      <c r="AF57" s="7" t="s">
        <v>91</v>
      </c>
      <c r="AG57" s="7" t="s">
        <v>85</v>
      </c>
      <c r="AH57" s="7" t="s">
        <v>91</v>
      </c>
      <c r="AI57" s="13">
        <v>824</v>
      </c>
      <c r="AJ57" s="7" t="s">
        <v>434</v>
      </c>
      <c r="AK57" s="7" t="s">
        <v>434</v>
      </c>
      <c r="AL57" s="13">
        <v>824</v>
      </c>
      <c r="AM57" s="7" t="s">
        <v>371</v>
      </c>
      <c r="AN57" s="7" t="s">
        <v>85</v>
      </c>
      <c r="AO57" s="7" t="s">
        <v>85</v>
      </c>
      <c r="AP57" s="7" t="s">
        <v>127</v>
      </c>
      <c r="AQ57" s="7" t="s">
        <v>85</v>
      </c>
      <c r="AR57" s="7" t="s">
        <v>85</v>
      </c>
      <c r="AS57" s="12">
        <v>0</v>
      </c>
      <c r="AT57" s="12">
        <v>0</v>
      </c>
      <c r="AU57" s="7" t="s">
        <v>91</v>
      </c>
      <c r="AV57" s="7" t="s">
        <v>85</v>
      </c>
      <c r="AW57" s="7" t="s">
        <v>91</v>
      </c>
      <c r="AX57" s="7" t="s">
        <v>91</v>
      </c>
      <c r="AY57" s="7" t="s">
        <v>85</v>
      </c>
      <c r="AZ57" s="7" t="s">
        <v>93</v>
      </c>
      <c r="BA57" s="7" t="s">
        <v>85</v>
      </c>
      <c r="BB57" s="7" t="s">
        <v>85</v>
      </c>
      <c r="BC57" s="7" t="s">
        <v>91</v>
      </c>
      <c r="BD57" s="7" t="s">
        <v>434</v>
      </c>
      <c r="BE57" s="7" t="s">
        <v>300</v>
      </c>
      <c r="BF57" s="7" t="s">
        <v>85</v>
      </c>
      <c r="BG57" s="7" t="s">
        <v>85</v>
      </c>
      <c r="BH57" s="7" t="s">
        <v>85</v>
      </c>
      <c r="BI57" s="7" t="s">
        <v>91</v>
      </c>
      <c r="BJ57" s="7" t="s">
        <v>91</v>
      </c>
      <c r="BK57" s="7" t="s">
        <v>85</v>
      </c>
      <c r="BL57" s="7" t="s">
        <v>85</v>
      </c>
      <c r="BM57" s="7" t="s">
        <v>95</v>
      </c>
      <c r="BN57" s="7" t="s">
        <v>96</v>
      </c>
      <c r="BO57" s="12">
        <v>0</v>
      </c>
      <c r="BP57" s="7" t="s">
        <v>85</v>
      </c>
      <c r="BQ57" s="7" t="s">
        <v>85</v>
      </c>
      <c r="BR57" s="7" t="s">
        <v>91</v>
      </c>
      <c r="BS57" s="7" t="s">
        <v>85</v>
      </c>
      <c r="BT57" s="16" t="s">
        <v>388</v>
      </c>
      <c r="BU57" s="16" t="s">
        <v>398</v>
      </c>
      <c r="BV57" s="16" t="s">
        <v>389</v>
      </c>
      <c r="BW57" s="16" t="s">
        <v>1230</v>
      </c>
      <c r="BX57" s="16" t="s">
        <v>399</v>
      </c>
    </row>
    <row r="58" spans="1:76" s="7" customFormat="1">
      <c r="A58" s="14">
        <v>46121</v>
      </c>
      <c r="B58" s="14">
        <v>46121</v>
      </c>
      <c r="C58" s="15">
        <v>0.40377314814815002</v>
      </c>
      <c r="D58" s="16" t="s">
        <v>437</v>
      </c>
      <c r="E58" s="14">
        <v>46121</v>
      </c>
      <c r="F58" s="16" t="s">
        <v>393</v>
      </c>
      <c r="G58" s="16" t="s">
        <v>394</v>
      </c>
      <c r="H58" s="16" t="str">
        <f>VLOOKUP(G58,[1]Sheet3!A:B,2,0)</f>
        <v>TG</v>
      </c>
      <c r="I58" s="7" t="s">
        <v>76</v>
      </c>
      <c r="J58" s="7" t="s">
        <v>487</v>
      </c>
      <c r="K58" s="16" t="s">
        <v>438</v>
      </c>
      <c r="L58" s="16" t="s">
        <v>271</v>
      </c>
      <c r="M58" s="17">
        <v>904</v>
      </c>
      <c r="N58" s="16" t="s">
        <v>434</v>
      </c>
      <c r="O58" s="16" t="s">
        <v>333</v>
      </c>
      <c r="P58" s="16" t="s">
        <v>85</v>
      </c>
      <c r="Q58" s="17">
        <v>904</v>
      </c>
      <c r="R58" s="7" t="s">
        <v>85</v>
      </c>
      <c r="S58" s="7" t="s">
        <v>122</v>
      </c>
      <c r="T58" s="7" t="s">
        <v>370</v>
      </c>
      <c r="U58" s="12">
        <v>2815522.44</v>
      </c>
      <c r="V58" s="7" t="s">
        <v>85</v>
      </c>
      <c r="W58" s="7" t="s">
        <v>85</v>
      </c>
      <c r="X58" s="7" t="s">
        <v>86</v>
      </c>
      <c r="Y58" s="7" t="s">
        <v>371</v>
      </c>
      <c r="Z58" s="7" t="s">
        <v>372</v>
      </c>
      <c r="AA58" s="7" t="s">
        <v>89</v>
      </c>
      <c r="AB58" s="7" t="s">
        <v>85</v>
      </c>
      <c r="AC58" s="7" t="s">
        <v>128</v>
      </c>
      <c r="AD58" s="7" t="s">
        <v>85</v>
      </c>
      <c r="AE58" s="7" t="s">
        <v>85</v>
      </c>
      <c r="AF58" s="7" t="s">
        <v>91</v>
      </c>
      <c r="AG58" s="7" t="s">
        <v>85</v>
      </c>
      <c r="AH58" s="7" t="s">
        <v>91</v>
      </c>
      <c r="AI58" s="13">
        <v>904</v>
      </c>
      <c r="AJ58" s="7" t="s">
        <v>434</v>
      </c>
      <c r="AK58" s="7" t="s">
        <v>434</v>
      </c>
      <c r="AL58" s="13">
        <v>904</v>
      </c>
      <c r="AM58" s="7" t="s">
        <v>371</v>
      </c>
      <c r="AN58" s="7" t="s">
        <v>85</v>
      </c>
      <c r="AO58" s="7" t="s">
        <v>85</v>
      </c>
      <c r="AP58" s="7" t="s">
        <v>129</v>
      </c>
      <c r="AQ58" s="7" t="s">
        <v>85</v>
      </c>
      <c r="AR58" s="7" t="s">
        <v>85</v>
      </c>
      <c r="AS58" s="12">
        <v>0</v>
      </c>
      <c r="AT58" s="12">
        <v>0</v>
      </c>
      <c r="AU58" s="7" t="s">
        <v>91</v>
      </c>
      <c r="AV58" s="7" t="s">
        <v>85</v>
      </c>
      <c r="AW58" s="7" t="s">
        <v>91</v>
      </c>
      <c r="AX58" s="7" t="s">
        <v>91</v>
      </c>
      <c r="AY58" s="7" t="s">
        <v>85</v>
      </c>
      <c r="AZ58" s="7" t="s">
        <v>93</v>
      </c>
      <c r="BA58" s="7" t="s">
        <v>85</v>
      </c>
      <c r="BB58" s="7" t="s">
        <v>85</v>
      </c>
      <c r="BC58" s="7" t="s">
        <v>91</v>
      </c>
      <c r="BD58" s="7" t="s">
        <v>434</v>
      </c>
      <c r="BE58" s="7" t="s">
        <v>300</v>
      </c>
      <c r="BF58" s="7" t="s">
        <v>85</v>
      </c>
      <c r="BG58" s="7" t="s">
        <v>85</v>
      </c>
      <c r="BH58" s="7" t="s">
        <v>85</v>
      </c>
      <c r="BI58" s="7" t="s">
        <v>91</v>
      </c>
      <c r="BJ58" s="7" t="s">
        <v>91</v>
      </c>
      <c r="BK58" s="7" t="s">
        <v>85</v>
      </c>
      <c r="BL58" s="7" t="s">
        <v>85</v>
      </c>
      <c r="BM58" s="7" t="s">
        <v>95</v>
      </c>
      <c r="BN58" s="7" t="s">
        <v>96</v>
      </c>
      <c r="BO58" s="12">
        <v>0</v>
      </c>
      <c r="BP58" s="7" t="s">
        <v>85</v>
      </c>
      <c r="BQ58" s="7" t="s">
        <v>85</v>
      </c>
      <c r="BR58" s="7" t="s">
        <v>91</v>
      </c>
      <c r="BS58" s="7" t="s">
        <v>85</v>
      </c>
      <c r="BT58" s="16" t="s">
        <v>388</v>
      </c>
      <c r="BU58" s="16" t="s">
        <v>398</v>
      </c>
      <c r="BV58" s="16" t="s">
        <v>389</v>
      </c>
      <c r="BW58" s="16" t="s">
        <v>1230</v>
      </c>
      <c r="BX58" s="16" t="s">
        <v>399</v>
      </c>
    </row>
    <row r="59" spans="1:76" s="7" customFormat="1">
      <c r="A59" s="14">
        <v>46121</v>
      </c>
      <c r="B59" s="14">
        <v>46121</v>
      </c>
      <c r="C59" s="15">
        <v>0.40377314814815002</v>
      </c>
      <c r="D59" s="16" t="s">
        <v>439</v>
      </c>
      <c r="E59" s="14">
        <v>46121</v>
      </c>
      <c r="F59" s="16" t="s">
        <v>393</v>
      </c>
      <c r="G59" s="16" t="s">
        <v>394</v>
      </c>
      <c r="H59" s="16" t="str">
        <f>VLOOKUP(G59,[1]Sheet3!A:B,2,0)</f>
        <v>TG</v>
      </c>
      <c r="I59" s="7" t="s">
        <v>76</v>
      </c>
      <c r="J59" s="7" t="s">
        <v>487</v>
      </c>
      <c r="K59" s="16" t="s">
        <v>440</v>
      </c>
      <c r="L59" s="16" t="s">
        <v>441</v>
      </c>
      <c r="M59" s="17">
        <v>200</v>
      </c>
      <c r="N59" s="16" t="s">
        <v>434</v>
      </c>
      <c r="O59" s="16" t="s">
        <v>333</v>
      </c>
      <c r="P59" s="16" t="s">
        <v>85</v>
      </c>
      <c r="Q59" s="17">
        <v>200</v>
      </c>
      <c r="R59" s="7" t="s">
        <v>85</v>
      </c>
      <c r="S59" s="7" t="s">
        <v>122</v>
      </c>
      <c r="T59" s="7" t="s">
        <v>370</v>
      </c>
      <c r="U59" s="12">
        <v>623450.31999999995</v>
      </c>
      <c r="V59" s="7" t="s">
        <v>85</v>
      </c>
      <c r="W59" s="7" t="s">
        <v>85</v>
      </c>
      <c r="X59" s="7" t="s">
        <v>86</v>
      </c>
      <c r="Y59" s="7" t="s">
        <v>371</v>
      </c>
      <c r="Z59" s="7" t="s">
        <v>372</v>
      </c>
      <c r="AA59" s="7" t="s">
        <v>89</v>
      </c>
      <c r="AB59" s="7" t="s">
        <v>85</v>
      </c>
      <c r="AC59" s="7" t="s">
        <v>130</v>
      </c>
      <c r="AD59" s="7" t="s">
        <v>85</v>
      </c>
      <c r="AE59" s="7" t="s">
        <v>85</v>
      </c>
      <c r="AF59" s="7" t="s">
        <v>91</v>
      </c>
      <c r="AG59" s="7" t="s">
        <v>85</v>
      </c>
      <c r="AH59" s="7" t="s">
        <v>91</v>
      </c>
      <c r="AI59" s="13">
        <v>200</v>
      </c>
      <c r="AJ59" s="7" t="s">
        <v>434</v>
      </c>
      <c r="AK59" s="7" t="s">
        <v>434</v>
      </c>
      <c r="AL59" s="13">
        <v>200</v>
      </c>
      <c r="AM59" s="7" t="s">
        <v>371</v>
      </c>
      <c r="AN59" s="7" t="s">
        <v>85</v>
      </c>
      <c r="AO59" s="7" t="s">
        <v>85</v>
      </c>
      <c r="AP59" s="7" t="s">
        <v>442</v>
      </c>
      <c r="AQ59" s="7" t="s">
        <v>85</v>
      </c>
      <c r="AR59" s="7" t="s">
        <v>85</v>
      </c>
      <c r="AS59" s="12">
        <v>0</v>
      </c>
      <c r="AT59" s="12">
        <v>0</v>
      </c>
      <c r="AU59" s="7" t="s">
        <v>91</v>
      </c>
      <c r="AV59" s="7" t="s">
        <v>85</v>
      </c>
      <c r="AW59" s="7" t="s">
        <v>91</v>
      </c>
      <c r="AX59" s="7" t="s">
        <v>91</v>
      </c>
      <c r="AY59" s="7" t="s">
        <v>85</v>
      </c>
      <c r="AZ59" s="7" t="s">
        <v>93</v>
      </c>
      <c r="BA59" s="7" t="s">
        <v>85</v>
      </c>
      <c r="BB59" s="7" t="s">
        <v>85</v>
      </c>
      <c r="BC59" s="7" t="s">
        <v>91</v>
      </c>
      <c r="BD59" s="7" t="s">
        <v>434</v>
      </c>
      <c r="BE59" s="7" t="s">
        <v>300</v>
      </c>
      <c r="BF59" s="7" t="s">
        <v>85</v>
      </c>
      <c r="BG59" s="7" t="s">
        <v>85</v>
      </c>
      <c r="BH59" s="7" t="s">
        <v>85</v>
      </c>
      <c r="BI59" s="7" t="s">
        <v>91</v>
      </c>
      <c r="BJ59" s="7" t="s">
        <v>91</v>
      </c>
      <c r="BK59" s="7" t="s">
        <v>85</v>
      </c>
      <c r="BL59" s="7" t="s">
        <v>85</v>
      </c>
      <c r="BM59" s="7" t="s">
        <v>95</v>
      </c>
      <c r="BN59" s="7" t="s">
        <v>96</v>
      </c>
      <c r="BO59" s="12">
        <v>0</v>
      </c>
      <c r="BP59" s="7" t="s">
        <v>85</v>
      </c>
      <c r="BQ59" s="7" t="s">
        <v>85</v>
      </c>
      <c r="BR59" s="7" t="s">
        <v>91</v>
      </c>
      <c r="BS59" s="7" t="s">
        <v>85</v>
      </c>
      <c r="BT59" s="16" t="s">
        <v>388</v>
      </c>
      <c r="BU59" s="16" t="s">
        <v>398</v>
      </c>
      <c r="BV59" s="16" t="s">
        <v>389</v>
      </c>
      <c r="BW59" s="16" t="s">
        <v>1230</v>
      </c>
      <c r="BX59" s="16" t="s">
        <v>399</v>
      </c>
    </row>
    <row r="60" spans="1:76" s="7" customFormat="1">
      <c r="A60" s="14">
        <v>46122</v>
      </c>
      <c r="B60" s="14">
        <v>46122</v>
      </c>
      <c r="C60" s="15">
        <v>0.39895833333332997</v>
      </c>
      <c r="D60" s="16" t="s">
        <v>420</v>
      </c>
      <c r="E60" s="14">
        <v>46122</v>
      </c>
      <c r="F60" s="16" t="s">
        <v>393</v>
      </c>
      <c r="G60" s="16" t="s">
        <v>394</v>
      </c>
      <c r="H60" s="16" t="str">
        <f>VLOOKUP(G60,[1]Sheet3!A:B,2,0)</f>
        <v>TG</v>
      </c>
      <c r="I60" s="7" t="s">
        <v>76</v>
      </c>
      <c r="J60" s="7" t="s">
        <v>488</v>
      </c>
      <c r="K60" s="16" t="s">
        <v>423</v>
      </c>
      <c r="L60" s="16" t="s">
        <v>424</v>
      </c>
      <c r="M60" s="17">
        <v>56</v>
      </c>
      <c r="N60" s="16" t="s">
        <v>219</v>
      </c>
      <c r="O60" s="16" t="s">
        <v>333</v>
      </c>
      <c r="P60" s="16" t="s">
        <v>85</v>
      </c>
      <c r="Q60" s="17">
        <v>56</v>
      </c>
      <c r="R60" s="7" t="s">
        <v>85</v>
      </c>
      <c r="S60" s="7" t="s">
        <v>122</v>
      </c>
      <c r="T60" s="7" t="s">
        <v>370</v>
      </c>
      <c r="U60" s="12">
        <v>163520.48000000001</v>
      </c>
      <c r="V60" s="7" t="s">
        <v>85</v>
      </c>
      <c r="W60" s="7" t="s">
        <v>85</v>
      </c>
      <c r="X60" s="7" t="s">
        <v>86</v>
      </c>
      <c r="Y60" s="7" t="s">
        <v>371</v>
      </c>
      <c r="Z60" s="7" t="s">
        <v>372</v>
      </c>
      <c r="AA60" s="7" t="s">
        <v>89</v>
      </c>
      <c r="AB60" s="7" t="s">
        <v>85</v>
      </c>
      <c r="AC60" s="7" t="s">
        <v>98</v>
      </c>
      <c r="AD60" s="7" t="s">
        <v>85</v>
      </c>
      <c r="AE60" s="7" t="s">
        <v>85</v>
      </c>
      <c r="AF60" s="7" t="s">
        <v>91</v>
      </c>
      <c r="AG60" s="7" t="s">
        <v>85</v>
      </c>
      <c r="AH60" s="7" t="s">
        <v>91</v>
      </c>
      <c r="AI60" s="13">
        <v>56</v>
      </c>
      <c r="AJ60" s="7" t="s">
        <v>219</v>
      </c>
      <c r="AK60" s="7" t="s">
        <v>219</v>
      </c>
      <c r="AL60" s="13">
        <v>56</v>
      </c>
      <c r="AM60" s="7" t="s">
        <v>371</v>
      </c>
      <c r="AN60" s="7" t="s">
        <v>85</v>
      </c>
      <c r="AO60" s="7" t="s">
        <v>85</v>
      </c>
      <c r="AP60" s="7" t="s">
        <v>118</v>
      </c>
      <c r="AQ60" s="7" t="s">
        <v>85</v>
      </c>
      <c r="AR60" s="7" t="s">
        <v>85</v>
      </c>
      <c r="AS60" s="12">
        <v>0</v>
      </c>
      <c r="AT60" s="12">
        <v>0</v>
      </c>
      <c r="AU60" s="7" t="s">
        <v>91</v>
      </c>
      <c r="AV60" s="7" t="s">
        <v>85</v>
      </c>
      <c r="AW60" s="7" t="s">
        <v>91</v>
      </c>
      <c r="AX60" s="7" t="s">
        <v>91</v>
      </c>
      <c r="AY60" s="7" t="s">
        <v>85</v>
      </c>
      <c r="AZ60" s="7" t="s">
        <v>93</v>
      </c>
      <c r="BA60" s="7" t="s">
        <v>85</v>
      </c>
      <c r="BB60" s="7" t="s">
        <v>85</v>
      </c>
      <c r="BC60" s="7" t="s">
        <v>91</v>
      </c>
      <c r="BD60" s="7" t="s">
        <v>219</v>
      </c>
      <c r="BE60" s="7" t="s">
        <v>300</v>
      </c>
      <c r="BF60" s="7" t="s">
        <v>85</v>
      </c>
      <c r="BG60" s="7" t="s">
        <v>85</v>
      </c>
      <c r="BH60" s="7" t="s">
        <v>85</v>
      </c>
      <c r="BI60" s="7" t="s">
        <v>91</v>
      </c>
      <c r="BJ60" s="7" t="s">
        <v>91</v>
      </c>
      <c r="BK60" s="7" t="s">
        <v>85</v>
      </c>
      <c r="BL60" s="7" t="s">
        <v>85</v>
      </c>
      <c r="BM60" s="7" t="s">
        <v>95</v>
      </c>
      <c r="BN60" s="7" t="s">
        <v>96</v>
      </c>
      <c r="BO60" s="12">
        <v>0</v>
      </c>
      <c r="BP60" s="7" t="s">
        <v>85</v>
      </c>
      <c r="BQ60" s="7" t="s">
        <v>85</v>
      </c>
      <c r="BR60" s="7" t="s">
        <v>91</v>
      </c>
      <c r="BS60" s="7" t="s">
        <v>85</v>
      </c>
      <c r="BT60" s="16" t="s">
        <v>388</v>
      </c>
      <c r="BU60" s="16" t="s">
        <v>398</v>
      </c>
      <c r="BV60" s="16" t="s">
        <v>389</v>
      </c>
      <c r="BW60" s="16" t="s">
        <v>1230</v>
      </c>
      <c r="BX60" s="16" t="s">
        <v>399</v>
      </c>
    </row>
    <row r="61" spans="1:76" s="7" customFormat="1">
      <c r="A61" s="14">
        <v>46122</v>
      </c>
      <c r="B61" s="14">
        <v>46122</v>
      </c>
      <c r="C61" s="15">
        <v>0.39895833333332997</v>
      </c>
      <c r="D61" s="16" t="s">
        <v>425</v>
      </c>
      <c r="E61" s="14">
        <v>46122</v>
      </c>
      <c r="F61" s="16" t="s">
        <v>393</v>
      </c>
      <c r="G61" s="16" t="s">
        <v>394</v>
      </c>
      <c r="H61" s="16" t="str">
        <f>VLOOKUP(G61,[1]Sheet3!A:B,2,0)</f>
        <v>TG</v>
      </c>
      <c r="I61" s="7" t="s">
        <v>76</v>
      </c>
      <c r="J61" s="7" t="s">
        <v>488</v>
      </c>
      <c r="K61" s="16" t="s">
        <v>426</v>
      </c>
      <c r="L61" s="16" t="s">
        <v>270</v>
      </c>
      <c r="M61" s="17">
        <v>96</v>
      </c>
      <c r="N61" s="16" t="s">
        <v>219</v>
      </c>
      <c r="O61" s="16" t="s">
        <v>333</v>
      </c>
      <c r="P61" s="16" t="s">
        <v>85</v>
      </c>
      <c r="Q61" s="17">
        <v>96</v>
      </c>
      <c r="R61" s="7" t="s">
        <v>85</v>
      </c>
      <c r="S61" s="7" t="s">
        <v>122</v>
      </c>
      <c r="T61" s="7" t="s">
        <v>370</v>
      </c>
      <c r="U61" s="12">
        <v>281727.12</v>
      </c>
      <c r="V61" s="7" t="s">
        <v>85</v>
      </c>
      <c r="W61" s="7" t="s">
        <v>85</v>
      </c>
      <c r="X61" s="7" t="s">
        <v>86</v>
      </c>
      <c r="Y61" s="7" t="s">
        <v>371</v>
      </c>
      <c r="Z61" s="7" t="s">
        <v>372</v>
      </c>
      <c r="AA61" s="7" t="s">
        <v>89</v>
      </c>
      <c r="AB61" s="7" t="s">
        <v>85</v>
      </c>
      <c r="AC61" s="7" t="s">
        <v>90</v>
      </c>
      <c r="AD61" s="7" t="s">
        <v>85</v>
      </c>
      <c r="AE61" s="7" t="s">
        <v>85</v>
      </c>
      <c r="AF61" s="7" t="s">
        <v>91</v>
      </c>
      <c r="AG61" s="7" t="s">
        <v>85</v>
      </c>
      <c r="AH61" s="7" t="s">
        <v>91</v>
      </c>
      <c r="AI61" s="13">
        <v>96</v>
      </c>
      <c r="AJ61" s="7" t="s">
        <v>219</v>
      </c>
      <c r="AK61" s="7" t="s">
        <v>219</v>
      </c>
      <c r="AL61" s="13">
        <v>96</v>
      </c>
      <c r="AM61" s="7" t="s">
        <v>371</v>
      </c>
      <c r="AN61" s="7" t="s">
        <v>85</v>
      </c>
      <c r="AO61" s="7" t="s">
        <v>85</v>
      </c>
      <c r="AP61" s="7" t="s">
        <v>107</v>
      </c>
      <c r="AQ61" s="7" t="s">
        <v>85</v>
      </c>
      <c r="AR61" s="7" t="s">
        <v>85</v>
      </c>
      <c r="AS61" s="12">
        <v>0</v>
      </c>
      <c r="AT61" s="12">
        <v>0</v>
      </c>
      <c r="AU61" s="7" t="s">
        <v>91</v>
      </c>
      <c r="AV61" s="7" t="s">
        <v>85</v>
      </c>
      <c r="AW61" s="7" t="s">
        <v>91</v>
      </c>
      <c r="AX61" s="7" t="s">
        <v>91</v>
      </c>
      <c r="AY61" s="7" t="s">
        <v>85</v>
      </c>
      <c r="AZ61" s="7" t="s">
        <v>93</v>
      </c>
      <c r="BA61" s="7" t="s">
        <v>85</v>
      </c>
      <c r="BB61" s="7" t="s">
        <v>85</v>
      </c>
      <c r="BC61" s="7" t="s">
        <v>91</v>
      </c>
      <c r="BD61" s="7" t="s">
        <v>219</v>
      </c>
      <c r="BE61" s="7" t="s">
        <v>300</v>
      </c>
      <c r="BF61" s="7" t="s">
        <v>85</v>
      </c>
      <c r="BG61" s="7" t="s">
        <v>85</v>
      </c>
      <c r="BH61" s="7" t="s">
        <v>85</v>
      </c>
      <c r="BI61" s="7" t="s">
        <v>91</v>
      </c>
      <c r="BJ61" s="7" t="s">
        <v>91</v>
      </c>
      <c r="BK61" s="7" t="s">
        <v>85</v>
      </c>
      <c r="BL61" s="7" t="s">
        <v>85</v>
      </c>
      <c r="BM61" s="7" t="s">
        <v>95</v>
      </c>
      <c r="BN61" s="7" t="s">
        <v>96</v>
      </c>
      <c r="BO61" s="12">
        <v>0</v>
      </c>
      <c r="BP61" s="7" t="s">
        <v>85</v>
      </c>
      <c r="BQ61" s="7" t="s">
        <v>85</v>
      </c>
      <c r="BR61" s="7" t="s">
        <v>91</v>
      </c>
      <c r="BS61" s="7" t="s">
        <v>85</v>
      </c>
      <c r="BT61" s="16" t="s">
        <v>388</v>
      </c>
      <c r="BU61" s="16" t="s">
        <v>398</v>
      </c>
      <c r="BV61" s="16" t="s">
        <v>389</v>
      </c>
      <c r="BW61" s="16" t="s">
        <v>1230</v>
      </c>
      <c r="BX61" s="16" t="s">
        <v>399</v>
      </c>
    </row>
    <row r="62" spans="1:76" s="7" customFormat="1">
      <c r="A62" s="14">
        <v>46122</v>
      </c>
      <c r="B62" s="14">
        <v>46122</v>
      </c>
      <c r="C62" s="15">
        <v>0.39895833333332997</v>
      </c>
      <c r="D62" s="16" t="s">
        <v>427</v>
      </c>
      <c r="E62" s="14">
        <v>46122</v>
      </c>
      <c r="F62" s="16" t="s">
        <v>393</v>
      </c>
      <c r="G62" s="16" t="s">
        <v>394</v>
      </c>
      <c r="H62" s="16" t="str">
        <f>VLOOKUP(G62,[1]Sheet3!A:B,2,0)</f>
        <v>TG</v>
      </c>
      <c r="I62" s="7" t="s">
        <v>76</v>
      </c>
      <c r="J62" s="7" t="s">
        <v>488</v>
      </c>
      <c r="K62" s="16" t="s">
        <v>428</v>
      </c>
      <c r="L62" s="16" t="s">
        <v>357</v>
      </c>
      <c r="M62" s="17">
        <v>176</v>
      </c>
      <c r="N62" s="16" t="s">
        <v>219</v>
      </c>
      <c r="O62" s="16" t="s">
        <v>333</v>
      </c>
      <c r="P62" s="16" t="s">
        <v>85</v>
      </c>
      <c r="Q62" s="17">
        <v>176</v>
      </c>
      <c r="R62" s="7" t="s">
        <v>85</v>
      </c>
      <c r="S62" s="7" t="s">
        <v>122</v>
      </c>
      <c r="T62" s="7" t="s">
        <v>370</v>
      </c>
      <c r="U62" s="12">
        <v>513795.55</v>
      </c>
      <c r="V62" s="7" t="s">
        <v>85</v>
      </c>
      <c r="W62" s="7" t="s">
        <v>85</v>
      </c>
      <c r="X62" s="7" t="s">
        <v>86</v>
      </c>
      <c r="Y62" s="7" t="s">
        <v>371</v>
      </c>
      <c r="Z62" s="7" t="s">
        <v>372</v>
      </c>
      <c r="AA62" s="7" t="s">
        <v>89</v>
      </c>
      <c r="AB62" s="7" t="s">
        <v>85</v>
      </c>
      <c r="AC62" s="7" t="s">
        <v>112</v>
      </c>
      <c r="AD62" s="7" t="s">
        <v>85</v>
      </c>
      <c r="AE62" s="7" t="s">
        <v>85</v>
      </c>
      <c r="AF62" s="7" t="s">
        <v>91</v>
      </c>
      <c r="AG62" s="7" t="s">
        <v>85</v>
      </c>
      <c r="AH62" s="7" t="s">
        <v>91</v>
      </c>
      <c r="AI62" s="13">
        <v>176</v>
      </c>
      <c r="AJ62" s="7" t="s">
        <v>219</v>
      </c>
      <c r="AK62" s="7" t="s">
        <v>219</v>
      </c>
      <c r="AL62" s="13">
        <v>176</v>
      </c>
      <c r="AM62" s="7" t="s">
        <v>371</v>
      </c>
      <c r="AN62" s="7" t="s">
        <v>85</v>
      </c>
      <c r="AO62" s="7" t="s">
        <v>85</v>
      </c>
      <c r="AP62" s="7" t="s">
        <v>92</v>
      </c>
      <c r="AQ62" s="7" t="s">
        <v>85</v>
      </c>
      <c r="AR62" s="7" t="s">
        <v>85</v>
      </c>
      <c r="AS62" s="12">
        <v>0</v>
      </c>
      <c r="AT62" s="12">
        <v>0</v>
      </c>
      <c r="AU62" s="7" t="s">
        <v>91</v>
      </c>
      <c r="AV62" s="7" t="s">
        <v>85</v>
      </c>
      <c r="AW62" s="7" t="s">
        <v>91</v>
      </c>
      <c r="AX62" s="7" t="s">
        <v>91</v>
      </c>
      <c r="AY62" s="7" t="s">
        <v>85</v>
      </c>
      <c r="AZ62" s="7" t="s">
        <v>93</v>
      </c>
      <c r="BA62" s="7" t="s">
        <v>85</v>
      </c>
      <c r="BB62" s="7" t="s">
        <v>85</v>
      </c>
      <c r="BC62" s="7" t="s">
        <v>91</v>
      </c>
      <c r="BD62" s="7" t="s">
        <v>219</v>
      </c>
      <c r="BE62" s="7" t="s">
        <v>300</v>
      </c>
      <c r="BF62" s="7" t="s">
        <v>85</v>
      </c>
      <c r="BG62" s="7" t="s">
        <v>85</v>
      </c>
      <c r="BH62" s="7" t="s">
        <v>85</v>
      </c>
      <c r="BI62" s="7" t="s">
        <v>91</v>
      </c>
      <c r="BJ62" s="7" t="s">
        <v>91</v>
      </c>
      <c r="BK62" s="7" t="s">
        <v>85</v>
      </c>
      <c r="BL62" s="7" t="s">
        <v>85</v>
      </c>
      <c r="BM62" s="7" t="s">
        <v>95</v>
      </c>
      <c r="BN62" s="7" t="s">
        <v>96</v>
      </c>
      <c r="BO62" s="12">
        <v>0</v>
      </c>
      <c r="BP62" s="7" t="s">
        <v>85</v>
      </c>
      <c r="BQ62" s="7" t="s">
        <v>85</v>
      </c>
      <c r="BR62" s="7" t="s">
        <v>91</v>
      </c>
      <c r="BS62" s="7" t="s">
        <v>85</v>
      </c>
      <c r="BT62" s="16" t="s">
        <v>388</v>
      </c>
      <c r="BU62" s="16" t="s">
        <v>398</v>
      </c>
      <c r="BV62" s="16" t="s">
        <v>389</v>
      </c>
      <c r="BW62" s="16" t="s">
        <v>1230</v>
      </c>
      <c r="BX62" s="16" t="s">
        <v>399</v>
      </c>
    </row>
    <row r="63" spans="1:76" s="7" customFormat="1">
      <c r="A63" s="14">
        <v>46122</v>
      </c>
      <c r="B63" s="14">
        <v>46122</v>
      </c>
      <c r="C63" s="15">
        <v>0.39895833333332997</v>
      </c>
      <c r="D63" s="16" t="s">
        <v>435</v>
      </c>
      <c r="E63" s="14">
        <v>46122</v>
      </c>
      <c r="F63" s="16" t="s">
        <v>393</v>
      </c>
      <c r="G63" s="16" t="s">
        <v>394</v>
      </c>
      <c r="H63" s="16" t="str">
        <f>VLOOKUP(G63,[1]Sheet3!A:B,2,0)</f>
        <v>TG</v>
      </c>
      <c r="I63" s="7" t="s">
        <v>76</v>
      </c>
      <c r="J63" s="7" t="s">
        <v>488</v>
      </c>
      <c r="K63" s="16" t="s">
        <v>436</v>
      </c>
      <c r="L63" s="16" t="s">
        <v>120</v>
      </c>
      <c r="M63" s="17">
        <v>8</v>
      </c>
      <c r="N63" s="16" t="s">
        <v>434</v>
      </c>
      <c r="O63" s="16" t="s">
        <v>333</v>
      </c>
      <c r="P63" s="16" t="s">
        <v>85</v>
      </c>
      <c r="Q63" s="17">
        <v>8</v>
      </c>
      <c r="R63" s="7" t="s">
        <v>85</v>
      </c>
      <c r="S63" s="7" t="s">
        <v>122</v>
      </c>
      <c r="T63" s="7" t="s">
        <v>370</v>
      </c>
      <c r="U63" s="12">
        <v>24916.66</v>
      </c>
      <c r="V63" s="7" t="s">
        <v>85</v>
      </c>
      <c r="W63" s="7" t="s">
        <v>85</v>
      </c>
      <c r="X63" s="7" t="s">
        <v>86</v>
      </c>
      <c r="Y63" s="7" t="s">
        <v>371</v>
      </c>
      <c r="Z63" s="7" t="s">
        <v>372</v>
      </c>
      <c r="AA63" s="7" t="s">
        <v>89</v>
      </c>
      <c r="AB63" s="7" t="s">
        <v>85</v>
      </c>
      <c r="AC63" s="7" t="s">
        <v>134</v>
      </c>
      <c r="AD63" s="7" t="s">
        <v>85</v>
      </c>
      <c r="AE63" s="7" t="s">
        <v>85</v>
      </c>
      <c r="AF63" s="7" t="s">
        <v>91</v>
      </c>
      <c r="AG63" s="7" t="s">
        <v>85</v>
      </c>
      <c r="AH63" s="7" t="s">
        <v>91</v>
      </c>
      <c r="AI63" s="13">
        <v>8</v>
      </c>
      <c r="AJ63" s="7" t="s">
        <v>434</v>
      </c>
      <c r="AK63" s="7" t="s">
        <v>434</v>
      </c>
      <c r="AL63" s="13">
        <v>8</v>
      </c>
      <c r="AM63" s="7" t="s">
        <v>371</v>
      </c>
      <c r="AN63" s="7" t="s">
        <v>85</v>
      </c>
      <c r="AO63" s="7" t="s">
        <v>85</v>
      </c>
      <c r="AP63" s="7" t="s">
        <v>127</v>
      </c>
      <c r="AQ63" s="7" t="s">
        <v>85</v>
      </c>
      <c r="AR63" s="7" t="s">
        <v>85</v>
      </c>
      <c r="AS63" s="12">
        <v>0</v>
      </c>
      <c r="AT63" s="12">
        <v>0</v>
      </c>
      <c r="AU63" s="7" t="s">
        <v>91</v>
      </c>
      <c r="AV63" s="7" t="s">
        <v>85</v>
      </c>
      <c r="AW63" s="7" t="s">
        <v>91</v>
      </c>
      <c r="AX63" s="7" t="s">
        <v>91</v>
      </c>
      <c r="AY63" s="7" t="s">
        <v>85</v>
      </c>
      <c r="AZ63" s="7" t="s">
        <v>93</v>
      </c>
      <c r="BA63" s="7" t="s">
        <v>85</v>
      </c>
      <c r="BB63" s="7" t="s">
        <v>85</v>
      </c>
      <c r="BC63" s="7" t="s">
        <v>91</v>
      </c>
      <c r="BD63" s="7" t="s">
        <v>434</v>
      </c>
      <c r="BE63" s="7" t="s">
        <v>300</v>
      </c>
      <c r="BF63" s="7" t="s">
        <v>85</v>
      </c>
      <c r="BG63" s="7" t="s">
        <v>85</v>
      </c>
      <c r="BH63" s="7" t="s">
        <v>85</v>
      </c>
      <c r="BI63" s="7" t="s">
        <v>91</v>
      </c>
      <c r="BJ63" s="7" t="s">
        <v>91</v>
      </c>
      <c r="BK63" s="7" t="s">
        <v>85</v>
      </c>
      <c r="BL63" s="7" t="s">
        <v>85</v>
      </c>
      <c r="BM63" s="7" t="s">
        <v>95</v>
      </c>
      <c r="BN63" s="7" t="s">
        <v>96</v>
      </c>
      <c r="BO63" s="12">
        <v>0</v>
      </c>
      <c r="BP63" s="7" t="s">
        <v>85</v>
      </c>
      <c r="BQ63" s="7" t="s">
        <v>85</v>
      </c>
      <c r="BR63" s="7" t="s">
        <v>91</v>
      </c>
      <c r="BS63" s="7" t="s">
        <v>85</v>
      </c>
      <c r="BT63" s="16" t="s">
        <v>388</v>
      </c>
      <c r="BU63" s="16" t="s">
        <v>398</v>
      </c>
      <c r="BV63" s="16" t="s">
        <v>389</v>
      </c>
      <c r="BW63" s="16" t="s">
        <v>1230</v>
      </c>
      <c r="BX63" s="16" t="s">
        <v>399</v>
      </c>
    </row>
    <row r="64" spans="1:76" s="7" customFormat="1">
      <c r="A64" s="14">
        <v>46136</v>
      </c>
      <c r="B64" s="14">
        <v>46136</v>
      </c>
      <c r="C64" s="15">
        <v>0.71432870370370005</v>
      </c>
      <c r="D64" s="16" t="s">
        <v>376</v>
      </c>
      <c r="E64" s="14">
        <v>46136</v>
      </c>
      <c r="F64" s="16" t="s">
        <v>489</v>
      </c>
      <c r="G64" s="16" t="s">
        <v>365</v>
      </c>
      <c r="H64" s="16" t="str">
        <f>VLOOKUP(G64,[1]Sheet3!A:B,2,0)</f>
        <v>ADMD</v>
      </c>
      <c r="I64" s="7" t="s">
        <v>76</v>
      </c>
      <c r="J64" s="7" t="s">
        <v>490</v>
      </c>
      <c r="K64" s="16" t="s">
        <v>377</v>
      </c>
      <c r="L64" s="16" t="s">
        <v>125</v>
      </c>
      <c r="M64" s="17">
        <v>633</v>
      </c>
      <c r="N64" s="16" t="s">
        <v>79</v>
      </c>
      <c r="O64" s="16" t="s">
        <v>491</v>
      </c>
      <c r="P64" s="16" t="s">
        <v>489</v>
      </c>
      <c r="Q64" s="17">
        <v>633</v>
      </c>
      <c r="R64" s="7" t="s">
        <v>85</v>
      </c>
      <c r="S64" s="7" t="s">
        <v>83</v>
      </c>
      <c r="T64" s="7" t="s">
        <v>370</v>
      </c>
      <c r="U64" s="12">
        <v>26369.18</v>
      </c>
      <c r="V64" s="7" t="s">
        <v>85</v>
      </c>
      <c r="W64" s="7" t="s">
        <v>85</v>
      </c>
      <c r="X64" s="7" t="s">
        <v>86</v>
      </c>
      <c r="Y64" s="7" t="s">
        <v>371</v>
      </c>
      <c r="Z64" s="7" t="s">
        <v>372</v>
      </c>
      <c r="AA64" s="7" t="s">
        <v>89</v>
      </c>
      <c r="AB64" s="7" t="s">
        <v>85</v>
      </c>
      <c r="AC64" s="7" t="s">
        <v>131</v>
      </c>
      <c r="AD64" s="7" t="s">
        <v>85</v>
      </c>
      <c r="AE64" s="7" t="s">
        <v>85</v>
      </c>
      <c r="AF64" s="7" t="s">
        <v>91</v>
      </c>
      <c r="AG64" s="7" t="s">
        <v>85</v>
      </c>
      <c r="AH64" s="7" t="s">
        <v>91</v>
      </c>
      <c r="AI64" s="13">
        <v>633</v>
      </c>
      <c r="AJ64" s="7" t="s">
        <v>79</v>
      </c>
      <c r="AK64" s="7" t="s">
        <v>79</v>
      </c>
      <c r="AL64" s="13">
        <v>633</v>
      </c>
      <c r="AM64" s="7" t="s">
        <v>371</v>
      </c>
      <c r="AN64" s="7" t="s">
        <v>85</v>
      </c>
      <c r="AO64" s="7" t="s">
        <v>85</v>
      </c>
      <c r="AP64" s="7" t="s">
        <v>118</v>
      </c>
      <c r="AQ64" s="7" t="s">
        <v>85</v>
      </c>
      <c r="AR64" s="7" t="s">
        <v>85</v>
      </c>
      <c r="AS64" s="12">
        <v>0</v>
      </c>
      <c r="AT64" s="12">
        <v>0</v>
      </c>
      <c r="AU64" s="7" t="s">
        <v>91</v>
      </c>
      <c r="AV64" s="7" t="s">
        <v>85</v>
      </c>
      <c r="AW64" s="7" t="s">
        <v>91</v>
      </c>
      <c r="AX64" s="7" t="s">
        <v>91</v>
      </c>
      <c r="AY64" s="7" t="s">
        <v>85</v>
      </c>
      <c r="AZ64" s="7" t="s">
        <v>93</v>
      </c>
      <c r="BA64" s="7" t="s">
        <v>85</v>
      </c>
      <c r="BB64" s="7" t="s">
        <v>85</v>
      </c>
      <c r="BC64" s="7" t="s">
        <v>91</v>
      </c>
      <c r="BD64" s="7" t="s">
        <v>79</v>
      </c>
      <c r="BE64" s="7" t="s">
        <v>300</v>
      </c>
      <c r="BF64" s="7" t="s">
        <v>85</v>
      </c>
      <c r="BG64" s="7" t="s">
        <v>85</v>
      </c>
      <c r="BH64" s="7" t="s">
        <v>85</v>
      </c>
      <c r="BI64" s="7" t="s">
        <v>91</v>
      </c>
      <c r="BJ64" s="7" t="s">
        <v>91</v>
      </c>
      <c r="BK64" s="7" t="s">
        <v>85</v>
      </c>
      <c r="BL64" s="7" t="s">
        <v>85</v>
      </c>
      <c r="BM64" s="7" t="s">
        <v>95</v>
      </c>
      <c r="BN64" s="7" t="s">
        <v>96</v>
      </c>
      <c r="BO64" s="12">
        <v>0</v>
      </c>
      <c r="BP64" s="7" t="s">
        <v>85</v>
      </c>
      <c r="BQ64" s="7" t="s">
        <v>85</v>
      </c>
      <c r="BR64" s="7" t="s">
        <v>91</v>
      </c>
      <c r="BS64" s="7" t="s">
        <v>85</v>
      </c>
      <c r="BT64" s="16" t="s">
        <v>388</v>
      </c>
      <c r="BU64" s="16" t="s">
        <v>461</v>
      </c>
      <c r="BV64" s="16" t="s">
        <v>389</v>
      </c>
      <c r="BW64" s="16" t="s">
        <v>1286</v>
      </c>
      <c r="BX64" s="16" t="s">
        <v>462</v>
      </c>
    </row>
    <row r="65" spans="1:76" s="7" customFormat="1">
      <c r="A65" s="14">
        <v>46136</v>
      </c>
      <c r="B65" s="14">
        <v>46136</v>
      </c>
      <c r="C65" s="15">
        <v>0.71432870370370005</v>
      </c>
      <c r="D65" s="16" t="s">
        <v>376</v>
      </c>
      <c r="E65" s="14">
        <v>46136</v>
      </c>
      <c r="F65" s="16" t="s">
        <v>489</v>
      </c>
      <c r="G65" s="16" t="s">
        <v>365</v>
      </c>
      <c r="H65" s="16" t="str">
        <f>VLOOKUP(G65,[1]Sheet3!A:B,2,0)</f>
        <v>ADMD</v>
      </c>
      <c r="I65" s="7" t="s">
        <v>76</v>
      </c>
      <c r="J65" s="7" t="s">
        <v>490</v>
      </c>
      <c r="K65" s="16" t="s">
        <v>377</v>
      </c>
      <c r="L65" s="16" t="s">
        <v>125</v>
      </c>
      <c r="M65" s="17">
        <v>75000</v>
      </c>
      <c r="N65" s="16" t="s">
        <v>79</v>
      </c>
      <c r="O65" s="16" t="s">
        <v>491</v>
      </c>
      <c r="P65" s="16" t="s">
        <v>489</v>
      </c>
      <c r="Q65" s="17">
        <v>75000</v>
      </c>
      <c r="R65" s="7" t="s">
        <v>85</v>
      </c>
      <c r="S65" s="7" t="s">
        <v>83</v>
      </c>
      <c r="T65" s="7" t="s">
        <v>370</v>
      </c>
      <c r="U65" s="12">
        <v>3124312.16</v>
      </c>
      <c r="V65" s="7" t="s">
        <v>85</v>
      </c>
      <c r="W65" s="7" t="s">
        <v>85</v>
      </c>
      <c r="X65" s="7" t="s">
        <v>86</v>
      </c>
      <c r="Y65" s="7" t="s">
        <v>371</v>
      </c>
      <c r="Z65" s="7" t="s">
        <v>372</v>
      </c>
      <c r="AA65" s="7" t="s">
        <v>89</v>
      </c>
      <c r="AB65" s="7" t="s">
        <v>85</v>
      </c>
      <c r="AC65" s="7" t="s">
        <v>134</v>
      </c>
      <c r="AD65" s="7" t="s">
        <v>85</v>
      </c>
      <c r="AE65" s="7" t="s">
        <v>85</v>
      </c>
      <c r="AF65" s="7" t="s">
        <v>91</v>
      </c>
      <c r="AG65" s="7" t="s">
        <v>85</v>
      </c>
      <c r="AH65" s="7" t="s">
        <v>91</v>
      </c>
      <c r="AI65" s="13">
        <v>75000</v>
      </c>
      <c r="AJ65" s="7" t="s">
        <v>79</v>
      </c>
      <c r="AK65" s="7" t="s">
        <v>79</v>
      </c>
      <c r="AL65" s="13">
        <v>75000</v>
      </c>
      <c r="AM65" s="7" t="s">
        <v>371</v>
      </c>
      <c r="AN65" s="7" t="s">
        <v>85</v>
      </c>
      <c r="AO65" s="7" t="s">
        <v>85</v>
      </c>
      <c r="AP65" s="7" t="s">
        <v>118</v>
      </c>
      <c r="AQ65" s="7" t="s">
        <v>85</v>
      </c>
      <c r="AR65" s="7" t="s">
        <v>85</v>
      </c>
      <c r="AS65" s="12">
        <v>0</v>
      </c>
      <c r="AT65" s="12">
        <v>0</v>
      </c>
      <c r="AU65" s="7" t="s">
        <v>91</v>
      </c>
      <c r="AV65" s="7" t="s">
        <v>85</v>
      </c>
      <c r="AW65" s="7" t="s">
        <v>91</v>
      </c>
      <c r="AX65" s="7" t="s">
        <v>91</v>
      </c>
      <c r="AY65" s="7" t="s">
        <v>85</v>
      </c>
      <c r="AZ65" s="7" t="s">
        <v>93</v>
      </c>
      <c r="BA65" s="7" t="s">
        <v>85</v>
      </c>
      <c r="BB65" s="7" t="s">
        <v>85</v>
      </c>
      <c r="BC65" s="7" t="s">
        <v>91</v>
      </c>
      <c r="BD65" s="7" t="s">
        <v>79</v>
      </c>
      <c r="BE65" s="7" t="s">
        <v>300</v>
      </c>
      <c r="BF65" s="7" t="s">
        <v>85</v>
      </c>
      <c r="BG65" s="7" t="s">
        <v>85</v>
      </c>
      <c r="BH65" s="7" t="s">
        <v>85</v>
      </c>
      <c r="BI65" s="7" t="s">
        <v>91</v>
      </c>
      <c r="BJ65" s="7" t="s">
        <v>91</v>
      </c>
      <c r="BK65" s="7" t="s">
        <v>85</v>
      </c>
      <c r="BL65" s="7" t="s">
        <v>85</v>
      </c>
      <c r="BM65" s="7" t="s">
        <v>95</v>
      </c>
      <c r="BN65" s="7" t="s">
        <v>96</v>
      </c>
      <c r="BO65" s="12">
        <v>0</v>
      </c>
      <c r="BP65" s="7" t="s">
        <v>85</v>
      </c>
      <c r="BQ65" s="7" t="s">
        <v>85</v>
      </c>
      <c r="BR65" s="7" t="s">
        <v>91</v>
      </c>
      <c r="BS65" s="7" t="s">
        <v>85</v>
      </c>
      <c r="BT65" s="16" t="s">
        <v>388</v>
      </c>
      <c r="BU65" s="16" t="s">
        <v>461</v>
      </c>
      <c r="BV65" s="16" t="s">
        <v>389</v>
      </c>
      <c r="BW65" s="16" t="s">
        <v>1286</v>
      </c>
      <c r="BX65" s="16" t="s">
        <v>462</v>
      </c>
    </row>
    <row r="66" spans="1:76" s="7" customFormat="1">
      <c r="A66" s="14">
        <v>46136</v>
      </c>
      <c r="B66" s="14">
        <v>46136</v>
      </c>
      <c r="C66" s="15">
        <v>0.71432870370370005</v>
      </c>
      <c r="D66" s="16" t="s">
        <v>376</v>
      </c>
      <c r="E66" s="14">
        <v>46136</v>
      </c>
      <c r="F66" s="16" t="s">
        <v>489</v>
      </c>
      <c r="G66" s="16" t="s">
        <v>365</v>
      </c>
      <c r="H66" s="16" t="str">
        <f>VLOOKUP(G66,[1]Sheet3!A:B,2,0)</f>
        <v>ADMD</v>
      </c>
      <c r="I66" s="7" t="s">
        <v>76</v>
      </c>
      <c r="J66" s="7" t="s">
        <v>490</v>
      </c>
      <c r="K66" s="16" t="s">
        <v>377</v>
      </c>
      <c r="L66" s="16" t="s">
        <v>125</v>
      </c>
      <c r="M66" s="17">
        <v>50000</v>
      </c>
      <c r="N66" s="16" t="s">
        <v>79</v>
      </c>
      <c r="O66" s="16" t="s">
        <v>492</v>
      </c>
      <c r="P66" s="16" t="s">
        <v>489</v>
      </c>
      <c r="Q66" s="17">
        <v>50000</v>
      </c>
      <c r="R66" s="7" t="s">
        <v>85</v>
      </c>
      <c r="S66" s="7" t="s">
        <v>83</v>
      </c>
      <c r="T66" s="7" t="s">
        <v>370</v>
      </c>
      <c r="U66" s="12">
        <v>2082874.76</v>
      </c>
      <c r="V66" s="7" t="s">
        <v>85</v>
      </c>
      <c r="W66" s="7" t="s">
        <v>85</v>
      </c>
      <c r="X66" s="7" t="s">
        <v>86</v>
      </c>
      <c r="Y66" s="7" t="s">
        <v>371</v>
      </c>
      <c r="Z66" s="7" t="s">
        <v>372</v>
      </c>
      <c r="AA66" s="7" t="s">
        <v>89</v>
      </c>
      <c r="AB66" s="7" t="s">
        <v>85</v>
      </c>
      <c r="AC66" s="7" t="s">
        <v>112</v>
      </c>
      <c r="AD66" s="7" t="s">
        <v>85</v>
      </c>
      <c r="AE66" s="7" t="s">
        <v>85</v>
      </c>
      <c r="AF66" s="7" t="s">
        <v>91</v>
      </c>
      <c r="AG66" s="7" t="s">
        <v>85</v>
      </c>
      <c r="AH66" s="7" t="s">
        <v>91</v>
      </c>
      <c r="AI66" s="13">
        <v>50000</v>
      </c>
      <c r="AJ66" s="7" t="s">
        <v>79</v>
      </c>
      <c r="AK66" s="7" t="s">
        <v>79</v>
      </c>
      <c r="AL66" s="13">
        <v>50000</v>
      </c>
      <c r="AM66" s="7" t="s">
        <v>371</v>
      </c>
      <c r="AN66" s="7" t="s">
        <v>85</v>
      </c>
      <c r="AO66" s="7" t="s">
        <v>85</v>
      </c>
      <c r="AP66" s="7" t="s">
        <v>118</v>
      </c>
      <c r="AQ66" s="7" t="s">
        <v>85</v>
      </c>
      <c r="AR66" s="7" t="s">
        <v>85</v>
      </c>
      <c r="AS66" s="12">
        <v>0</v>
      </c>
      <c r="AT66" s="12">
        <v>0</v>
      </c>
      <c r="AU66" s="7" t="s">
        <v>91</v>
      </c>
      <c r="AV66" s="7" t="s">
        <v>85</v>
      </c>
      <c r="AW66" s="7" t="s">
        <v>91</v>
      </c>
      <c r="AX66" s="7" t="s">
        <v>91</v>
      </c>
      <c r="AY66" s="7" t="s">
        <v>85</v>
      </c>
      <c r="AZ66" s="7" t="s">
        <v>93</v>
      </c>
      <c r="BA66" s="7" t="s">
        <v>85</v>
      </c>
      <c r="BB66" s="7" t="s">
        <v>85</v>
      </c>
      <c r="BC66" s="7" t="s">
        <v>91</v>
      </c>
      <c r="BD66" s="7" t="s">
        <v>79</v>
      </c>
      <c r="BE66" s="7" t="s">
        <v>300</v>
      </c>
      <c r="BF66" s="7" t="s">
        <v>85</v>
      </c>
      <c r="BG66" s="7" t="s">
        <v>85</v>
      </c>
      <c r="BH66" s="7" t="s">
        <v>85</v>
      </c>
      <c r="BI66" s="7" t="s">
        <v>91</v>
      </c>
      <c r="BJ66" s="7" t="s">
        <v>91</v>
      </c>
      <c r="BK66" s="7" t="s">
        <v>85</v>
      </c>
      <c r="BL66" s="7" t="s">
        <v>85</v>
      </c>
      <c r="BM66" s="7" t="s">
        <v>95</v>
      </c>
      <c r="BN66" s="7" t="s">
        <v>96</v>
      </c>
      <c r="BO66" s="12">
        <v>0</v>
      </c>
      <c r="BP66" s="7" t="s">
        <v>85</v>
      </c>
      <c r="BQ66" s="7" t="s">
        <v>85</v>
      </c>
      <c r="BR66" s="7" t="s">
        <v>91</v>
      </c>
      <c r="BS66" s="7" t="s">
        <v>85</v>
      </c>
      <c r="BT66" s="16" t="s">
        <v>388</v>
      </c>
      <c r="BU66" s="16" t="s">
        <v>461</v>
      </c>
      <c r="BV66" s="16" t="s">
        <v>389</v>
      </c>
      <c r="BW66" s="16" t="s">
        <v>1286</v>
      </c>
      <c r="BX66" s="16" t="s">
        <v>462</v>
      </c>
    </row>
    <row r="67" spans="1:76" s="7" customFormat="1">
      <c r="A67" s="14">
        <v>46136</v>
      </c>
      <c r="B67" s="14">
        <v>46136</v>
      </c>
      <c r="C67" s="15">
        <v>0.71432870370370005</v>
      </c>
      <c r="D67" s="16" t="s">
        <v>376</v>
      </c>
      <c r="E67" s="14">
        <v>46136</v>
      </c>
      <c r="F67" s="16" t="s">
        <v>489</v>
      </c>
      <c r="G67" s="16" t="s">
        <v>365</v>
      </c>
      <c r="H67" s="16" t="str">
        <f>VLOOKUP(G67,[1]Sheet3!A:B,2,0)</f>
        <v>ADMD</v>
      </c>
      <c r="I67" s="7" t="s">
        <v>76</v>
      </c>
      <c r="J67" s="7" t="s">
        <v>490</v>
      </c>
      <c r="K67" s="16" t="s">
        <v>377</v>
      </c>
      <c r="L67" s="16" t="s">
        <v>125</v>
      </c>
      <c r="M67" s="17">
        <v>155000</v>
      </c>
      <c r="N67" s="16" t="s">
        <v>79</v>
      </c>
      <c r="O67" s="16" t="s">
        <v>493</v>
      </c>
      <c r="P67" s="16" t="s">
        <v>489</v>
      </c>
      <c r="Q67" s="17">
        <v>155000</v>
      </c>
      <c r="R67" s="7" t="s">
        <v>85</v>
      </c>
      <c r="S67" s="7" t="s">
        <v>83</v>
      </c>
      <c r="T67" s="7" t="s">
        <v>370</v>
      </c>
      <c r="U67" s="12">
        <v>6456911.7800000003</v>
      </c>
      <c r="V67" s="7" t="s">
        <v>85</v>
      </c>
      <c r="W67" s="7" t="s">
        <v>85</v>
      </c>
      <c r="X67" s="7" t="s">
        <v>86</v>
      </c>
      <c r="Y67" s="7" t="s">
        <v>371</v>
      </c>
      <c r="Z67" s="7" t="s">
        <v>372</v>
      </c>
      <c r="AA67" s="7" t="s">
        <v>89</v>
      </c>
      <c r="AB67" s="7" t="s">
        <v>85</v>
      </c>
      <c r="AC67" s="7" t="s">
        <v>90</v>
      </c>
      <c r="AD67" s="7" t="s">
        <v>85</v>
      </c>
      <c r="AE67" s="7" t="s">
        <v>85</v>
      </c>
      <c r="AF67" s="7" t="s">
        <v>91</v>
      </c>
      <c r="AG67" s="7" t="s">
        <v>85</v>
      </c>
      <c r="AH67" s="7" t="s">
        <v>91</v>
      </c>
      <c r="AI67" s="13">
        <v>155000</v>
      </c>
      <c r="AJ67" s="7" t="s">
        <v>79</v>
      </c>
      <c r="AK67" s="7" t="s">
        <v>79</v>
      </c>
      <c r="AL67" s="13">
        <v>155000</v>
      </c>
      <c r="AM67" s="7" t="s">
        <v>371</v>
      </c>
      <c r="AN67" s="7" t="s">
        <v>85</v>
      </c>
      <c r="AO67" s="7" t="s">
        <v>85</v>
      </c>
      <c r="AP67" s="7" t="s">
        <v>118</v>
      </c>
      <c r="AQ67" s="7" t="s">
        <v>85</v>
      </c>
      <c r="AR67" s="7" t="s">
        <v>85</v>
      </c>
      <c r="AS67" s="12">
        <v>0</v>
      </c>
      <c r="AT67" s="12">
        <v>0</v>
      </c>
      <c r="AU67" s="7" t="s">
        <v>91</v>
      </c>
      <c r="AV67" s="7" t="s">
        <v>85</v>
      </c>
      <c r="AW67" s="7" t="s">
        <v>91</v>
      </c>
      <c r="AX67" s="7" t="s">
        <v>91</v>
      </c>
      <c r="AY67" s="7" t="s">
        <v>85</v>
      </c>
      <c r="AZ67" s="7" t="s">
        <v>93</v>
      </c>
      <c r="BA67" s="7" t="s">
        <v>85</v>
      </c>
      <c r="BB67" s="7" t="s">
        <v>85</v>
      </c>
      <c r="BC67" s="7" t="s">
        <v>91</v>
      </c>
      <c r="BD67" s="7" t="s">
        <v>79</v>
      </c>
      <c r="BE67" s="7" t="s">
        <v>300</v>
      </c>
      <c r="BF67" s="7" t="s">
        <v>85</v>
      </c>
      <c r="BG67" s="7" t="s">
        <v>85</v>
      </c>
      <c r="BH67" s="7" t="s">
        <v>85</v>
      </c>
      <c r="BI67" s="7" t="s">
        <v>91</v>
      </c>
      <c r="BJ67" s="7" t="s">
        <v>91</v>
      </c>
      <c r="BK67" s="7" t="s">
        <v>85</v>
      </c>
      <c r="BL67" s="7" t="s">
        <v>85</v>
      </c>
      <c r="BM67" s="7" t="s">
        <v>95</v>
      </c>
      <c r="BN67" s="7" t="s">
        <v>96</v>
      </c>
      <c r="BO67" s="12">
        <v>0</v>
      </c>
      <c r="BP67" s="7" t="s">
        <v>85</v>
      </c>
      <c r="BQ67" s="7" t="s">
        <v>85</v>
      </c>
      <c r="BR67" s="7" t="s">
        <v>91</v>
      </c>
      <c r="BS67" s="7" t="s">
        <v>85</v>
      </c>
      <c r="BT67" s="16" t="s">
        <v>388</v>
      </c>
      <c r="BU67" s="16" t="s">
        <v>461</v>
      </c>
      <c r="BV67" s="16" t="s">
        <v>389</v>
      </c>
      <c r="BW67" s="16" t="s">
        <v>1286</v>
      </c>
      <c r="BX67" s="16" t="s">
        <v>462</v>
      </c>
    </row>
    <row r="68" spans="1:76" s="7" customFormat="1">
      <c r="A68" s="14">
        <v>46136</v>
      </c>
      <c r="B68" s="14">
        <v>46136</v>
      </c>
      <c r="C68" s="15">
        <v>0.71432870370370005</v>
      </c>
      <c r="D68" s="16" t="s">
        <v>376</v>
      </c>
      <c r="E68" s="14">
        <v>46136</v>
      </c>
      <c r="F68" s="16" t="s">
        <v>489</v>
      </c>
      <c r="G68" s="16" t="s">
        <v>365</v>
      </c>
      <c r="H68" s="16" t="str">
        <f>VLOOKUP(G68,[1]Sheet3!A:B,2,0)</f>
        <v>ADMD</v>
      </c>
      <c r="I68" s="7" t="s">
        <v>76</v>
      </c>
      <c r="J68" s="7" t="s">
        <v>490</v>
      </c>
      <c r="K68" s="16" t="s">
        <v>377</v>
      </c>
      <c r="L68" s="16" t="s">
        <v>125</v>
      </c>
      <c r="M68" s="17">
        <v>95000</v>
      </c>
      <c r="N68" s="16" t="s">
        <v>79</v>
      </c>
      <c r="O68" s="16" t="s">
        <v>494</v>
      </c>
      <c r="P68" s="16" t="s">
        <v>489</v>
      </c>
      <c r="Q68" s="17">
        <v>95000</v>
      </c>
      <c r="R68" s="7" t="s">
        <v>85</v>
      </c>
      <c r="S68" s="7" t="s">
        <v>83</v>
      </c>
      <c r="T68" s="7" t="s">
        <v>370</v>
      </c>
      <c r="U68" s="12">
        <v>3957462.06</v>
      </c>
      <c r="V68" s="7" t="s">
        <v>85</v>
      </c>
      <c r="W68" s="7" t="s">
        <v>85</v>
      </c>
      <c r="X68" s="7" t="s">
        <v>86</v>
      </c>
      <c r="Y68" s="7" t="s">
        <v>371</v>
      </c>
      <c r="Z68" s="7" t="s">
        <v>372</v>
      </c>
      <c r="AA68" s="7" t="s">
        <v>89</v>
      </c>
      <c r="AB68" s="7" t="s">
        <v>85</v>
      </c>
      <c r="AC68" s="7" t="s">
        <v>98</v>
      </c>
      <c r="AD68" s="7" t="s">
        <v>85</v>
      </c>
      <c r="AE68" s="7" t="s">
        <v>85</v>
      </c>
      <c r="AF68" s="7" t="s">
        <v>91</v>
      </c>
      <c r="AG68" s="7" t="s">
        <v>85</v>
      </c>
      <c r="AH68" s="7" t="s">
        <v>91</v>
      </c>
      <c r="AI68" s="13">
        <v>95000</v>
      </c>
      <c r="AJ68" s="7" t="s">
        <v>79</v>
      </c>
      <c r="AK68" s="7" t="s">
        <v>79</v>
      </c>
      <c r="AL68" s="13">
        <v>95000</v>
      </c>
      <c r="AM68" s="7" t="s">
        <v>371</v>
      </c>
      <c r="AN68" s="7" t="s">
        <v>85</v>
      </c>
      <c r="AO68" s="7" t="s">
        <v>85</v>
      </c>
      <c r="AP68" s="7" t="s">
        <v>118</v>
      </c>
      <c r="AQ68" s="7" t="s">
        <v>85</v>
      </c>
      <c r="AR68" s="7" t="s">
        <v>85</v>
      </c>
      <c r="AS68" s="12">
        <v>0</v>
      </c>
      <c r="AT68" s="12">
        <v>0</v>
      </c>
      <c r="AU68" s="7" t="s">
        <v>91</v>
      </c>
      <c r="AV68" s="7" t="s">
        <v>85</v>
      </c>
      <c r="AW68" s="7" t="s">
        <v>91</v>
      </c>
      <c r="AX68" s="7" t="s">
        <v>91</v>
      </c>
      <c r="AY68" s="7" t="s">
        <v>85</v>
      </c>
      <c r="AZ68" s="7" t="s">
        <v>93</v>
      </c>
      <c r="BA68" s="7" t="s">
        <v>85</v>
      </c>
      <c r="BB68" s="7" t="s">
        <v>85</v>
      </c>
      <c r="BC68" s="7" t="s">
        <v>91</v>
      </c>
      <c r="BD68" s="7" t="s">
        <v>79</v>
      </c>
      <c r="BE68" s="7" t="s">
        <v>300</v>
      </c>
      <c r="BF68" s="7" t="s">
        <v>85</v>
      </c>
      <c r="BG68" s="7" t="s">
        <v>85</v>
      </c>
      <c r="BH68" s="7" t="s">
        <v>85</v>
      </c>
      <c r="BI68" s="7" t="s">
        <v>91</v>
      </c>
      <c r="BJ68" s="7" t="s">
        <v>91</v>
      </c>
      <c r="BK68" s="7" t="s">
        <v>85</v>
      </c>
      <c r="BL68" s="7" t="s">
        <v>85</v>
      </c>
      <c r="BM68" s="7" t="s">
        <v>95</v>
      </c>
      <c r="BN68" s="7" t="s">
        <v>96</v>
      </c>
      <c r="BO68" s="12">
        <v>0</v>
      </c>
      <c r="BP68" s="7" t="s">
        <v>85</v>
      </c>
      <c r="BQ68" s="7" t="s">
        <v>85</v>
      </c>
      <c r="BR68" s="7" t="s">
        <v>91</v>
      </c>
      <c r="BS68" s="7" t="s">
        <v>85</v>
      </c>
      <c r="BT68" s="16" t="s">
        <v>388</v>
      </c>
      <c r="BU68" s="16" t="s">
        <v>461</v>
      </c>
      <c r="BV68" s="16" t="s">
        <v>389</v>
      </c>
      <c r="BW68" s="16" t="s">
        <v>1286</v>
      </c>
      <c r="BX68" s="16" t="s">
        <v>462</v>
      </c>
    </row>
    <row r="69" spans="1:76" s="7" customFormat="1">
      <c r="A69" s="14">
        <v>46136</v>
      </c>
      <c r="B69" s="14">
        <v>46136</v>
      </c>
      <c r="C69" s="15">
        <v>0.71854166666666996</v>
      </c>
      <c r="D69" s="16" t="s">
        <v>376</v>
      </c>
      <c r="E69" s="14">
        <v>46136</v>
      </c>
      <c r="F69" s="16" t="s">
        <v>495</v>
      </c>
      <c r="G69" s="16" t="s">
        <v>365</v>
      </c>
      <c r="H69" s="16" t="str">
        <f>VLOOKUP(G69,[1]Sheet3!A:B,2,0)</f>
        <v>ADMD</v>
      </c>
      <c r="I69" s="16" t="s">
        <v>76</v>
      </c>
      <c r="J69" s="16" t="s">
        <v>496</v>
      </c>
      <c r="K69" s="16" t="s">
        <v>377</v>
      </c>
      <c r="L69" s="16" t="s">
        <v>125</v>
      </c>
      <c r="M69" s="17">
        <v>155000</v>
      </c>
      <c r="N69" s="16" t="s">
        <v>79</v>
      </c>
      <c r="O69" s="16" t="s">
        <v>497</v>
      </c>
      <c r="P69" s="16" t="s">
        <v>495</v>
      </c>
      <c r="Q69" s="17">
        <v>155000</v>
      </c>
      <c r="R69" s="16" t="s">
        <v>85</v>
      </c>
      <c r="S69" s="16" t="s">
        <v>83</v>
      </c>
      <c r="T69" s="16" t="s">
        <v>370</v>
      </c>
      <c r="U69" s="39">
        <v>6325137.1600000001</v>
      </c>
      <c r="V69" s="16" t="s">
        <v>85</v>
      </c>
      <c r="W69" s="16" t="s">
        <v>85</v>
      </c>
      <c r="X69" s="16" t="s">
        <v>86</v>
      </c>
      <c r="Y69" s="16" t="s">
        <v>371</v>
      </c>
      <c r="Z69" s="16" t="s">
        <v>372</v>
      </c>
      <c r="AA69" s="16" t="s">
        <v>89</v>
      </c>
      <c r="AB69" s="16" t="s">
        <v>85</v>
      </c>
      <c r="AC69" s="16" t="s">
        <v>98</v>
      </c>
      <c r="AD69" s="16" t="s">
        <v>85</v>
      </c>
      <c r="AE69" s="16" t="s">
        <v>85</v>
      </c>
      <c r="AF69" s="16" t="s">
        <v>91</v>
      </c>
      <c r="AG69" s="16" t="s">
        <v>85</v>
      </c>
      <c r="AH69" s="16" t="s">
        <v>91</v>
      </c>
      <c r="AI69" s="17">
        <v>155000</v>
      </c>
      <c r="AJ69" s="16" t="s">
        <v>79</v>
      </c>
      <c r="AK69" s="16" t="s">
        <v>79</v>
      </c>
      <c r="AL69" s="17">
        <v>155000</v>
      </c>
      <c r="AM69" s="16" t="s">
        <v>371</v>
      </c>
      <c r="AN69" s="16" t="s">
        <v>85</v>
      </c>
      <c r="AO69" s="16" t="s">
        <v>85</v>
      </c>
      <c r="AP69" s="16" t="s">
        <v>118</v>
      </c>
      <c r="AQ69" s="16" t="s">
        <v>85</v>
      </c>
      <c r="AR69" s="16" t="s">
        <v>85</v>
      </c>
      <c r="AS69" s="39">
        <v>0</v>
      </c>
      <c r="AT69" s="39">
        <v>0</v>
      </c>
      <c r="AU69" s="16" t="s">
        <v>91</v>
      </c>
      <c r="AV69" s="16" t="s">
        <v>85</v>
      </c>
      <c r="AW69" s="16" t="s">
        <v>91</v>
      </c>
      <c r="AX69" s="16" t="s">
        <v>91</v>
      </c>
      <c r="AY69" s="16" t="s">
        <v>85</v>
      </c>
      <c r="AZ69" s="16" t="s">
        <v>93</v>
      </c>
      <c r="BA69" s="16" t="s">
        <v>85</v>
      </c>
      <c r="BB69" s="16" t="s">
        <v>85</v>
      </c>
      <c r="BC69" s="16" t="s">
        <v>91</v>
      </c>
      <c r="BD69" s="16" t="s">
        <v>79</v>
      </c>
      <c r="BE69" s="16" t="s">
        <v>300</v>
      </c>
      <c r="BF69" s="16" t="s">
        <v>85</v>
      </c>
      <c r="BG69" s="16" t="s">
        <v>85</v>
      </c>
      <c r="BH69" s="16" t="s">
        <v>85</v>
      </c>
      <c r="BI69" s="16" t="s">
        <v>91</v>
      </c>
      <c r="BJ69" s="16" t="s">
        <v>91</v>
      </c>
      <c r="BK69" s="16" t="s">
        <v>85</v>
      </c>
      <c r="BL69" s="16" t="s">
        <v>85</v>
      </c>
      <c r="BM69" s="16" t="s">
        <v>95</v>
      </c>
      <c r="BN69" s="16" t="s">
        <v>96</v>
      </c>
      <c r="BO69" s="39">
        <v>0</v>
      </c>
      <c r="BP69" s="16" t="s">
        <v>85</v>
      </c>
      <c r="BQ69" s="16" t="s">
        <v>85</v>
      </c>
      <c r="BR69" s="16" t="s">
        <v>91</v>
      </c>
      <c r="BS69" s="16" t="s">
        <v>85</v>
      </c>
      <c r="BT69" s="16" t="s">
        <v>388</v>
      </c>
      <c r="BU69" s="16" t="s">
        <v>446</v>
      </c>
      <c r="BV69" s="16" t="s">
        <v>389</v>
      </c>
      <c r="BW69" s="16" t="s">
        <v>1286</v>
      </c>
      <c r="BX69" s="16" t="s">
        <v>498</v>
      </c>
    </row>
    <row r="70" spans="1:76" s="7" customFormat="1">
      <c r="A70" s="14">
        <v>46136</v>
      </c>
      <c r="B70" s="14">
        <v>46136</v>
      </c>
      <c r="C70" s="15">
        <v>0.71854166666666996</v>
      </c>
      <c r="D70" s="16" t="s">
        <v>376</v>
      </c>
      <c r="E70" s="14">
        <v>46136</v>
      </c>
      <c r="F70" s="16" t="s">
        <v>495</v>
      </c>
      <c r="G70" s="16" t="s">
        <v>365</v>
      </c>
      <c r="H70" s="16" t="str">
        <f>VLOOKUP(G70,[1]Sheet3!A:B,2,0)</f>
        <v>ADMD</v>
      </c>
      <c r="I70" s="16" t="s">
        <v>76</v>
      </c>
      <c r="J70" s="16" t="s">
        <v>496</v>
      </c>
      <c r="K70" s="16" t="s">
        <v>377</v>
      </c>
      <c r="L70" s="16" t="s">
        <v>125</v>
      </c>
      <c r="M70" s="17">
        <v>155000</v>
      </c>
      <c r="N70" s="16" t="s">
        <v>79</v>
      </c>
      <c r="O70" s="16" t="s">
        <v>499</v>
      </c>
      <c r="P70" s="16" t="s">
        <v>495</v>
      </c>
      <c r="Q70" s="17">
        <v>155000</v>
      </c>
      <c r="R70" s="16" t="s">
        <v>85</v>
      </c>
      <c r="S70" s="16" t="s">
        <v>83</v>
      </c>
      <c r="T70" s="16" t="s">
        <v>370</v>
      </c>
      <c r="U70" s="39">
        <v>6325137.1600000001</v>
      </c>
      <c r="V70" s="16" t="s">
        <v>85</v>
      </c>
      <c r="W70" s="16" t="s">
        <v>85</v>
      </c>
      <c r="X70" s="16" t="s">
        <v>86</v>
      </c>
      <c r="Y70" s="16" t="s">
        <v>371</v>
      </c>
      <c r="Z70" s="16" t="s">
        <v>372</v>
      </c>
      <c r="AA70" s="16" t="s">
        <v>89</v>
      </c>
      <c r="AB70" s="16" t="s">
        <v>85</v>
      </c>
      <c r="AC70" s="16" t="s">
        <v>90</v>
      </c>
      <c r="AD70" s="16" t="s">
        <v>85</v>
      </c>
      <c r="AE70" s="16" t="s">
        <v>85</v>
      </c>
      <c r="AF70" s="16" t="s">
        <v>91</v>
      </c>
      <c r="AG70" s="16" t="s">
        <v>85</v>
      </c>
      <c r="AH70" s="16" t="s">
        <v>91</v>
      </c>
      <c r="AI70" s="17">
        <v>155000</v>
      </c>
      <c r="AJ70" s="16" t="s">
        <v>79</v>
      </c>
      <c r="AK70" s="16" t="s">
        <v>79</v>
      </c>
      <c r="AL70" s="17">
        <v>155000</v>
      </c>
      <c r="AM70" s="16" t="s">
        <v>371</v>
      </c>
      <c r="AN70" s="16" t="s">
        <v>85</v>
      </c>
      <c r="AO70" s="16" t="s">
        <v>85</v>
      </c>
      <c r="AP70" s="16" t="s">
        <v>118</v>
      </c>
      <c r="AQ70" s="16" t="s">
        <v>85</v>
      </c>
      <c r="AR70" s="16" t="s">
        <v>85</v>
      </c>
      <c r="AS70" s="39">
        <v>0</v>
      </c>
      <c r="AT70" s="39">
        <v>0</v>
      </c>
      <c r="AU70" s="16" t="s">
        <v>91</v>
      </c>
      <c r="AV70" s="16" t="s">
        <v>85</v>
      </c>
      <c r="AW70" s="16" t="s">
        <v>91</v>
      </c>
      <c r="AX70" s="16" t="s">
        <v>91</v>
      </c>
      <c r="AY70" s="16" t="s">
        <v>85</v>
      </c>
      <c r="AZ70" s="16" t="s">
        <v>93</v>
      </c>
      <c r="BA70" s="16" t="s">
        <v>85</v>
      </c>
      <c r="BB70" s="16" t="s">
        <v>85</v>
      </c>
      <c r="BC70" s="16" t="s">
        <v>91</v>
      </c>
      <c r="BD70" s="16" t="s">
        <v>79</v>
      </c>
      <c r="BE70" s="16" t="s">
        <v>300</v>
      </c>
      <c r="BF70" s="16" t="s">
        <v>85</v>
      </c>
      <c r="BG70" s="16" t="s">
        <v>85</v>
      </c>
      <c r="BH70" s="16" t="s">
        <v>85</v>
      </c>
      <c r="BI70" s="16" t="s">
        <v>91</v>
      </c>
      <c r="BJ70" s="16" t="s">
        <v>91</v>
      </c>
      <c r="BK70" s="16" t="s">
        <v>85</v>
      </c>
      <c r="BL70" s="16" t="s">
        <v>85</v>
      </c>
      <c r="BM70" s="16" t="s">
        <v>95</v>
      </c>
      <c r="BN70" s="16" t="s">
        <v>96</v>
      </c>
      <c r="BO70" s="39">
        <v>0</v>
      </c>
      <c r="BP70" s="16" t="s">
        <v>85</v>
      </c>
      <c r="BQ70" s="16" t="s">
        <v>85</v>
      </c>
      <c r="BR70" s="16" t="s">
        <v>91</v>
      </c>
      <c r="BS70" s="16" t="s">
        <v>85</v>
      </c>
      <c r="BT70" s="16" t="s">
        <v>388</v>
      </c>
      <c r="BU70" s="16" t="s">
        <v>446</v>
      </c>
      <c r="BV70" s="16" t="s">
        <v>389</v>
      </c>
      <c r="BW70" s="16" t="s">
        <v>1286</v>
      </c>
      <c r="BX70" s="16" t="s">
        <v>498</v>
      </c>
    </row>
    <row r="71" spans="1:76" s="7" customFormat="1">
      <c r="A71" s="14">
        <v>46136</v>
      </c>
      <c r="B71" s="14">
        <v>46136</v>
      </c>
      <c r="C71" s="15">
        <v>0.71854166666666996</v>
      </c>
      <c r="D71" s="16" t="s">
        <v>376</v>
      </c>
      <c r="E71" s="14">
        <v>46136</v>
      </c>
      <c r="F71" s="16" t="s">
        <v>495</v>
      </c>
      <c r="G71" s="16" t="s">
        <v>365</v>
      </c>
      <c r="H71" s="16" t="str">
        <f>VLOOKUP(G71,[1]Sheet3!A:B,2,0)</f>
        <v>ADMD</v>
      </c>
      <c r="I71" s="16" t="s">
        <v>76</v>
      </c>
      <c r="J71" s="16" t="s">
        <v>496</v>
      </c>
      <c r="K71" s="16" t="s">
        <v>377</v>
      </c>
      <c r="L71" s="16" t="s">
        <v>125</v>
      </c>
      <c r="M71" s="17">
        <v>60000</v>
      </c>
      <c r="N71" s="16" t="s">
        <v>79</v>
      </c>
      <c r="O71" s="16" t="s">
        <v>494</v>
      </c>
      <c r="P71" s="16" t="s">
        <v>495</v>
      </c>
      <c r="Q71" s="17">
        <v>60000</v>
      </c>
      <c r="R71" s="16" t="s">
        <v>85</v>
      </c>
      <c r="S71" s="16" t="s">
        <v>83</v>
      </c>
      <c r="T71" s="16" t="s">
        <v>370</v>
      </c>
      <c r="U71" s="39">
        <v>2448440.19</v>
      </c>
      <c r="V71" s="16" t="s">
        <v>85</v>
      </c>
      <c r="W71" s="16" t="s">
        <v>85</v>
      </c>
      <c r="X71" s="16" t="s">
        <v>86</v>
      </c>
      <c r="Y71" s="16" t="s">
        <v>371</v>
      </c>
      <c r="Z71" s="16" t="s">
        <v>372</v>
      </c>
      <c r="AA71" s="16" t="s">
        <v>89</v>
      </c>
      <c r="AB71" s="16" t="s">
        <v>85</v>
      </c>
      <c r="AC71" s="16" t="s">
        <v>281</v>
      </c>
      <c r="AD71" s="16" t="s">
        <v>85</v>
      </c>
      <c r="AE71" s="16" t="s">
        <v>85</v>
      </c>
      <c r="AF71" s="16" t="s">
        <v>91</v>
      </c>
      <c r="AG71" s="16" t="s">
        <v>85</v>
      </c>
      <c r="AH71" s="16" t="s">
        <v>91</v>
      </c>
      <c r="AI71" s="17">
        <v>60000</v>
      </c>
      <c r="AJ71" s="16" t="s">
        <v>79</v>
      </c>
      <c r="AK71" s="16" t="s">
        <v>79</v>
      </c>
      <c r="AL71" s="17">
        <v>60000</v>
      </c>
      <c r="AM71" s="16" t="s">
        <v>371</v>
      </c>
      <c r="AN71" s="16" t="s">
        <v>85</v>
      </c>
      <c r="AO71" s="16" t="s">
        <v>85</v>
      </c>
      <c r="AP71" s="16" t="s">
        <v>118</v>
      </c>
      <c r="AQ71" s="16" t="s">
        <v>85</v>
      </c>
      <c r="AR71" s="16" t="s">
        <v>85</v>
      </c>
      <c r="AS71" s="39">
        <v>0</v>
      </c>
      <c r="AT71" s="39">
        <v>0</v>
      </c>
      <c r="AU71" s="16" t="s">
        <v>91</v>
      </c>
      <c r="AV71" s="16" t="s">
        <v>85</v>
      </c>
      <c r="AW71" s="16" t="s">
        <v>91</v>
      </c>
      <c r="AX71" s="16" t="s">
        <v>91</v>
      </c>
      <c r="AY71" s="16" t="s">
        <v>85</v>
      </c>
      <c r="AZ71" s="16" t="s">
        <v>93</v>
      </c>
      <c r="BA71" s="16" t="s">
        <v>85</v>
      </c>
      <c r="BB71" s="16" t="s">
        <v>85</v>
      </c>
      <c r="BC71" s="16" t="s">
        <v>91</v>
      </c>
      <c r="BD71" s="16" t="s">
        <v>79</v>
      </c>
      <c r="BE71" s="16" t="s">
        <v>300</v>
      </c>
      <c r="BF71" s="16" t="s">
        <v>85</v>
      </c>
      <c r="BG71" s="16" t="s">
        <v>85</v>
      </c>
      <c r="BH71" s="16" t="s">
        <v>85</v>
      </c>
      <c r="BI71" s="16" t="s">
        <v>91</v>
      </c>
      <c r="BJ71" s="16" t="s">
        <v>91</v>
      </c>
      <c r="BK71" s="16" t="s">
        <v>85</v>
      </c>
      <c r="BL71" s="16" t="s">
        <v>85</v>
      </c>
      <c r="BM71" s="16" t="s">
        <v>95</v>
      </c>
      <c r="BN71" s="16" t="s">
        <v>96</v>
      </c>
      <c r="BO71" s="39">
        <v>0</v>
      </c>
      <c r="BP71" s="16" t="s">
        <v>85</v>
      </c>
      <c r="BQ71" s="16" t="s">
        <v>85</v>
      </c>
      <c r="BR71" s="16" t="s">
        <v>91</v>
      </c>
      <c r="BS71" s="16" t="s">
        <v>85</v>
      </c>
      <c r="BT71" s="16" t="s">
        <v>388</v>
      </c>
      <c r="BU71" s="16" t="s">
        <v>446</v>
      </c>
      <c r="BV71" s="16" t="s">
        <v>389</v>
      </c>
      <c r="BW71" s="16" t="s">
        <v>1286</v>
      </c>
      <c r="BX71" s="16" t="s">
        <v>498</v>
      </c>
    </row>
    <row r="72" spans="1:76" s="7" customFormat="1">
      <c r="A72" s="14">
        <v>46136</v>
      </c>
      <c r="B72" s="14">
        <v>46136</v>
      </c>
      <c r="C72" s="15">
        <v>0.71854166666666996</v>
      </c>
      <c r="D72" s="16" t="s">
        <v>376</v>
      </c>
      <c r="E72" s="14">
        <v>46136</v>
      </c>
      <c r="F72" s="16" t="s">
        <v>495</v>
      </c>
      <c r="G72" s="16" t="s">
        <v>365</v>
      </c>
      <c r="H72" s="16" t="str">
        <f>VLOOKUP(G72,[1]Sheet3!A:B,2,0)</f>
        <v>ADMD</v>
      </c>
      <c r="I72" s="16" t="s">
        <v>76</v>
      </c>
      <c r="J72" s="16" t="s">
        <v>496</v>
      </c>
      <c r="K72" s="16" t="s">
        <v>377</v>
      </c>
      <c r="L72" s="16" t="s">
        <v>125</v>
      </c>
      <c r="M72" s="17">
        <v>155000</v>
      </c>
      <c r="N72" s="16" t="s">
        <v>79</v>
      </c>
      <c r="O72" s="16" t="s">
        <v>500</v>
      </c>
      <c r="P72" s="16" t="s">
        <v>495</v>
      </c>
      <c r="Q72" s="17">
        <v>155000</v>
      </c>
      <c r="R72" s="16" t="s">
        <v>85</v>
      </c>
      <c r="S72" s="16" t="s">
        <v>83</v>
      </c>
      <c r="T72" s="16" t="s">
        <v>370</v>
      </c>
      <c r="U72" s="39">
        <v>6325137.1600000001</v>
      </c>
      <c r="V72" s="16" t="s">
        <v>85</v>
      </c>
      <c r="W72" s="16" t="s">
        <v>85</v>
      </c>
      <c r="X72" s="16" t="s">
        <v>86</v>
      </c>
      <c r="Y72" s="16" t="s">
        <v>371</v>
      </c>
      <c r="Z72" s="16" t="s">
        <v>372</v>
      </c>
      <c r="AA72" s="16" t="s">
        <v>89</v>
      </c>
      <c r="AB72" s="16" t="s">
        <v>85</v>
      </c>
      <c r="AC72" s="16" t="s">
        <v>130</v>
      </c>
      <c r="AD72" s="16" t="s">
        <v>85</v>
      </c>
      <c r="AE72" s="16" t="s">
        <v>85</v>
      </c>
      <c r="AF72" s="16" t="s">
        <v>91</v>
      </c>
      <c r="AG72" s="16" t="s">
        <v>85</v>
      </c>
      <c r="AH72" s="16" t="s">
        <v>91</v>
      </c>
      <c r="AI72" s="17">
        <v>155000</v>
      </c>
      <c r="AJ72" s="16" t="s">
        <v>79</v>
      </c>
      <c r="AK72" s="16" t="s">
        <v>79</v>
      </c>
      <c r="AL72" s="17">
        <v>155000</v>
      </c>
      <c r="AM72" s="16" t="s">
        <v>371</v>
      </c>
      <c r="AN72" s="16" t="s">
        <v>85</v>
      </c>
      <c r="AO72" s="16" t="s">
        <v>85</v>
      </c>
      <c r="AP72" s="16" t="s">
        <v>118</v>
      </c>
      <c r="AQ72" s="16" t="s">
        <v>85</v>
      </c>
      <c r="AR72" s="16" t="s">
        <v>85</v>
      </c>
      <c r="AS72" s="39">
        <v>0</v>
      </c>
      <c r="AT72" s="39">
        <v>0</v>
      </c>
      <c r="AU72" s="16" t="s">
        <v>91</v>
      </c>
      <c r="AV72" s="16" t="s">
        <v>85</v>
      </c>
      <c r="AW72" s="16" t="s">
        <v>91</v>
      </c>
      <c r="AX72" s="16" t="s">
        <v>91</v>
      </c>
      <c r="AY72" s="16" t="s">
        <v>85</v>
      </c>
      <c r="AZ72" s="16" t="s">
        <v>93</v>
      </c>
      <c r="BA72" s="16" t="s">
        <v>85</v>
      </c>
      <c r="BB72" s="16" t="s">
        <v>85</v>
      </c>
      <c r="BC72" s="16" t="s">
        <v>91</v>
      </c>
      <c r="BD72" s="16" t="s">
        <v>79</v>
      </c>
      <c r="BE72" s="16" t="s">
        <v>300</v>
      </c>
      <c r="BF72" s="16" t="s">
        <v>85</v>
      </c>
      <c r="BG72" s="16" t="s">
        <v>85</v>
      </c>
      <c r="BH72" s="16" t="s">
        <v>85</v>
      </c>
      <c r="BI72" s="16" t="s">
        <v>91</v>
      </c>
      <c r="BJ72" s="16" t="s">
        <v>91</v>
      </c>
      <c r="BK72" s="16" t="s">
        <v>85</v>
      </c>
      <c r="BL72" s="16" t="s">
        <v>85</v>
      </c>
      <c r="BM72" s="16" t="s">
        <v>95</v>
      </c>
      <c r="BN72" s="16" t="s">
        <v>96</v>
      </c>
      <c r="BO72" s="39">
        <v>0</v>
      </c>
      <c r="BP72" s="16" t="s">
        <v>85</v>
      </c>
      <c r="BQ72" s="16" t="s">
        <v>85</v>
      </c>
      <c r="BR72" s="16" t="s">
        <v>91</v>
      </c>
      <c r="BS72" s="16" t="s">
        <v>85</v>
      </c>
      <c r="BT72" s="16" t="s">
        <v>388</v>
      </c>
      <c r="BU72" s="16" t="s">
        <v>446</v>
      </c>
      <c r="BV72" s="16" t="s">
        <v>389</v>
      </c>
      <c r="BW72" s="16" t="s">
        <v>1286</v>
      </c>
      <c r="BX72" s="16" t="s">
        <v>498</v>
      </c>
    </row>
    <row r="73" spans="1:76" s="7" customFormat="1">
      <c r="A73" s="14">
        <v>46136</v>
      </c>
      <c r="B73" s="14">
        <v>46136</v>
      </c>
      <c r="C73" s="15">
        <v>0.71854166666666996</v>
      </c>
      <c r="D73" s="16" t="s">
        <v>376</v>
      </c>
      <c r="E73" s="14">
        <v>46136</v>
      </c>
      <c r="F73" s="16" t="s">
        <v>495</v>
      </c>
      <c r="G73" s="16" t="s">
        <v>365</v>
      </c>
      <c r="H73" s="16" t="str">
        <f>VLOOKUP(G73,[1]Sheet3!A:B,2,0)</f>
        <v>ADMD</v>
      </c>
      <c r="I73" s="16" t="s">
        <v>76</v>
      </c>
      <c r="J73" s="16" t="s">
        <v>496</v>
      </c>
      <c r="K73" s="16" t="s">
        <v>377</v>
      </c>
      <c r="L73" s="16" t="s">
        <v>125</v>
      </c>
      <c r="M73" s="17">
        <v>155000</v>
      </c>
      <c r="N73" s="16" t="s">
        <v>79</v>
      </c>
      <c r="O73" s="16" t="s">
        <v>501</v>
      </c>
      <c r="P73" s="16" t="s">
        <v>495</v>
      </c>
      <c r="Q73" s="17">
        <v>155000</v>
      </c>
      <c r="R73" s="16" t="s">
        <v>85</v>
      </c>
      <c r="S73" s="16" t="s">
        <v>83</v>
      </c>
      <c r="T73" s="16" t="s">
        <v>370</v>
      </c>
      <c r="U73" s="39">
        <v>6325137.1600000001</v>
      </c>
      <c r="V73" s="16" t="s">
        <v>85</v>
      </c>
      <c r="W73" s="16" t="s">
        <v>85</v>
      </c>
      <c r="X73" s="16" t="s">
        <v>86</v>
      </c>
      <c r="Y73" s="16" t="s">
        <v>371</v>
      </c>
      <c r="Z73" s="16" t="s">
        <v>372</v>
      </c>
      <c r="AA73" s="16" t="s">
        <v>89</v>
      </c>
      <c r="AB73" s="16" t="s">
        <v>85</v>
      </c>
      <c r="AC73" s="16" t="s">
        <v>128</v>
      </c>
      <c r="AD73" s="16" t="s">
        <v>85</v>
      </c>
      <c r="AE73" s="16" t="s">
        <v>85</v>
      </c>
      <c r="AF73" s="16" t="s">
        <v>91</v>
      </c>
      <c r="AG73" s="16" t="s">
        <v>85</v>
      </c>
      <c r="AH73" s="16" t="s">
        <v>91</v>
      </c>
      <c r="AI73" s="17">
        <v>155000</v>
      </c>
      <c r="AJ73" s="16" t="s">
        <v>79</v>
      </c>
      <c r="AK73" s="16" t="s">
        <v>79</v>
      </c>
      <c r="AL73" s="17">
        <v>155000</v>
      </c>
      <c r="AM73" s="16" t="s">
        <v>371</v>
      </c>
      <c r="AN73" s="16" t="s">
        <v>85</v>
      </c>
      <c r="AO73" s="16" t="s">
        <v>85</v>
      </c>
      <c r="AP73" s="16" t="s">
        <v>118</v>
      </c>
      <c r="AQ73" s="16" t="s">
        <v>85</v>
      </c>
      <c r="AR73" s="16" t="s">
        <v>85</v>
      </c>
      <c r="AS73" s="39">
        <v>0</v>
      </c>
      <c r="AT73" s="39">
        <v>0</v>
      </c>
      <c r="AU73" s="16" t="s">
        <v>91</v>
      </c>
      <c r="AV73" s="16" t="s">
        <v>85</v>
      </c>
      <c r="AW73" s="16" t="s">
        <v>91</v>
      </c>
      <c r="AX73" s="16" t="s">
        <v>91</v>
      </c>
      <c r="AY73" s="16" t="s">
        <v>85</v>
      </c>
      <c r="AZ73" s="16" t="s">
        <v>93</v>
      </c>
      <c r="BA73" s="16" t="s">
        <v>85</v>
      </c>
      <c r="BB73" s="16" t="s">
        <v>85</v>
      </c>
      <c r="BC73" s="16" t="s">
        <v>91</v>
      </c>
      <c r="BD73" s="16" t="s">
        <v>79</v>
      </c>
      <c r="BE73" s="16" t="s">
        <v>300</v>
      </c>
      <c r="BF73" s="16" t="s">
        <v>85</v>
      </c>
      <c r="BG73" s="16" t="s">
        <v>85</v>
      </c>
      <c r="BH73" s="16" t="s">
        <v>85</v>
      </c>
      <c r="BI73" s="16" t="s">
        <v>91</v>
      </c>
      <c r="BJ73" s="16" t="s">
        <v>91</v>
      </c>
      <c r="BK73" s="16" t="s">
        <v>85</v>
      </c>
      <c r="BL73" s="16" t="s">
        <v>85</v>
      </c>
      <c r="BM73" s="16" t="s">
        <v>95</v>
      </c>
      <c r="BN73" s="16" t="s">
        <v>96</v>
      </c>
      <c r="BO73" s="39">
        <v>0</v>
      </c>
      <c r="BP73" s="16" t="s">
        <v>85</v>
      </c>
      <c r="BQ73" s="16" t="s">
        <v>85</v>
      </c>
      <c r="BR73" s="16" t="s">
        <v>91</v>
      </c>
      <c r="BS73" s="16" t="s">
        <v>85</v>
      </c>
      <c r="BT73" s="16" t="s">
        <v>388</v>
      </c>
      <c r="BU73" s="16" t="s">
        <v>446</v>
      </c>
      <c r="BV73" s="16" t="s">
        <v>389</v>
      </c>
      <c r="BW73" s="16" t="s">
        <v>1286</v>
      </c>
      <c r="BX73" s="16" t="s">
        <v>498</v>
      </c>
    </row>
    <row r="74" spans="1:76" s="7" customFormat="1">
      <c r="A74" s="14">
        <v>46136</v>
      </c>
      <c r="B74" s="14">
        <v>46136</v>
      </c>
      <c r="C74" s="15">
        <v>0.71854166666666996</v>
      </c>
      <c r="D74" s="16" t="s">
        <v>376</v>
      </c>
      <c r="E74" s="14">
        <v>46136</v>
      </c>
      <c r="F74" s="16" t="s">
        <v>495</v>
      </c>
      <c r="G74" s="16" t="s">
        <v>365</v>
      </c>
      <c r="H74" s="16" t="str">
        <f>VLOOKUP(G74,[1]Sheet3!A:B,2,0)</f>
        <v>ADMD</v>
      </c>
      <c r="I74" s="16" t="s">
        <v>76</v>
      </c>
      <c r="J74" s="16" t="s">
        <v>496</v>
      </c>
      <c r="K74" s="16" t="s">
        <v>377</v>
      </c>
      <c r="L74" s="16" t="s">
        <v>125</v>
      </c>
      <c r="M74" s="17">
        <v>155000</v>
      </c>
      <c r="N74" s="16" t="s">
        <v>79</v>
      </c>
      <c r="O74" s="16" t="s">
        <v>502</v>
      </c>
      <c r="P74" s="16" t="s">
        <v>495</v>
      </c>
      <c r="Q74" s="17">
        <v>155000</v>
      </c>
      <c r="R74" s="16" t="s">
        <v>85</v>
      </c>
      <c r="S74" s="16" t="s">
        <v>83</v>
      </c>
      <c r="T74" s="16" t="s">
        <v>370</v>
      </c>
      <c r="U74" s="39">
        <v>6325137.1600000001</v>
      </c>
      <c r="V74" s="16" t="s">
        <v>85</v>
      </c>
      <c r="W74" s="16" t="s">
        <v>85</v>
      </c>
      <c r="X74" s="16" t="s">
        <v>86</v>
      </c>
      <c r="Y74" s="16" t="s">
        <v>371</v>
      </c>
      <c r="Z74" s="16" t="s">
        <v>372</v>
      </c>
      <c r="AA74" s="16" t="s">
        <v>89</v>
      </c>
      <c r="AB74" s="16" t="s">
        <v>85</v>
      </c>
      <c r="AC74" s="16" t="s">
        <v>112</v>
      </c>
      <c r="AD74" s="16" t="s">
        <v>85</v>
      </c>
      <c r="AE74" s="16" t="s">
        <v>85</v>
      </c>
      <c r="AF74" s="16" t="s">
        <v>91</v>
      </c>
      <c r="AG74" s="16" t="s">
        <v>85</v>
      </c>
      <c r="AH74" s="16" t="s">
        <v>91</v>
      </c>
      <c r="AI74" s="17">
        <v>155000</v>
      </c>
      <c r="AJ74" s="16" t="s">
        <v>79</v>
      </c>
      <c r="AK74" s="16" t="s">
        <v>79</v>
      </c>
      <c r="AL74" s="17">
        <v>155000</v>
      </c>
      <c r="AM74" s="16" t="s">
        <v>371</v>
      </c>
      <c r="AN74" s="16" t="s">
        <v>85</v>
      </c>
      <c r="AO74" s="16" t="s">
        <v>85</v>
      </c>
      <c r="AP74" s="16" t="s">
        <v>118</v>
      </c>
      <c r="AQ74" s="16" t="s">
        <v>85</v>
      </c>
      <c r="AR74" s="16" t="s">
        <v>85</v>
      </c>
      <c r="AS74" s="39">
        <v>0</v>
      </c>
      <c r="AT74" s="39">
        <v>0</v>
      </c>
      <c r="AU74" s="16" t="s">
        <v>91</v>
      </c>
      <c r="AV74" s="16" t="s">
        <v>85</v>
      </c>
      <c r="AW74" s="16" t="s">
        <v>91</v>
      </c>
      <c r="AX74" s="16" t="s">
        <v>91</v>
      </c>
      <c r="AY74" s="16" t="s">
        <v>85</v>
      </c>
      <c r="AZ74" s="16" t="s">
        <v>93</v>
      </c>
      <c r="BA74" s="16" t="s">
        <v>85</v>
      </c>
      <c r="BB74" s="16" t="s">
        <v>85</v>
      </c>
      <c r="BC74" s="16" t="s">
        <v>91</v>
      </c>
      <c r="BD74" s="16" t="s">
        <v>79</v>
      </c>
      <c r="BE74" s="16" t="s">
        <v>300</v>
      </c>
      <c r="BF74" s="16" t="s">
        <v>85</v>
      </c>
      <c r="BG74" s="16" t="s">
        <v>85</v>
      </c>
      <c r="BH74" s="16" t="s">
        <v>85</v>
      </c>
      <c r="BI74" s="16" t="s">
        <v>91</v>
      </c>
      <c r="BJ74" s="16" t="s">
        <v>91</v>
      </c>
      <c r="BK74" s="16" t="s">
        <v>85</v>
      </c>
      <c r="BL74" s="16" t="s">
        <v>85</v>
      </c>
      <c r="BM74" s="16" t="s">
        <v>95</v>
      </c>
      <c r="BN74" s="16" t="s">
        <v>96</v>
      </c>
      <c r="BO74" s="39">
        <v>0</v>
      </c>
      <c r="BP74" s="16" t="s">
        <v>85</v>
      </c>
      <c r="BQ74" s="16" t="s">
        <v>85</v>
      </c>
      <c r="BR74" s="16" t="s">
        <v>91</v>
      </c>
      <c r="BS74" s="16" t="s">
        <v>85</v>
      </c>
      <c r="BT74" s="16" t="s">
        <v>388</v>
      </c>
      <c r="BU74" s="16" t="s">
        <v>446</v>
      </c>
      <c r="BV74" s="16" t="s">
        <v>389</v>
      </c>
      <c r="BW74" s="16" t="s">
        <v>1286</v>
      </c>
      <c r="BX74" s="16" t="s">
        <v>498</v>
      </c>
    </row>
    <row r="75" spans="1:76" s="7" customFormat="1">
      <c r="A75" s="14">
        <v>46136</v>
      </c>
      <c r="B75" s="14">
        <v>46136</v>
      </c>
      <c r="C75" s="15">
        <v>0.71854166666666996</v>
      </c>
      <c r="D75" s="16" t="s">
        <v>376</v>
      </c>
      <c r="E75" s="14">
        <v>46136</v>
      </c>
      <c r="F75" s="16" t="s">
        <v>495</v>
      </c>
      <c r="G75" s="16" t="s">
        <v>365</v>
      </c>
      <c r="H75" s="16" t="str">
        <f>VLOOKUP(G75,[1]Sheet3!A:B,2,0)</f>
        <v>ADMD</v>
      </c>
      <c r="I75" s="16" t="s">
        <v>76</v>
      </c>
      <c r="J75" s="16" t="s">
        <v>496</v>
      </c>
      <c r="K75" s="16" t="s">
        <v>377</v>
      </c>
      <c r="L75" s="16" t="s">
        <v>125</v>
      </c>
      <c r="M75" s="17">
        <v>155000</v>
      </c>
      <c r="N75" s="16" t="s">
        <v>79</v>
      </c>
      <c r="O75" s="16" t="s">
        <v>503</v>
      </c>
      <c r="P75" s="16" t="s">
        <v>495</v>
      </c>
      <c r="Q75" s="17">
        <v>155000</v>
      </c>
      <c r="R75" s="16" t="s">
        <v>85</v>
      </c>
      <c r="S75" s="16" t="s">
        <v>83</v>
      </c>
      <c r="T75" s="16" t="s">
        <v>370</v>
      </c>
      <c r="U75" s="39">
        <v>6325137.1600000001</v>
      </c>
      <c r="V75" s="16" t="s">
        <v>85</v>
      </c>
      <c r="W75" s="16" t="s">
        <v>85</v>
      </c>
      <c r="X75" s="16" t="s">
        <v>86</v>
      </c>
      <c r="Y75" s="16" t="s">
        <v>371</v>
      </c>
      <c r="Z75" s="16" t="s">
        <v>372</v>
      </c>
      <c r="AA75" s="16" t="s">
        <v>89</v>
      </c>
      <c r="AB75" s="16" t="s">
        <v>85</v>
      </c>
      <c r="AC75" s="16" t="s">
        <v>134</v>
      </c>
      <c r="AD75" s="16" t="s">
        <v>85</v>
      </c>
      <c r="AE75" s="16" t="s">
        <v>85</v>
      </c>
      <c r="AF75" s="16" t="s">
        <v>91</v>
      </c>
      <c r="AG75" s="16" t="s">
        <v>85</v>
      </c>
      <c r="AH75" s="16" t="s">
        <v>91</v>
      </c>
      <c r="AI75" s="17">
        <v>155000</v>
      </c>
      <c r="AJ75" s="16" t="s">
        <v>79</v>
      </c>
      <c r="AK75" s="16" t="s">
        <v>79</v>
      </c>
      <c r="AL75" s="17">
        <v>155000</v>
      </c>
      <c r="AM75" s="16" t="s">
        <v>371</v>
      </c>
      <c r="AN75" s="16" t="s">
        <v>85</v>
      </c>
      <c r="AO75" s="16" t="s">
        <v>85</v>
      </c>
      <c r="AP75" s="16" t="s">
        <v>118</v>
      </c>
      <c r="AQ75" s="16" t="s">
        <v>85</v>
      </c>
      <c r="AR75" s="16" t="s">
        <v>85</v>
      </c>
      <c r="AS75" s="39">
        <v>0</v>
      </c>
      <c r="AT75" s="39">
        <v>0</v>
      </c>
      <c r="AU75" s="16" t="s">
        <v>91</v>
      </c>
      <c r="AV75" s="16" t="s">
        <v>85</v>
      </c>
      <c r="AW75" s="16" t="s">
        <v>91</v>
      </c>
      <c r="AX75" s="16" t="s">
        <v>91</v>
      </c>
      <c r="AY75" s="16" t="s">
        <v>85</v>
      </c>
      <c r="AZ75" s="16" t="s">
        <v>93</v>
      </c>
      <c r="BA75" s="16" t="s">
        <v>85</v>
      </c>
      <c r="BB75" s="16" t="s">
        <v>85</v>
      </c>
      <c r="BC75" s="16" t="s">
        <v>91</v>
      </c>
      <c r="BD75" s="16" t="s">
        <v>79</v>
      </c>
      <c r="BE75" s="16" t="s">
        <v>300</v>
      </c>
      <c r="BF75" s="16" t="s">
        <v>85</v>
      </c>
      <c r="BG75" s="16" t="s">
        <v>85</v>
      </c>
      <c r="BH75" s="16" t="s">
        <v>85</v>
      </c>
      <c r="BI75" s="16" t="s">
        <v>91</v>
      </c>
      <c r="BJ75" s="16" t="s">
        <v>91</v>
      </c>
      <c r="BK75" s="16" t="s">
        <v>85</v>
      </c>
      <c r="BL75" s="16" t="s">
        <v>85</v>
      </c>
      <c r="BM75" s="16" t="s">
        <v>95</v>
      </c>
      <c r="BN75" s="16" t="s">
        <v>96</v>
      </c>
      <c r="BO75" s="39">
        <v>0</v>
      </c>
      <c r="BP75" s="16" t="s">
        <v>85</v>
      </c>
      <c r="BQ75" s="16" t="s">
        <v>85</v>
      </c>
      <c r="BR75" s="16" t="s">
        <v>91</v>
      </c>
      <c r="BS75" s="16" t="s">
        <v>85</v>
      </c>
      <c r="BT75" s="16" t="s">
        <v>388</v>
      </c>
      <c r="BU75" s="16" t="s">
        <v>446</v>
      </c>
      <c r="BV75" s="16" t="s">
        <v>389</v>
      </c>
      <c r="BW75" s="16" t="s">
        <v>1286</v>
      </c>
      <c r="BX75" s="16" t="s">
        <v>498</v>
      </c>
    </row>
    <row r="76" spans="1:76" s="7" customFormat="1">
      <c r="A76" s="14">
        <v>46136</v>
      </c>
      <c r="B76" s="14">
        <v>46136</v>
      </c>
      <c r="C76" s="15">
        <v>0.71854166666666996</v>
      </c>
      <c r="D76" s="16" t="s">
        <v>376</v>
      </c>
      <c r="E76" s="14">
        <v>46136</v>
      </c>
      <c r="F76" s="16" t="s">
        <v>495</v>
      </c>
      <c r="G76" s="16" t="s">
        <v>365</v>
      </c>
      <c r="H76" s="16" t="str">
        <f>VLOOKUP(G76,[1]Sheet3!A:B,2,0)</f>
        <v>ADMD</v>
      </c>
      <c r="I76" s="16" t="s">
        <v>76</v>
      </c>
      <c r="J76" s="16" t="s">
        <v>496</v>
      </c>
      <c r="K76" s="16" t="s">
        <v>377</v>
      </c>
      <c r="L76" s="16" t="s">
        <v>125</v>
      </c>
      <c r="M76" s="17">
        <v>155000</v>
      </c>
      <c r="N76" s="16" t="s">
        <v>79</v>
      </c>
      <c r="O76" s="16" t="s">
        <v>504</v>
      </c>
      <c r="P76" s="16" t="s">
        <v>495</v>
      </c>
      <c r="Q76" s="17">
        <v>155000</v>
      </c>
      <c r="R76" s="16" t="s">
        <v>85</v>
      </c>
      <c r="S76" s="16" t="s">
        <v>83</v>
      </c>
      <c r="T76" s="16" t="s">
        <v>370</v>
      </c>
      <c r="U76" s="39">
        <v>6325137.1600000001</v>
      </c>
      <c r="V76" s="16" t="s">
        <v>85</v>
      </c>
      <c r="W76" s="16" t="s">
        <v>85</v>
      </c>
      <c r="X76" s="16" t="s">
        <v>86</v>
      </c>
      <c r="Y76" s="16" t="s">
        <v>371</v>
      </c>
      <c r="Z76" s="16" t="s">
        <v>372</v>
      </c>
      <c r="AA76" s="16" t="s">
        <v>89</v>
      </c>
      <c r="AB76" s="16" t="s">
        <v>85</v>
      </c>
      <c r="AC76" s="16" t="s">
        <v>131</v>
      </c>
      <c r="AD76" s="16" t="s">
        <v>85</v>
      </c>
      <c r="AE76" s="16" t="s">
        <v>85</v>
      </c>
      <c r="AF76" s="16" t="s">
        <v>91</v>
      </c>
      <c r="AG76" s="16" t="s">
        <v>85</v>
      </c>
      <c r="AH76" s="16" t="s">
        <v>91</v>
      </c>
      <c r="AI76" s="17">
        <v>155000</v>
      </c>
      <c r="AJ76" s="16" t="s">
        <v>79</v>
      </c>
      <c r="AK76" s="16" t="s">
        <v>79</v>
      </c>
      <c r="AL76" s="17">
        <v>155000</v>
      </c>
      <c r="AM76" s="16" t="s">
        <v>371</v>
      </c>
      <c r="AN76" s="16" t="s">
        <v>85</v>
      </c>
      <c r="AO76" s="16" t="s">
        <v>85</v>
      </c>
      <c r="AP76" s="16" t="s">
        <v>118</v>
      </c>
      <c r="AQ76" s="16" t="s">
        <v>85</v>
      </c>
      <c r="AR76" s="16" t="s">
        <v>85</v>
      </c>
      <c r="AS76" s="39">
        <v>0</v>
      </c>
      <c r="AT76" s="39">
        <v>0</v>
      </c>
      <c r="AU76" s="16" t="s">
        <v>91</v>
      </c>
      <c r="AV76" s="16" t="s">
        <v>85</v>
      </c>
      <c r="AW76" s="16" t="s">
        <v>91</v>
      </c>
      <c r="AX76" s="16" t="s">
        <v>91</v>
      </c>
      <c r="AY76" s="16" t="s">
        <v>85</v>
      </c>
      <c r="AZ76" s="16" t="s">
        <v>93</v>
      </c>
      <c r="BA76" s="16" t="s">
        <v>85</v>
      </c>
      <c r="BB76" s="16" t="s">
        <v>85</v>
      </c>
      <c r="BC76" s="16" t="s">
        <v>91</v>
      </c>
      <c r="BD76" s="16" t="s">
        <v>79</v>
      </c>
      <c r="BE76" s="16" t="s">
        <v>300</v>
      </c>
      <c r="BF76" s="16" t="s">
        <v>85</v>
      </c>
      <c r="BG76" s="16" t="s">
        <v>85</v>
      </c>
      <c r="BH76" s="16" t="s">
        <v>85</v>
      </c>
      <c r="BI76" s="16" t="s">
        <v>91</v>
      </c>
      <c r="BJ76" s="16" t="s">
        <v>91</v>
      </c>
      <c r="BK76" s="16" t="s">
        <v>85</v>
      </c>
      <c r="BL76" s="16" t="s">
        <v>85</v>
      </c>
      <c r="BM76" s="16" t="s">
        <v>95</v>
      </c>
      <c r="BN76" s="16" t="s">
        <v>96</v>
      </c>
      <c r="BO76" s="39">
        <v>0</v>
      </c>
      <c r="BP76" s="16" t="s">
        <v>85</v>
      </c>
      <c r="BQ76" s="16" t="s">
        <v>85</v>
      </c>
      <c r="BR76" s="16" t="s">
        <v>91</v>
      </c>
      <c r="BS76" s="16" t="s">
        <v>85</v>
      </c>
      <c r="BT76" s="16" t="s">
        <v>388</v>
      </c>
      <c r="BU76" s="16" t="s">
        <v>446</v>
      </c>
      <c r="BV76" s="16" t="s">
        <v>389</v>
      </c>
      <c r="BW76" s="16" t="s">
        <v>1286</v>
      </c>
      <c r="BX76" s="16" t="s">
        <v>498</v>
      </c>
    </row>
    <row r="77" spans="1:76" s="7" customFormat="1">
      <c r="A77" s="14">
        <v>46136</v>
      </c>
      <c r="B77" s="14">
        <v>46136</v>
      </c>
      <c r="C77" s="15">
        <v>0.71854166666666996</v>
      </c>
      <c r="D77" s="16" t="s">
        <v>376</v>
      </c>
      <c r="E77" s="14">
        <v>46136</v>
      </c>
      <c r="F77" s="16" t="s">
        <v>495</v>
      </c>
      <c r="G77" s="16" t="s">
        <v>365</v>
      </c>
      <c r="H77" s="16" t="str">
        <f>VLOOKUP(G77,[1]Sheet3!A:B,2,0)</f>
        <v>ADMD</v>
      </c>
      <c r="I77" s="16" t="s">
        <v>76</v>
      </c>
      <c r="J77" s="16" t="s">
        <v>496</v>
      </c>
      <c r="K77" s="16" t="s">
        <v>377</v>
      </c>
      <c r="L77" s="16" t="s">
        <v>125</v>
      </c>
      <c r="M77" s="17">
        <v>155000</v>
      </c>
      <c r="N77" s="16" t="s">
        <v>79</v>
      </c>
      <c r="O77" s="16" t="s">
        <v>505</v>
      </c>
      <c r="P77" s="16" t="s">
        <v>495</v>
      </c>
      <c r="Q77" s="17">
        <v>155000</v>
      </c>
      <c r="R77" s="16" t="s">
        <v>85</v>
      </c>
      <c r="S77" s="16" t="s">
        <v>83</v>
      </c>
      <c r="T77" s="16" t="s">
        <v>370</v>
      </c>
      <c r="U77" s="39">
        <v>6325137.1600000001</v>
      </c>
      <c r="V77" s="16" t="s">
        <v>85</v>
      </c>
      <c r="W77" s="16" t="s">
        <v>85</v>
      </c>
      <c r="X77" s="16" t="s">
        <v>86</v>
      </c>
      <c r="Y77" s="16" t="s">
        <v>371</v>
      </c>
      <c r="Z77" s="16" t="s">
        <v>372</v>
      </c>
      <c r="AA77" s="16" t="s">
        <v>89</v>
      </c>
      <c r="AB77" s="16" t="s">
        <v>85</v>
      </c>
      <c r="AC77" s="16" t="s">
        <v>126</v>
      </c>
      <c r="AD77" s="16" t="s">
        <v>85</v>
      </c>
      <c r="AE77" s="16" t="s">
        <v>85</v>
      </c>
      <c r="AF77" s="16" t="s">
        <v>91</v>
      </c>
      <c r="AG77" s="16" t="s">
        <v>85</v>
      </c>
      <c r="AH77" s="16" t="s">
        <v>91</v>
      </c>
      <c r="AI77" s="17">
        <v>155000</v>
      </c>
      <c r="AJ77" s="16" t="s">
        <v>79</v>
      </c>
      <c r="AK77" s="16" t="s">
        <v>79</v>
      </c>
      <c r="AL77" s="17">
        <v>155000</v>
      </c>
      <c r="AM77" s="16" t="s">
        <v>371</v>
      </c>
      <c r="AN77" s="16" t="s">
        <v>85</v>
      </c>
      <c r="AO77" s="16" t="s">
        <v>85</v>
      </c>
      <c r="AP77" s="16" t="s">
        <v>118</v>
      </c>
      <c r="AQ77" s="16" t="s">
        <v>85</v>
      </c>
      <c r="AR77" s="16" t="s">
        <v>85</v>
      </c>
      <c r="AS77" s="39">
        <v>0</v>
      </c>
      <c r="AT77" s="39">
        <v>0</v>
      </c>
      <c r="AU77" s="16" t="s">
        <v>91</v>
      </c>
      <c r="AV77" s="16" t="s">
        <v>85</v>
      </c>
      <c r="AW77" s="16" t="s">
        <v>91</v>
      </c>
      <c r="AX77" s="16" t="s">
        <v>91</v>
      </c>
      <c r="AY77" s="16" t="s">
        <v>85</v>
      </c>
      <c r="AZ77" s="16" t="s">
        <v>93</v>
      </c>
      <c r="BA77" s="16" t="s">
        <v>85</v>
      </c>
      <c r="BB77" s="16" t="s">
        <v>85</v>
      </c>
      <c r="BC77" s="16" t="s">
        <v>91</v>
      </c>
      <c r="BD77" s="16" t="s">
        <v>79</v>
      </c>
      <c r="BE77" s="16" t="s">
        <v>300</v>
      </c>
      <c r="BF77" s="16" t="s">
        <v>85</v>
      </c>
      <c r="BG77" s="16" t="s">
        <v>85</v>
      </c>
      <c r="BH77" s="16" t="s">
        <v>85</v>
      </c>
      <c r="BI77" s="16" t="s">
        <v>91</v>
      </c>
      <c r="BJ77" s="16" t="s">
        <v>91</v>
      </c>
      <c r="BK77" s="16" t="s">
        <v>85</v>
      </c>
      <c r="BL77" s="16" t="s">
        <v>85</v>
      </c>
      <c r="BM77" s="16" t="s">
        <v>95</v>
      </c>
      <c r="BN77" s="16" t="s">
        <v>96</v>
      </c>
      <c r="BO77" s="39">
        <v>0</v>
      </c>
      <c r="BP77" s="16" t="s">
        <v>85</v>
      </c>
      <c r="BQ77" s="16" t="s">
        <v>85</v>
      </c>
      <c r="BR77" s="16" t="s">
        <v>91</v>
      </c>
      <c r="BS77" s="16" t="s">
        <v>85</v>
      </c>
      <c r="BT77" s="16" t="s">
        <v>388</v>
      </c>
      <c r="BU77" s="16" t="s">
        <v>446</v>
      </c>
      <c r="BV77" s="16" t="s">
        <v>389</v>
      </c>
      <c r="BW77" s="16" t="s">
        <v>1286</v>
      </c>
      <c r="BX77" s="16" t="s">
        <v>498</v>
      </c>
    </row>
    <row r="78" spans="1:76" s="7" customFormat="1">
      <c r="A78" s="14">
        <v>46153</v>
      </c>
      <c r="B78" s="14">
        <v>46153</v>
      </c>
      <c r="C78" s="15">
        <v>0.41940972222222</v>
      </c>
      <c r="D78" s="16" t="s">
        <v>506</v>
      </c>
      <c r="E78" s="14">
        <v>46153</v>
      </c>
      <c r="F78" s="16" t="s">
        <v>507</v>
      </c>
      <c r="G78" s="16" t="s">
        <v>365</v>
      </c>
      <c r="H78" s="16" t="str">
        <f>VLOOKUP(G78,[1]Sheet3!A:B,2,0)</f>
        <v>ADMD</v>
      </c>
      <c r="I78" s="7" t="s">
        <v>76</v>
      </c>
      <c r="J78" s="7" t="s">
        <v>508</v>
      </c>
      <c r="K78" s="16" t="s">
        <v>509</v>
      </c>
      <c r="L78" s="16" t="s">
        <v>133</v>
      </c>
      <c r="M78" s="17">
        <v>55000</v>
      </c>
      <c r="N78" s="16" t="s">
        <v>79</v>
      </c>
      <c r="O78" s="16" t="s">
        <v>510</v>
      </c>
      <c r="P78" s="16" t="s">
        <v>507</v>
      </c>
      <c r="Q78" s="17">
        <v>55000</v>
      </c>
      <c r="R78" s="7" t="s">
        <v>507</v>
      </c>
      <c r="S78" s="7" t="s">
        <v>122</v>
      </c>
      <c r="T78" s="7" t="s">
        <v>370</v>
      </c>
      <c r="U78" s="12">
        <v>2858152.9</v>
      </c>
      <c r="V78" s="7" t="s">
        <v>85</v>
      </c>
      <c r="W78" s="7" t="s">
        <v>85</v>
      </c>
      <c r="X78" s="7" t="s">
        <v>86</v>
      </c>
      <c r="Y78" s="7" t="s">
        <v>371</v>
      </c>
      <c r="Z78" s="7" t="s">
        <v>372</v>
      </c>
      <c r="AA78" s="7" t="s">
        <v>89</v>
      </c>
      <c r="AB78" s="7" t="s">
        <v>85</v>
      </c>
      <c r="AC78" s="7" t="s">
        <v>134</v>
      </c>
      <c r="AD78" s="7" t="s">
        <v>85</v>
      </c>
      <c r="AE78" s="7" t="s">
        <v>85</v>
      </c>
      <c r="AF78" s="7" t="s">
        <v>91</v>
      </c>
      <c r="AG78" s="7" t="s">
        <v>85</v>
      </c>
      <c r="AH78" s="7" t="s">
        <v>91</v>
      </c>
      <c r="AI78" s="13">
        <v>55000</v>
      </c>
      <c r="AJ78" s="7" t="s">
        <v>79</v>
      </c>
      <c r="AK78" s="7" t="s">
        <v>79</v>
      </c>
      <c r="AL78" s="13">
        <v>55000</v>
      </c>
      <c r="AM78" s="7" t="s">
        <v>371</v>
      </c>
      <c r="AN78" s="7" t="s">
        <v>85</v>
      </c>
      <c r="AO78" s="7" t="s">
        <v>85</v>
      </c>
      <c r="AP78" s="7" t="s">
        <v>118</v>
      </c>
      <c r="AQ78" s="7" t="s">
        <v>85</v>
      </c>
      <c r="AR78" s="7" t="s">
        <v>85</v>
      </c>
      <c r="AS78" s="12">
        <v>0</v>
      </c>
      <c r="AT78" s="12">
        <v>0</v>
      </c>
      <c r="AU78" s="7" t="s">
        <v>91</v>
      </c>
      <c r="AV78" s="7" t="s">
        <v>85</v>
      </c>
      <c r="AW78" s="7" t="s">
        <v>91</v>
      </c>
      <c r="AX78" s="7" t="s">
        <v>91</v>
      </c>
      <c r="AY78" s="7" t="s">
        <v>85</v>
      </c>
      <c r="AZ78" s="7" t="s">
        <v>93</v>
      </c>
      <c r="BA78" s="7" t="s">
        <v>85</v>
      </c>
      <c r="BB78" s="7" t="s">
        <v>85</v>
      </c>
      <c r="BC78" s="7" t="s">
        <v>91</v>
      </c>
      <c r="BD78" s="7" t="s">
        <v>79</v>
      </c>
      <c r="BE78" s="7" t="s">
        <v>300</v>
      </c>
      <c r="BF78" s="7" t="s">
        <v>85</v>
      </c>
      <c r="BG78" s="7" t="s">
        <v>85</v>
      </c>
      <c r="BH78" s="7" t="s">
        <v>85</v>
      </c>
      <c r="BI78" s="7" t="s">
        <v>91</v>
      </c>
      <c r="BJ78" s="7" t="s">
        <v>91</v>
      </c>
      <c r="BK78" s="7" t="s">
        <v>85</v>
      </c>
      <c r="BL78" s="7" t="s">
        <v>85</v>
      </c>
      <c r="BM78" s="7" t="s">
        <v>95</v>
      </c>
      <c r="BN78" s="7" t="s">
        <v>96</v>
      </c>
      <c r="BO78" s="12">
        <v>0</v>
      </c>
      <c r="BP78" s="7" t="s">
        <v>85</v>
      </c>
      <c r="BQ78" s="7" t="s">
        <v>85</v>
      </c>
      <c r="BR78" s="7" t="s">
        <v>91</v>
      </c>
      <c r="BS78" s="7" t="s">
        <v>85</v>
      </c>
      <c r="BT78" s="16" t="s">
        <v>388</v>
      </c>
      <c r="BU78" s="16" t="s">
        <v>461</v>
      </c>
      <c r="BV78" s="16" t="s">
        <v>389</v>
      </c>
      <c r="BW78" s="16" t="s">
        <v>1217</v>
      </c>
      <c r="BX78" s="16" t="s">
        <v>511</v>
      </c>
    </row>
    <row r="79" spans="1:76" s="7" customFormat="1">
      <c r="A79" s="14">
        <v>46153</v>
      </c>
      <c r="B79" s="14">
        <v>46153</v>
      </c>
      <c r="C79" s="15">
        <v>0.41940972222222</v>
      </c>
      <c r="D79" s="16" t="s">
        <v>506</v>
      </c>
      <c r="E79" s="14">
        <v>46153</v>
      </c>
      <c r="F79" s="16" t="s">
        <v>507</v>
      </c>
      <c r="G79" s="16" t="s">
        <v>365</v>
      </c>
      <c r="H79" s="16" t="str">
        <f>VLOOKUP(G79,[1]Sheet3!A:B,2,0)</f>
        <v>ADMD</v>
      </c>
      <c r="I79" s="7" t="s">
        <v>76</v>
      </c>
      <c r="J79" s="7" t="s">
        <v>508</v>
      </c>
      <c r="K79" s="16" t="s">
        <v>509</v>
      </c>
      <c r="L79" s="16" t="s">
        <v>133</v>
      </c>
      <c r="M79" s="17">
        <v>155000</v>
      </c>
      <c r="N79" s="16" t="s">
        <v>79</v>
      </c>
      <c r="O79" s="16" t="s">
        <v>512</v>
      </c>
      <c r="P79" s="16" t="s">
        <v>507</v>
      </c>
      <c r="Q79" s="17">
        <v>155000</v>
      </c>
      <c r="R79" s="7" t="s">
        <v>507</v>
      </c>
      <c r="S79" s="7" t="s">
        <v>122</v>
      </c>
      <c r="T79" s="7" t="s">
        <v>370</v>
      </c>
      <c r="U79" s="12">
        <v>8054794.5099999998</v>
      </c>
      <c r="V79" s="7" t="s">
        <v>85</v>
      </c>
      <c r="W79" s="7" t="s">
        <v>85</v>
      </c>
      <c r="X79" s="7" t="s">
        <v>86</v>
      </c>
      <c r="Y79" s="7" t="s">
        <v>371</v>
      </c>
      <c r="Z79" s="7" t="s">
        <v>372</v>
      </c>
      <c r="AA79" s="7" t="s">
        <v>89</v>
      </c>
      <c r="AB79" s="7" t="s">
        <v>85</v>
      </c>
      <c r="AC79" s="7" t="s">
        <v>112</v>
      </c>
      <c r="AD79" s="7" t="s">
        <v>85</v>
      </c>
      <c r="AE79" s="7" t="s">
        <v>85</v>
      </c>
      <c r="AF79" s="7" t="s">
        <v>91</v>
      </c>
      <c r="AG79" s="7" t="s">
        <v>85</v>
      </c>
      <c r="AH79" s="7" t="s">
        <v>91</v>
      </c>
      <c r="AI79" s="13">
        <v>155000</v>
      </c>
      <c r="AJ79" s="7" t="s">
        <v>79</v>
      </c>
      <c r="AK79" s="7" t="s">
        <v>79</v>
      </c>
      <c r="AL79" s="13">
        <v>155000</v>
      </c>
      <c r="AM79" s="7" t="s">
        <v>371</v>
      </c>
      <c r="AN79" s="7" t="s">
        <v>85</v>
      </c>
      <c r="AO79" s="7" t="s">
        <v>85</v>
      </c>
      <c r="AP79" s="7" t="s">
        <v>118</v>
      </c>
      <c r="AQ79" s="7" t="s">
        <v>85</v>
      </c>
      <c r="AR79" s="7" t="s">
        <v>85</v>
      </c>
      <c r="AS79" s="12">
        <v>0</v>
      </c>
      <c r="AT79" s="12">
        <v>0</v>
      </c>
      <c r="AU79" s="7" t="s">
        <v>91</v>
      </c>
      <c r="AV79" s="7" t="s">
        <v>85</v>
      </c>
      <c r="AW79" s="7" t="s">
        <v>91</v>
      </c>
      <c r="AX79" s="7" t="s">
        <v>91</v>
      </c>
      <c r="AY79" s="7" t="s">
        <v>85</v>
      </c>
      <c r="AZ79" s="7" t="s">
        <v>93</v>
      </c>
      <c r="BA79" s="7" t="s">
        <v>85</v>
      </c>
      <c r="BB79" s="7" t="s">
        <v>85</v>
      </c>
      <c r="BC79" s="7" t="s">
        <v>91</v>
      </c>
      <c r="BD79" s="7" t="s">
        <v>79</v>
      </c>
      <c r="BE79" s="7" t="s">
        <v>300</v>
      </c>
      <c r="BF79" s="7" t="s">
        <v>85</v>
      </c>
      <c r="BG79" s="7" t="s">
        <v>85</v>
      </c>
      <c r="BH79" s="7" t="s">
        <v>85</v>
      </c>
      <c r="BI79" s="7" t="s">
        <v>91</v>
      </c>
      <c r="BJ79" s="7" t="s">
        <v>91</v>
      </c>
      <c r="BK79" s="7" t="s">
        <v>85</v>
      </c>
      <c r="BL79" s="7" t="s">
        <v>85</v>
      </c>
      <c r="BM79" s="7" t="s">
        <v>95</v>
      </c>
      <c r="BN79" s="7" t="s">
        <v>96</v>
      </c>
      <c r="BO79" s="12">
        <v>0</v>
      </c>
      <c r="BP79" s="7" t="s">
        <v>85</v>
      </c>
      <c r="BQ79" s="7" t="s">
        <v>85</v>
      </c>
      <c r="BR79" s="7" t="s">
        <v>91</v>
      </c>
      <c r="BS79" s="7" t="s">
        <v>85</v>
      </c>
      <c r="BT79" s="16" t="s">
        <v>388</v>
      </c>
      <c r="BU79" s="16" t="s">
        <v>461</v>
      </c>
      <c r="BV79" s="16" t="s">
        <v>389</v>
      </c>
      <c r="BW79" s="16" t="s">
        <v>1217</v>
      </c>
      <c r="BX79" s="16" t="s">
        <v>511</v>
      </c>
    </row>
    <row r="80" spans="1:76" s="7" customFormat="1">
      <c r="A80" s="14">
        <v>46153</v>
      </c>
      <c r="B80" s="14">
        <v>46153</v>
      </c>
      <c r="C80" s="15">
        <v>0.41940972222222</v>
      </c>
      <c r="D80" s="16" t="s">
        <v>506</v>
      </c>
      <c r="E80" s="14">
        <v>46153</v>
      </c>
      <c r="F80" s="16" t="s">
        <v>507</v>
      </c>
      <c r="G80" s="16" t="s">
        <v>365</v>
      </c>
      <c r="H80" s="16" t="str">
        <f>VLOOKUP(G80,[1]Sheet3!A:B,2,0)</f>
        <v>ADMD</v>
      </c>
      <c r="I80" s="7" t="s">
        <v>76</v>
      </c>
      <c r="J80" s="7" t="s">
        <v>508</v>
      </c>
      <c r="K80" s="16" t="s">
        <v>509</v>
      </c>
      <c r="L80" s="16" t="s">
        <v>133</v>
      </c>
      <c r="M80" s="17">
        <v>155000</v>
      </c>
      <c r="N80" s="16" t="s">
        <v>79</v>
      </c>
      <c r="O80" s="16" t="s">
        <v>513</v>
      </c>
      <c r="P80" s="16" t="s">
        <v>507</v>
      </c>
      <c r="Q80" s="17">
        <v>155000</v>
      </c>
      <c r="R80" s="7" t="s">
        <v>507</v>
      </c>
      <c r="S80" s="7" t="s">
        <v>122</v>
      </c>
      <c r="T80" s="7" t="s">
        <v>370</v>
      </c>
      <c r="U80" s="12">
        <v>8054794.5099999998</v>
      </c>
      <c r="V80" s="7" t="s">
        <v>85</v>
      </c>
      <c r="W80" s="7" t="s">
        <v>85</v>
      </c>
      <c r="X80" s="7" t="s">
        <v>86</v>
      </c>
      <c r="Y80" s="7" t="s">
        <v>371</v>
      </c>
      <c r="Z80" s="7" t="s">
        <v>372</v>
      </c>
      <c r="AA80" s="7" t="s">
        <v>89</v>
      </c>
      <c r="AB80" s="7" t="s">
        <v>85</v>
      </c>
      <c r="AC80" s="7" t="s">
        <v>90</v>
      </c>
      <c r="AD80" s="7" t="s">
        <v>85</v>
      </c>
      <c r="AE80" s="7" t="s">
        <v>85</v>
      </c>
      <c r="AF80" s="7" t="s">
        <v>91</v>
      </c>
      <c r="AG80" s="7" t="s">
        <v>85</v>
      </c>
      <c r="AH80" s="7" t="s">
        <v>91</v>
      </c>
      <c r="AI80" s="13">
        <v>155000</v>
      </c>
      <c r="AJ80" s="7" t="s">
        <v>79</v>
      </c>
      <c r="AK80" s="7" t="s">
        <v>79</v>
      </c>
      <c r="AL80" s="13">
        <v>155000</v>
      </c>
      <c r="AM80" s="7" t="s">
        <v>371</v>
      </c>
      <c r="AN80" s="7" t="s">
        <v>85</v>
      </c>
      <c r="AO80" s="7" t="s">
        <v>85</v>
      </c>
      <c r="AP80" s="7" t="s">
        <v>118</v>
      </c>
      <c r="AQ80" s="7" t="s">
        <v>85</v>
      </c>
      <c r="AR80" s="7" t="s">
        <v>85</v>
      </c>
      <c r="AS80" s="12">
        <v>0</v>
      </c>
      <c r="AT80" s="12">
        <v>0</v>
      </c>
      <c r="AU80" s="7" t="s">
        <v>91</v>
      </c>
      <c r="AV80" s="7" t="s">
        <v>85</v>
      </c>
      <c r="AW80" s="7" t="s">
        <v>91</v>
      </c>
      <c r="AX80" s="7" t="s">
        <v>91</v>
      </c>
      <c r="AY80" s="7" t="s">
        <v>85</v>
      </c>
      <c r="AZ80" s="7" t="s">
        <v>93</v>
      </c>
      <c r="BA80" s="7" t="s">
        <v>85</v>
      </c>
      <c r="BB80" s="7" t="s">
        <v>85</v>
      </c>
      <c r="BC80" s="7" t="s">
        <v>91</v>
      </c>
      <c r="BD80" s="7" t="s">
        <v>79</v>
      </c>
      <c r="BE80" s="7" t="s">
        <v>300</v>
      </c>
      <c r="BF80" s="7" t="s">
        <v>85</v>
      </c>
      <c r="BG80" s="7" t="s">
        <v>85</v>
      </c>
      <c r="BH80" s="7" t="s">
        <v>85</v>
      </c>
      <c r="BI80" s="7" t="s">
        <v>91</v>
      </c>
      <c r="BJ80" s="7" t="s">
        <v>91</v>
      </c>
      <c r="BK80" s="7" t="s">
        <v>85</v>
      </c>
      <c r="BL80" s="7" t="s">
        <v>85</v>
      </c>
      <c r="BM80" s="7" t="s">
        <v>95</v>
      </c>
      <c r="BN80" s="7" t="s">
        <v>96</v>
      </c>
      <c r="BO80" s="12">
        <v>0</v>
      </c>
      <c r="BP80" s="7" t="s">
        <v>85</v>
      </c>
      <c r="BQ80" s="7" t="s">
        <v>85</v>
      </c>
      <c r="BR80" s="7" t="s">
        <v>91</v>
      </c>
      <c r="BS80" s="7" t="s">
        <v>85</v>
      </c>
      <c r="BT80" s="16" t="s">
        <v>388</v>
      </c>
      <c r="BU80" s="16" t="s">
        <v>461</v>
      </c>
      <c r="BV80" s="16" t="s">
        <v>389</v>
      </c>
      <c r="BW80" s="16" t="s">
        <v>1217</v>
      </c>
      <c r="BX80" s="16" t="s">
        <v>511</v>
      </c>
    </row>
    <row r="81" spans="1:76" s="7" customFormat="1">
      <c r="A81" s="14">
        <v>46153</v>
      </c>
      <c r="B81" s="14">
        <v>46153</v>
      </c>
      <c r="C81" s="15">
        <v>0.41940972222222</v>
      </c>
      <c r="D81" s="16" t="s">
        <v>506</v>
      </c>
      <c r="E81" s="14">
        <v>46153</v>
      </c>
      <c r="F81" s="16" t="s">
        <v>507</v>
      </c>
      <c r="G81" s="16" t="s">
        <v>365</v>
      </c>
      <c r="H81" s="16" t="str">
        <f>VLOOKUP(G81,[1]Sheet3!A:B,2,0)</f>
        <v>ADMD</v>
      </c>
      <c r="I81" s="7" t="s">
        <v>76</v>
      </c>
      <c r="J81" s="7" t="s">
        <v>508</v>
      </c>
      <c r="K81" s="16" t="s">
        <v>509</v>
      </c>
      <c r="L81" s="16" t="s">
        <v>133</v>
      </c>
      <c r="M81" s="17">
        <v>60000</v>
      </c>
      <c r="N81" s="16" t="s">
        <v>79</v>
      </c>
      <c r="O81" s="16" t="s">
        <v>514</v>
      </c>
      <c r="P81" s="16" t="s">
        <v>507</v>
      </c>
      <c r="Q81" s="17">
        <v>60000</v>
      </c>
      <c r="R81" s="7" t="s">
        <v>507</v>
      </c>
      <c r="S81" s="7" t="s">
        <v>122</v>
      </c>
      <c r="T81" s="7" t="s">
        <v>370</v>
      </c>
      <c r="U81" s="12">
        <v>3117984.98</v>
      </c>
      <c r="V81" s="7" t="s">
        <v>85</v>
      </c>
      <c r="W81" s="7" t="s">
        <v>85</v>
      </c>
      <c r="X81" s="7" t="s">
        <v>86</v>
      </c>
      <c r="Y81" s="7" t="s">
        <v>371</v>
      </c>
      <c r="Z81" s="7" t="s">
        <v>372</v>
      </c>
      <c r="AA81" s="7" t="s">
        <v>89</v>
      </c>
      <c r="AB81" s="7" t="s">
        <v>85</v>
      </c>
      <c r="AC81" s="7" t="s">
        <v>98</v>
      </c>
      <c r="AD81" s="7" t="s">
        <v>85</v>
      </c>
      <c r="AE81" s="7" t="s">
        <v>85</v>
      </c>
      <c r="AF81" s="7" t="s">
        <v>91</v>
      </c>
      <c r="AG81" s="7" t="s">
        <v>85</v>
      </c>
      <c r="AH81" s="7" t="s">
        <v>91</v>
      </c>
      <c r="AI81" s="13">
        <v>60000</v>
      </c>
      <c r="AJ81" s="7" t="s">
        <v>79</v>
      </c>
      <c r="AK81" s="7" t="s">
        <v>79</v>
      </c>
      <c r="AL81" s="13">
        <v>60000</v>
      </c>
      <c r="AM81" s="7" t="s">
        <v>371</v>
      </c>
      <c r="AN81" s="7" t="s">
        <v>85</v>
      </c>
      <c r="AO81" s="7" t="s">
        <v>85</v>
      </c>
      <c r="AP81" s="7" t="s">
        <v>118</v>
      </c>
      <c r="AQ81" s="7" t="s">
        <v>85</v>
      </c>
      <c r="AR81" s="7" t="s">
        <v>85</v>
      </c>
      <c r="AS81" s="12">
        <v>0</v>
      </c>
      <c r="AT81" s="12">
        <v>0</v>
      </c>
      <c r="AU81" s="7" t="s">
        <v>91</v>
      </c>
      <c r="AV81" s="7" t="s">
        <v>85</v>
      </c>
      <c r="AW81" s="7" t="s">
        <v>91</v>
      </c>
      <c r="AX81" s="7" t="s">
        <v>91</v>
      </c>
      <c r="AY81" s="7" t="s">
        <v>85</v>
      </c>
      <c r="AZ81" s="7" t="s">
        <v>93</v>
      </c>
      <c r="BA81" s="7" t="s">
        <v>85</v>
      </c>
      <c r="BB81" s="7" t="s">
        <v>85</v>
      </c>
      <c r="BC81" s="7" t="s">
        <v>91</v>
      </c>
      <c r="BD81" s="7" t="s">
        <v>79</v>
      </c>
      <c r="BE81" s="7" t="s">
        <v>300</v>
      </c>
      <c r="BF81" s="7" t="s">
        <v>85</v>
      </c>
      <c r="BG81" s="7" t="s">
        <v>85</v>
      </c>
      <c r="BH81" s="7" t="s">
        <v>85</v>
      </c>
      <c r="BI81" s="7" t="s">
        <v>91</v>
      </c>
      <c r="BJ81" s="7" t="s">
        <v>91</v>
      </c>
      <c r="BK81" s="7" t="s">
        <v>85</v>
      </c>
      <c r="BL81" s="7" t="s">
        <v>85</v>
      </c>
      <c r="BM81" s="7" t="s">
        <v>95</v>
      </c>
      <c r="BN81" s="7" t="s">
        <v>96</v>
      </c>
      <c r="BO81" s="12">
        <v>0</v>
      </c>
      <c r="BP81" s="7" t="s">
        <v>85</v>
      </c>
      <c r="BQ81" s="7" t="s">
        <v>85</v>
      </c>
      <c r="BR81" s="7" t="s">
        <v>91</v>
      </c>
      <c r="BS81" s="7" t="s">
        <v>85</v>
      </c>
      <c r="BT81" s="16" t="s">
        <v>388</v>
      </c>
      <c r="BU81" s="16" t="s">
        <v>461</v>
      </c>
      <c r="BV81" s="16" t="s">
        <v>389</v>
      </c>
      <c r="BW81" s="16" t="s">
        <v>1217</v>
      </c>
      <c r="BX81" s="16" t="s">
        <v>511</v>
      </c>
    </row>
    <row r="82" spans="1:76" s="7" customFormat="1">
      <c r="A82" s="14">
        <v>46153</v>
      </c>
      <c r="B82" s="14">
        <v>46153</v>
      </c>
      <c r="C82" s="15">
        <v>0.43159722222222002</v>
      </c>
      <c r="D82" s="16" t="s">
        <v>515</v>
      </c>
      <c r="E82" s="14">
        <v>46153</v>
      </c>
      <c r="F82" s="16" t="s">
        <v>516</v>
      </c>
      <c r="G82" s="16" t="s">
        <v>365</v>
      </c>
      <c r="H82" s="16" t="str">
        <f>VLOOKUP(G82,[1]Sheet3!A:B,2,0)</f>
        <v>ADMD</v>
      </c>
      <c r="I82" s="7" t="s">
        <v>76</v>
      </c>
      <c r="J82" s="7" t="s">
        <v>517</v>
      </c>
      <c r="K82" s="16" t="s">
        <v>518</v>
      </c>
      <c r="L82" s="16" t="s">
        <v>519</v>
      </c>
      <c r="M82" s="17">
        <v>60000</v>
      </c>
      <c r="N82" s="16" t="s">
        <v>79</v>
      </c>
      <c r="O82" s="16" t="s">
        <v>520</v>
      </c>
      <c r="P82" s="16" t="s">
        <v>516</v>
      </c>
      <c r="Q82" s="17">
        <v>60000</v>
      </c>
      <c r="R82" s="7" t="s">
        <v>516</v>
      </c>
      <c r="S82" s="7" t="s">
        <v>83</v>
      </c>
      <c r="T82" s="7" t="s">
        <v>370</v>
      </c>
      <c r="U82" s="12">
        <v>2677984.14</v>
      </c>
      <c r="V82" s="7" t="s">
        <v>85</v>
      </c>
      <c r="W82" s="7" t="s">
        <v>85</v>
      </c>
      <c r="X82" s="7" t="s">
        <v>86</v>
      </c>
      <c r="Y82" s="7" t="s">
        <v>371</v>
      </c>
      <c r="Z82" s="7" t="s">
        <v>372</v>
      </c>
      <c r="AA82" s="7" t="s">
        <v>89</v>
      </c>
      <c r="AB82" s="7" t="s">
        <v>85</v>
      </c>
      <c r="AC82" s="7" t="s">
        <v>98</v>
      </c>
      <c r="AD82" s="7" t="s">
        <v>85</v>
      </c>
      <c r="AE82" s="7" t="s">
        <v>85</v>
      </c>
      <c r="AF82" s="7" t="s">
        <v>91</v>
      </c>
      <c r="AG82" s="7" t="s">
        <v>85</v>
      </c>
      <c r="AH82" s="7" t="s">
        <v>91</v>
      </c>
      <c r="AI82" s="13">
        <v>60000</v>
      </c>
      <c r="AJ82" s="7" t="s">
        <v>79</v>
      </c>
      <c r="AK82" s="7" t="s">
        <v>79</v>
      </c>
      <c r="AL82" s="13">
        <v>60000</v>
      </c>
      <c r="AM82" s="7" t="s">
        <v>371</v>
      </c>
      <c r="AN82" s="7" t="s">
        <v>85</v>
      </c>
      <c r="AO82" s="7" t="s">
        <v>85</v>
      </c>
      <c r="AP82" s="7" t="s">
        <v>118</v>
      </c>
      <c r="AQ82" s="7" t="s">
        <v>85</v>
      </c>
      <c r="AR82" s="7" t="s">
        <v>85</v>
      </c>
      <c r="AS82" s="12">
        <v>0</v>
      </c>
      <c r="AT82" s="12">
        <v>0</v>
      </c>
      <c r="AU82" s="7" t="s">
        <v>91</v>
      </c>
      <c r="AV82" s="7" t="s">
        <v>85</v>
      </c>
      <c r="AW82" s="7" t="s">
        <v>91</v>
      </c>
      <c r="AX82" s="7" t="s">
        <v>91</v>
      </c>
      <c r="AY82" s="7" t="s">
        <v>85</v>
      </c>
      <c r="AZ82" s="7" t="s">
        <v>93</v>
      </c>
      <c r="BA82" s="7" t="s">
        <v>85</v>
      </c>
      <c r="BB82" s="7" t="s">
        <v>85</v>
      </c>
      <c r="BC82" s="7" t="s">
        <v>91</v>
      </c>
      <c r="BD82" s="7" t="s">
        <v>79</v>
      </c>
      <c r="BE82" s="7" t="s">
        <v>300</v>
      </c>
      <c r="BF82" s="7" t="s">
        <v>85</v>
      </c>
      <c r="BG82" s="7" t="s">
        <v>85</v>
      </c>
      <c r="BH82" s="7" t="s">
        <v>85</v>
      </c>
      <c r="BI82" s="7" t="s">
        <v>91</v>
      </c>
      <c r="BJ82" s="7" t="s">
        <v>91</v>
      </c>
      <c r="BK82" s="7" t="s">
        <v>85</v>
      </c>
      <c r="BL82" s="7" t="s">
        <v>85</v>
      </c>
      <c r="BM82" s="7" t="s">
        <v>95</v>
      </c>
      <c r="BN82" s="7" t="s">
        <v>96</v>
      </c>
      <c r="BO82" s="12">
        <v>0</v>
      </c>
      <c r="BP82" s="7" t="s">
        <v>85</v>
      </c>
      <c r="BQ82" s="7" t="s">
        <v>85</v>
      </c>
      <c r="BR82" s="7" t="s">
        <v>91</v>
      </c>
      <c r="BS82" s="7" t="s">
        <v>85</v>
      </c>
      <c r="BT82" s="16" t="s">
        <v>388</v>
      </c>
      <c r="BU82" s="16" t="s">
        <v>461</v>
      </c>
      <c r="BV82" s="16" t="s">
        <v>389</v>
      </c>
      <c r="BW82" s="16" t="s">
        <v>1217</v>
      </c>
      <c r="BX82" s="16" t="s">
        <v>511</v>
      </c>
    </row>
    <row r="83" spans="1:76" s="7" customFormat="1">
      <c r="A83" s="14">
        <v>46153</v>
      </c>
      <c r="B83" s="14">
        <v>46153</v>
      </c>
      <c r="C83" s="15">
        <v>0.43159722222222002</v>
      </c>
      <c r="D83" s="16" t="s">
        <v>363</v>
      </c>
      <c r="E83" s="14">
        <v>46153</v>
      </c>
      <c r="F83" s="16" t="s">
        <v>516</v>
      </c>
      <c r="G83" s="16" t="s">
        <v>365</v>
      </c>
      <c r="H83" s="16" t="str">
        <f>VLOOKUP(G83,[1]Sheet3!A:B,2,0)</f>
        <v>ADMD</v>
      </c>
      <c r="I83" s="7" t="s">
        <v>76</v>
      </c>
      <c r="J83" s="7" t="s">
        <v>517</v>
      </c>
      <c r="K83" s="16" t="s">
        <v>367</v>
      </c>
      <c r="L83" s="16" t="s">
        <v>368</v>
      </c>
      <c r="M83" s="17">
        <v>155000</v>
      </c>
      <c r="N83" s="16" t="s">
        <v>79</v>
      </c>
      <c r="O83" s="16" t="s">
        <v>521</v>
      </c>
      <c r="P83" s="16" t="s">
        <v>516</v>
      </c>
      <c r="Q83" s="17">
        <v>155000</v>
      </c>
      <c r="R83" s="7" t="s">
        <v>516</v>
      </c>
      <c r="S83" s="7" t="s">
        <v>83</v>
      </c>
      <c r="T83" s="7" t="s">
        <v>370</v>
      </c>
      <c r="U83" s="12">
        <v>6698498.0199999996</v>
      </c>
      <c r="V83" s="7" t="s">
        <v>85</v>
      </c>
      <c r="W83" s="7" t="s">
        <v>85</v>
      </c>
      <c r="X83" s="7" t="s">
        <v>86</v>
      </c>
      <c r="Y83" s="7" t="s">
        <v>371</v>
      </c>
      <c r="Z83" s="7" t="s">
        <v>372</v>
      </c>
      <c r="AA83" s="7" t="s">
        <v>89</v>
      </c>
      <c r="AB83" s="7" t="s">
        <v>85</v>
      </c>
      <c r="AC83" s="7" t="s">
        <v>90</v>
      </c>
      <c r="AD83" s="7" t="s">
        <v>85</v>
      </c>
      <c r="AE83" s="7" t="s">
        <v>85</v>
      </c>
      <c r="AF83" s="7" t="s">
        <v>91</v>
      </c>
      <c r="AG83" s="7" t="s">
        <v>85</v>
      </c>
      <c r="AH83" s="7" t="s">
        <v>91</v>
      </c>
      <c r="AI83" s="13">
        <v>155000</v>
      </c>
      <c r="AJ83" s="7" t="s">
        <v>79</v>
      </c>
      <c r="AK83" s="7" t="s">
        <v>79</v>
      </c>
      <c r="AL83" s="13">
        <v>155000</v>
      </c>
      <c r="AM83" s="7" t="s">
        <v>371</v>
      </c>
      <c r="AN83" s="7" t="s">
        <v>85</v>
      </c>
      <c r="AO83" s="7" t="s">
        <v>85</v>
      </c>
      <c r="AP83" s="7" t="s">
        <v>107</v>
      </c>
      <c r="AQ83" s="7" t="s">
        <v>85</v>
      </c>
      <c r="AR83" s="7" t="s">
        <v>85</v>
      </c>
      <c r="AS83" s="12">
        <v>0</v>
      </c>
      <c r="AT83" s="12">
        <v>0</v>
      </c>
      <c r="AU83" s="7" t="s">
        <v>91</v>
      </c>
      <c r="AV83" s="7" t="s">
        <v>85</v>
      </c>
      <c r="AW83" s="7" t="s">
        <v>91</v>
      </c>
      <c r="AX83" s="7" t="s">
        <v>91</v>
      </c>
      <c r="AY83" s="7" t="s">
        <v>85</v>
      </c>
      <c r="AZ83" s="7" t="s">
        <v>93</v>
      </c>
      <c r="BA83" s="7" t="s">
        <v>85</v>
      </c>
      <c r="BB83" s="7" t="s">
        <v>85</v>
      </c>
      <c r="BC83" s="7" t="s">
        <v>91</v>
      </c>
      <c r="BD83" s="7" t="s">
        <v>79</v>
      </c>
      <c r="BE83" s="7" t="s">
        <v>300</v>
      </c>
      <c r="BF83" s="7" t="s">
        <v>85</v>
      </c>
      <c r="BG83" s="7" t="s">
        <v>85</v>
      </c>
      <c r="BH83" s="7" t="s">
        <v>85</v>
      </c>
      <c r="BI83" s="7" t="s">
        <v>91</v>
      </c>
      <c r="BJ83" s="7" t="s">
        <v>91</v>
      </c>
      <c r="BK83" s="7" t="s">
        <v>85</v>
      </c>
      <c r="BL83" s="7" t="s">
        <v>85</v>
      </c>
      <c r="BM83" s="7" t="s">
        <v>95</v>
      </c>
      <c r="BN83" s="7" t="s">
        <v>96</v>
      </c>
      <c r="BO83" s="12">
        <v>0</v>
      </c>
      <c r="BP83" s="7" t="s">
        <v>85</v>
      </c>
      <c r="BQ83" s="7" t="s">
        <v>85</v>
      </c>
      <c r="BR83" s="7" t="s">
        <v>91</v>
      </c>
      <c r="BS83" s="7" t="s">
        <v>85</v>
      </c>
      <c r="BT83" s="16" t="s">
        <v>388</v>
      </c>
      <c r="BU83" s="16" t="s">
        <v>461</v>
      </c>
      <c r="BV83" s="16" t="s">
        <v>389</v>
      </c>
      <c r="BW83" s="16" t="s">
        <v>1217</v>
      </c>
      <c r="BX83" s="16" t="s">
        <v>511</v>
      </c>
    </row>
    <row r="84" spans="1:76" s="7" customFormat="1">
      <c r="A84" s="14">
        <v>46153</v>
      </c>
      <c r="B84" s="14">
        <v>46153</v>
      </c>
      <c r="C84" s="15">
        <v>0.43159722222222002</v>
      </c>
      <c r="D84" s="16" t="s">
        <v>363</v>
      </c>
      <c r="E84" s="14">
        <v>46153</v>
      </c>
      <c r="F84" s="16" t="s">
        <v>516</v>
      </c>
      <c r="G84" s="16" t="s">
        <v>365</v>
      </c>
      <c r="H84" s="16" t="str">
        <f>VLOOKUP(G84,[1]Sheet3!A:B,2,0)</f>
        <v>ADMD</v>
      </c>
      <c r="I84" s="7" t="s">
        <v>76</v>
      </c>
      <c r="J84" s="7" t="s">
        <v>517</v>
      </c>
      <c r="K84" s="16" t="s">
        <v>367</v>
      </c>
      <c r="L84" s="16" t="s">
        <v>368</v>
      </c>
      <c r="M84" s="17">
        <v>25000</v>
      </c>
      <c r="N84" s="16" t="s">
        <v>79</v>
      </c>
      <c r="O84" s="16" t="s">
        <v>522</v>
      </c>
      <c r="P84" s="16" t="s">
        <v>516</v>
      </c>
      <c r="Q84" s="17">
        <v>25000</v>
      </c>
      <c r="R84" s="7" t="s">
        <v>516</v>
      </c>
      <c r="S84" s="7" t="s">
        <v>83</v>
      </c>
      <c r="T84" s="7" t="s">
        <v>370</v>
      </c>
      <c r="U84" s="12">
        <v>1080402.92</v>
      </c>
      <c r="V84" s="7" t="s">
        <v>85</v>
      </c>
      <c r="W84" s="7" t="s">
        <v>85</v>
      </c>
      <c r="X84" s="7" t="s">
        <v>86</v>
      </c>
      <c r="Y84" s="7" t="s">
        <v>371</v>
      </c>
      <c r="Z84" s="7" t="s">
        <v>372</v>
      </c>
      <c r="AA84" s="7" t="s">
        <v>89</v>
      </c>
      <c r="AB84" s="7" t="s">
        <v>85</v>
      </c>
      <c r="AC84" s="7" t="s">
        <v>112</v>
      </c>
      <c r="AD84" s="7" t="s">
        <v>85</v>
      </c>
      <c r="AE84" s="7" t="s">
        <v>85</v>
      </c>
      <c r="AF84" s="7" t="s">
        <v>91</v>
      </c>
      <c r="AG84" s="7" t="s">
        <v>85</v>
      </c>
      <c r="AH84" s="7" t="s">
        <v>91</v>
      </c>
      <c r="AI84" s="13">
        <v>25000</v>
      </c>
      <c r="AJ84" s="7" t="s">
        <v>79</v>
      </c>
      <c r="AK84" s="7" t="s">
        <v>79</v>
      </c>
      <c r="AL84" s="13">
        <v>25000</v>
      </c>
      <c r="AM84" s="7" t="s">
        <v>371</v>
      </c>
      <c r="AN84" s="7" t="s">
        <v>85</v>
      </c>
      <c r="AO84" s="7" t="s">
        <v>85</v>
      </c>
      <c r="AP84" s="7" t="s">
        <v>107</v>
      </c>
      <c r="AQ84" s="7" t="s">
        <v>85</v>
      </c>
      <c r="AR84" s="7" t="s">
        <v>85</v>
      </c>
      <c r="AS84" s="12">
        <v>0</v>
      </c>
      <c r="AT84" s="12">
        <v>0</v>
      </c>
      <c r="AU84" s="7" t="s">
        <v>91</v>
      </c>
      <c r="AV84" s="7" t="s">
        <v>85</v>
      </c>
      <c r="AW84" s="7" t="s">
        <v>91</v>
      </c>
      <c r="AX84" s="7" t="s">
        <v>91</v>
      </c>
      <c r="AY84" s="7" t="s">
        <v>85</v>
      </c>
      <c r="AZ84" s="7" t="s">
        <v>93</v>
      </c>
      <c r="BA84" s="7" t="s">
        <v>85</v>
      </c>
      <c r="BB84" s="7" t="s">
        <v>85</v>
      </c>
      <c r="BC84" s="7" t="s">
        <v>91</v>
      </c>
      <c r="BD84" s="7" t="s">
        <v>79</v>
      </c>
      <c r="BE84" s="7" t="s">
        <v>300</v>
      </c>
      <c r="BF84" s="7" t="s">
        <v>85</v>
      </c>
      <c r="BG84" s="7" t="s">
        <v>85</v>
      </c>
      <c r="BH84" s="7" t="s">
        <v>85</v>
      </c>
      <c r="BI84" s="7" t="s">
        <v>91</v>
      </c>
      <c r="BJ84" s="7" t="s">
        <v>91</v>
      </c>
      <c r="BK84" s="7" t="s">
        <v>85</v>
      </c>
      <c r="BL84" s="7" t="s">
        <v>85</v>
      </c>
      <c r="BM84" s="7" t="s">
        <v>95</v>
      </c>
      <c r="BN84" s="7" t="s">
        <v>96</v>
      </c>
      <c r="BO84" s="12">
        <v>0</v>
      </c>
      <c r="BP84" s="7" t="s">
        <v>85</v>
      </c>
      <c r="BQ84" s="7" t="s">
        <v>85</v>
      </c>
      <c r="BR84" s="7" t="s">
        <v>91</v>
      </c>
      <c r="BS84" s="7" t="s">
        <v>85</v>
      </c>
      <c r="BT84" s="16" t="s">
        <v>388</v>
      </c>
      <c r="BU84" s="16" t="s">
        <v>461</v>
      </c>
      <c r="BV84" s="16" t="s">
        <v>389</v>
      </c>
      <c r="BW84" s="16" t="s">
        <v>1217</v>
      </c>
      <c r="BX84" s="16" t="s">
        <v>511</v>
      </c>
    </row>
    <row r="85" spans="1:76" s="7" customFormat="1">
      <c r="A85" s="14">
        <v>46153</v>
      </c>
      <c r="B85" s="14">
        <v>46153</v>
      </c>
      <c r="C85" s="15">
        <v>0.43398148148148002</v>
      </c>
      <c r="D85" s="16" t="s">
        <v>376</v>
      </c>
      <c r="E85" s="14">
        <v>46153</v>
      </c>
      <c r="F85" s="16" t="s">
        <v>516</v>
      </c>
      <c r="G85" s="16" t="s">
        <v>365</v>
      </c>
      <c r="H85" s="16" t="str">
        <f>VLOOKUP(G85,[1]Sheet3!A:B,2,0)</f>
        <v>ADMD</v>
      </c>
      <c r="I85" s="7" t="s">
        <v>76</v>
      </c>
      <c r="J85" s="7" t="s">
        <v>523</v>
      </c>
      <c r="K85" s="16" t="s">
        <v>377</v>
      </c>
      <c r="L85" s="16" t="s">
        <v>125</v>
      </c>
      <c r="M85" s="17">
        <v>30000</v>
      </c>
      <c r="N85" s="16" t="s">
        <v>79</v>
      </c>
      <c r="O85" s="16" t="s">
        <v>524</v>
      </c>
      <c r="P85" s="16" t="s">
        <v>516</v>
      </c>
      <c r="Q85" s="17">
        <v>30000</v>
      </c>
      <c r="R85" s="7" t="s">
        <v>516</v>
      </c>
      <c r="S85" s="7" t="s">
        <v>83</v>
      </c>
      <c r="T85" s="7" t="s">
        <v>370</v>
      </c>
      <c r="U85" s="12">
        <v>1286481.46</v>
      </c>
      <c r="V85" s="7" t="s">
        <v>85</v>
      </c>
      <c r="W85" s="7" t="s">
        <v>85</v>
      </c>
      <c r="X85" s="7" t="s">
        <v>86</v>
      </c>
      <c r="Y85" s="7" t="s">
        <v>371</v>
      </c>
      <c r="Z85" s="7" t="s">
        <v>372</v>
      </c>
      <c r="AA85" s="7" t="s">
        <v>89</v>
      </c>
      <c r="AB85" s="7" t="s">
        <v>85</v>
      </c>
      <c r="AC85" s="7" t="s">
        <v>112</v>
      </c>
      <c r="AD85" s="7" t="s">
        <v>85</v>
      </c>
      <c r="AE85" s="7" t="s">
        <v>85</v>
      </c>
      <c r="AF85" s="7" t="s">
        <v>91</v>
      </c>
      <c r="AG85" s="7" t="s">
        <v>85</v>
      </c>
      <c r="AH85" s="7" t="s">
        <v>91</v>
      </c>
      <c r="AI85" s="13">
        <v>30000</v>
      </c>
      <c r="AJ85" s="7" t="s">
        <v>79</v>
      </c>
      <c r="AK85" s="7" t="s">
        <v>79</v>
      </c>
      <c r="AL85" s="13">
        <v>30000</v>
      </c>
      <c r="AM85" s="7" t="s">
        <v>371</v>
      </c>
      <c r="AN85" s="7" t="s">
        <v>85</v>
      </c>
      <c r="AO85" s="7" t="s">
        <v>85</v>
      </c>
      <c r="AP85" s="7" t="s">
        <v>92</v>
      </c>
      <c r="AQ85" s="7" t="s">
        <v>85</v>
      </c>
      <c r="AR85" s="7" t="s">
        <v>85</v>
      </c>
      <c r="AS85" s="12">
        <v>0</v>
      </c>
      <c r="AT85" s="12">
        <v>0</v>
      </c>
      <c r="AU85" s="7" t="s">
        <v>91</v>
      </c>
      <c r="AV85" s="7" t="s">
        <v>85</v>
      </c>
      <c r="AW85" s="7" t="s">
        <v>91</v>
      </c>
      <c r="AX85" s="7" t="s">
        <v>91</v>
      </c>
      <c r="AY85" s="7" t="s">
        <v>85</v>
      </c>
      <c r="AZ85" s="7" t="s">
        <v>93</v>
      </c>
      <c r="BA85" s="7" t="s">
        <v>85</v>
      </c>
      <c r="BB85" s="7" t="s">
        <v>85</v>
      </c>
      <c r="BC85" s="7" t="s">
        <v>91</v>
      </c>
      <c r="BD85" s="7" t="s">
        <v>79</v>
      </c>
      <c r="BE85" s="7" t="s">
        <v>300</v>
      </c>
      <c r="BF85" s="7" t="s">
        <v>85</v>
      </c>
      <c r="BG85" s="7" t="s">
        <v>85</v>
      </c>
      <c r="BH85" s="7" t="s">
        <v>85</v>
      </c>
      <c r="BI85" s="7" t="s">
        <v>91</v>
      </c>
      <c r="BJ85" s="7" t="s">
        <v>91</v>
      </c>
      <c r="BK85" s="7" t="s">
        <v>85</v>
      </c>
      <c r="BL85" s="7" t="s">
        <v>85</v>
      </c>
      <c r="BM85" s="7" t="s">
        <v>95</v>
      </c>
      <c r="BN85" s="7" t="s">
        <v>96</v>
      </c>
      <c r="BO85" s="12">
        <v>0</v>
      </c>
      <c r="BP85" s="7" t="s">
        <v>85</v>
      </c>
      <c r="BQ85" s="7" t="s">
        <v>85</v>
      </c>
      <c r="BR85" s="7" t="s">
        <v>91</v>
      </c>
      <c r="BS85" s="7" t="s">
        <v>85</v>
      </c>
      <c r="BT85" s="16" t="s">
        <v>388</v>
      </c>
      <c r="BU85" s="16" t="s">
        <v>461</v>
      </c>
      <c r="BV85" s="16" t="s">
        <v>389</v>
      </c>
      <c r="BW85" s="16" t="s">
        <v>1217</v>
      </c>
      <c r="BX85" s="16" t="s">
        <v>511</v>
      </c>
    </row>
    <row r="86" spans="1:76" s="7" customFormat="1">
      <c r="A86" s="14">
        <v>46153</v>
      </c>
      <c r="B86" s="14">
        <v>46153</v>
      </c>
      <c r="C86" s="15">
        <v>0.43398148148148002</v>
      </c>
      <c r="D86" s="16" t="s">
        <v>376</v>
      </c>
      <c r="E86" s="14">
        <v>46153</v>
      </c>
      <c r="F86" s="16" t="s">
        <v>516</v>
      </c>
      <c r="G86" s="16" t="s">
        <v>365</v>
      </c>
      <c r="H86" s="16" t="str">
        <f>VLOOKUP(G86,[1]Sheet3!A:B,2,0)</f>
        <v>ADMD</v>
      </c>
      <c r="I86" s="7" t="s">
        <v>76</v>
      </c>
      <c r="J86" s="7" t="s">
        <v>523</v>
      </c>
      <c r="K86" s="16" t="s">
        <v>377</v>
      </c>
      <c r="L86" s="16" t="s">
        <v>125</v>
      </c>
      <c r="M86" s="17">
        <v>155000</v>
      </c>
      <c r="N86" s="16" t="s">
        <v>79</v>
      </c>
      <c r="O86" s="16" t="s">
        <v>525</v>
      </c>
      <c r="P86" s="16" t="s">
        <v>516</v>
      </c>
      <c r="Q86" s="17">
        <v>155000</v>
      </c>
      <c r="R86" s="7" t="s">
        <v>516</v>
      </c>
      <c r="S86" s="7" t="s">
        <v>83</v>
      </c>
      <c r="T86" s="7" t="s">
        <v>370</v>
      </c>
      <c r="U86" s="12">
        <v>6646820.9400000004</v>
      </c>
      <c r="V86" s="7" t="s">
        <v>85</v>
      </c>
      <c r="W86" s="7" t="s">
        <v>85</v>
      </c>
      <c r="X86" s="7" t="s">
        <v>86</v>
      </c>
      <c r="Y86" s="7" t="s">
        <v>371</v>
      </c>
      <c r="Z86" s="7" t="s">
        <v>372</v>
      </c>
      <c r="AA86" s="7" t="s">
        <v>89</v>
      </c>
      <c r="AB86" s="7" t="s">
        <v>85</v>
      </c>
      <c r="AC86" s="7" t="s">
        <v>90</v>
      </c>
      <c r="AD86" s="7" t="s">
        <v>85</v>
      </c>
      <c r="AE86" s="7" t="s">
        <v>85</v>
      </c>
      <c r="AF86" s="7" t="s">
        <v>91</v>
      </c>
      <c r="AG86" s="7" t="s">
        <v>85</v>
      </c>
      <c r="AH86" s="7" t="s">
        <v>91</v>
      </c>
      <c r="AI86" s="13">
        <v>155000</v>
      </c>
      <c r="AJ86" s="7" t="s">
        <v>79</v>
      </c>
      <c r="AK86" s="7" t="s">
        <v>79</v>
      </c>
      <c r="AL86" s="13">
        <v>155000</v>
      </c>
      <c r="AM86" s="7" t="s">
        <v>371</v>
      </c>
      <c r="AN86" s="7" t="s">
        <v>85</v>
      </c>
      <c r="AO86" s="7" t="s">
        <v>85</v>
      </c>
      <c r="AP86" s="7" t="s">
        <v>92</v>
      </c>
      <c r="AQ86" s="7" t="s">
        <v>85</v>
      </c>
      <c r="AR86" s="7" t="s">
        <v>85</v>
      </c>
      <c r="AS86" s="12">
        <v>0</v>
      </c>
      <c r="AT86" s="12">
        <v>0</v>
      </c>
      <c r="AU86" s="7" t="s">
        <v>91</v>
      </c>
      <c r="AV86" s="7" t="s">
        <v>85</v>
      </c>
      <c r="AW86" s="7" t="s">
        <v>91</v>
      </c>
      <c r="AX86" s="7" t="s">
        <v>91</v>
      </c>
      <c r="AY86" s="7" t="s">
        <v>85</v>
      </c>
      <c r="AZ86" s="7" t="s">
        <v>93</v>
      </c>
      <c r="BA86" s="7" t="s">
        <v>85</v>
      </c>
      <c r="BB86" s="7" t="s">
        <v>85</v>
      </c>
      <c r="BC86" s="7" t="s">
        <v>91</v>
      </c>
      <c r="BD86" s="7" t="s">
        <v>79</v>
      </c>
      <c r="BE86" s="7" t="s">
        <v>300</v>
      </c>
      <c r="BF86" s="7" t="s">
        <v>85</v>
      </c>
      <c r="BG86" s="7" t="s">
        <v>85</v>
      </c>
      <c r="BH86" s="7" t="s">
        <v>85</v>
      </c>
      <c r="BI86" s="7" t="s">
        <v>91</v>
      </c>
      <c r="BJ86" s="7" t="s">
        <v>91</v>
      </c>
      <c r="BK86" s="7" t="s">
        <v>85</v>
      </c>
      <c r="BL86" s="7" t="s">
        <v>85</v>
      </c>
      <c r="BM86" s="7" t="s">
        <v>95</v>
      </c>
      <c r="BN86" s="7" t="s">
        <v>96</v>
      </c>
      <c r="BO86" s="12">
        <v>0</v>
      </c>
      <c r="BP86" s="7" t="s">
        <v>85</v>
      </c>
      <c r="BQ86" s="7" t="s">
        <v>85</v>
      </c>
      <c r="BR86" s="7" t="s">
        <v>91</v>
      </c>
      <c r="BS86" s="7" t="s">
        <v>85</v>
      </c>
      <c r="BT86" s="16" t="s">
        <v>388</v>
      </c>
      <c r="BU86" s="16" t="s">
        <v>461</v>
      </c>
      <c r="BV86" s="16" t="s">
        <v>389</v>
      </c>
      <c r="BW86" s="16" t="s">
        <v>1217</v>
      </c>
      <c r="BX86" s="16" t="s">
        <v>511</v>
      </c>
    </row>
    <row r="87" spans="1:76" s="7" customFormat="1">
      <c r="A87" s="14">
        <v>46153</v>
      </c>
      <c r="B87" s="14">
        <v>46153</v>
      </c>
      <c r="C87" s="15">
        <v>0.43398148148148002</v>
      </c>
      <c r="D87" s="16" t="s">
        <v>376</v>
      </c>
      <c r="E87" s="14">
        <v>46153</v>
      </c>
      <c r="F87" s="16" t="s">
        <v>516</v>
      </c>
      <c r="G87" s="16" t="s">
        <v>365</v>
      </c>
      <c r="H87" s="16" t="str">
        <f>VLOOKUP(G87,[1]Sheet3!A:B,2,0)</f>
        <v>ADMD</v>
      </c>
      <c r="I87" s="7" t="s">
        <v>76</v>
      </c>
      <c r="J87" s="7" t="s">
        <v>523</v>
      </c>
      <c r="K87" s="16" t="s">
        <v>377</v>
      </c>
      <c r="L87" s="16" t="s">
        <v>125</v>
      </c>
      <c r="M87" s="17">
        <v>155000</v>
      </c>
      <c r="N87" s="16" t="s">
        <v>79</v>
      </c>
      <c r="O87" s="16" t="s">
        <v>526</v>
      </c>
      <c r="P87" s="16" t="s">
        <v>516</v>
      </c>
      <c r="Q87" s="17">
        <v>155000</v>
      </c>
      <c r="R87" s="7" t="s">
        <v>516</v>
      </c>
      <c r="S87" s="7" t="s">
        <v>83</v>
      </c>
      <c r="T87" s="7" t="s">
        <v>370</v>
      </c>
      <c r="U87" s="12">
        <v>6646820.9400000004</v>
      </c>
      <c r="V87" s="7" t="s">
        <v>85</v>
      </c>
      <c r="W87" s="7" t="s">
        <v>85</v>
      </c>
      <c r="X87" s="7" t="s">
        <v>86</v>
      </c>
      <c r="Y87" s="7" t="s">
        <v>371</v>
      </c>
      <c r="Z87" s="7" t="s">
        <v>372</v>
      </c>
      <c r="AA87" s="7" t="s">
        <v>89</v>
      </c>
      <c r="AB87" s="7" t="s">
        <v>85</v>
      </c>
      <c r="AC87" s="7" t="s">
        <v>98</v>
      </c>
      <c r="AD87" s="7" t="s">
        <v>85</v>
      </c>
      <c r="AE87" s="7" t="s">
        <v>85</v>
      </c>
      <c r="AF87" s="7" t="s">
        <v>91</v>
      </c>
      <c r="AG87" s="7" t="s">
        <v>85</v>
      </c>
      <c r="AH87" s="7" t="s">
        <v>91</v>
      </c>
      <c r="AI87" s="13">
        <v>155000</v>
      </c>
      <c r="AJ87" s="7" t="s">
        <v>79</v>
      </c>
      <c r="AK87" s="7" t="s">
        <v>79</v>
      </c>
      <c r="AL87" s="13">
        <v>155000</v>
      </c>
      <c r="AM87" s="7" t="s">
        <v>371</v>
      </c>
      <c r="AN87" s="7" t="s">
        <v>85</v>
      </c>
      <c r="AO87" s="7" t="s">
        <v>85</v>
      </c>
      <c r="AP87" s="7" t="s">
        <v>92</v>
      </c>
      <c r="AQ87" s="7" t="s">
        <v>85</v>
      </c>
      <c r="AR87" s="7" t="s">
        <v>85</v>
      </c>
      <c r="AS87" s="12">
        <v>0</v>
      </c>
      <c r="AT87" s="12">
        <v>0</v>
      </c>
      <c r="AU87" s="7" t="s">
        <v>91</v>
      </c>
      <c r="AV87" s="7" t="s">
        <v>85</v>
      </c>
      <c r="AW87" s="7" t="s">
        <v>91</v>
      </c>
      <c r="AX87" s="7" t="s">
        <v>91</v>
      </c>
      <c r="AY87" s="7" t="s">
        <v>85</v>
      </c>
      <c r="AZ87" s="7" t="s">
        <v>93</v>
      </c>
      <c r="BA87" s="7" t="s">
        <v>85</v>
      </c>
      <c r="BB87" s="7" t="s">
        <v>85</v>
      </c>
      <c r="BC87" s="7" t="s">
        <v>91</v>
      </c>
      <c r="BD87" s="7" t="s">
        <v>79</v>
      </c>
      <c r="BE87" s="7" t="s">
        <v>300</v>
      </c>
      <c r="BF87" s="7" t="s">
        <v>85</v>
      </c>
      <c r="BG87" s="7" t="s">
        <v>85</v>
      </c>
      <c r="BH87" s="7" t="s">
        <v>85</v>
      </c>
      <c r="BI87" s="7" t="s">
        <v>91</v>
      </c>
      <c r="BJ87" s="7" t="s">
        <v>91</v>
      </c>
      <c r="BK87" s="7" t="s">
        <v>85</v>
      </c>
      <c r="BL87" s="7" t="s">
        <v>85</v>
      </c>
      <c r="BM87" s="7" t="s">
        <v>95</v>
      </c>
      <c r="BN87" s="7" t="s">
        <v>96</v>
      </c>
      <c r="BO87" s="12">
        <v>0</v>
      </c>
      <c r="BP87" s="7" t="s">
        <v>85</v>
      </c>
      <c r="BQ87" s="7" t="s">
        <v>85</v>
      </c>
      <c r="BR87" s="7" t="s">
        <v>91</v>
      </c>
      <c r="BS87" s="7" t="s">
        <v>85</v>
      </c>
      <c r="BT87" s="16" t="s">
        <v>388</v>
      </c>
      <c r="BU87" s="16" t="s">
        <v>461</v>
      </c>
      <c r="BV87" s="16" t="s">
        <v>389</v>
      </c>
      <c r="BW87" s="16" t="s">
        <v>1217</v>
      </c>
      <c r="BX87" s="16" t="s">
        <v>511</v>
      </c>
    </row>
    <row r="88" spans="1:76" s="7" customFormat="1">
      <c r="A88" s="14">
        <v>46153</v>
      </c>
      <c r="B88" s="14">
        <v>46153</v>
      </c>
      <c r="C88" s="15">
        <v>0.43398148148148002</v>
      </c>
      <c r="D88" s="16" t="s">
        <v>506</v>
      </c>
      <c r="E88" s="14">
        <v>46153</v>
      </c>
      <c r="F88" s="16" t="s">
        <v>516</v>
      </c>
      <c r="G88" s="16" t="s">
        <v>365</v>
      </c>
      <c r="H88" s="16" t="str">
        <f>VLOOKUP(G88,[1]Sheet3!A:B,2,0)</f>
        <v>ADMD</v>
      </c>
      <c r="I88" s="7" t="s">
        <v>76</v>
      </c>
      <c r="J88" s="7" t="s">
        <v>523</v>
      </c>
      <c r="K88" s="16" t="s">
        <v>509</v>
      </c>
      <c r="L88" s="16" t="s">
        <v>133</v>
      </c>
      <c r="M88" s="17">
        <v>155000</v>
      </c>
      <c r="N88" s="16" t="s">
        <v>79</v>
      </c>
      <c r="O88" s="16" t="s">
        <v>527</v>
      </c>
      <c r="P88" s="16" t="s">
        <v>516</v>
      </c>
      <c r="Q88" s="17">
        <v>155000</v>
      </c>
      <c r="R88" s="7" t="s">
        <v>516</v>
      </c>
      <c r="S88" s="7" t="s">
        <v>83</v>
      </c>
      <c r="T88" s="7" t="s">
        <v>370</v>
      </c>
      <c r="U88" s="12">
        <v>8578468.6600000001</v>
      </c>
      <c r="V88" s="7" t="s">
        <v>85</v>
      </c>
      <c r="W88" s="7" t="s">
        <v>85</v>
      </c>
      <c r="X88" s="7" t="s">
        <v>86</v>
      </c>
      <c r="Y88" s="7" t="s">
        <v>371</v>
      </c>
      <c r="Z88" s="7" t="s">
        <v>372</v>
      </c>
      <c r="AA88" s="7" t="s">
        <v>89</v>
      </c>
      <c r="AB88" s="7" t="s">
        <v>85</v>
      </c>
      <c r="AC88" s="7" t="s">
        <v>134</v>
      </c>
      <c r="AD88" s="7" t="s">
        <v>85</v>
      </c>
      <c r="AE88" s="7" t="s">
        <v>85</v>
      </c>
      <c r="AF88" s="7" t="s">
        <v>91</v>
      </c>
      <c r="AG88" s="7" t="s">
        <v>85</v>
      </c>
      <c r="AH88" s="7" t="s">
        <v>91</v>
      </c>
      <c r="AI88" s="13">
        <v>155000</v>
      </c>
      <c r="AJ88" s="7" t="s">
        <v>79</v>
      </c>
      <c r="AK88" s="7" t="s">
        <v>79</v>
      </c>
      <c r="AL88" s="13">
        <v>155000</v>
      </c>
      <c r="AM88" s="7" t="s">
        <v>371</v>
      </c>
      <c r="AN88" s="7" t="s">
        <v>85</v>
      </c>
      <c r="AO88" s="7" t="s">
        <v>85</v>
      </c>
      <c r="AP88" s="7" t="s">
        <v>135</v>
      </c>
      <c r="AQ88" s="7" t="s">
        <v>85</v>
      </c>
      <c r="AR88" s="7" t="s">
        <v>85</v>
      </c>
      <c r="AS88" s="12">
        <v>0</v>
      </c>
      <c r="AT88" s="12">
        <v>0</v>
      </c>
      <c r="AU88" s="7" t="s">
        <v>91</v>
      </c>
      <c r="AV88" s="7" t="s">
        <v>85</v>
      </c>
      <c r="AW88" s="7" t="s">
        <v>91</v>
      </c>
      <c r="AX88" s="7" t="s">
        <v>91</v>
      </c>
      <c r="AY88" s="7" t="s">
        <v>85</v>
      </c>
      <c r="AZ88" s="7" t="s">
        <v>93</v>
      </c>
      <c r="BA88" s="7" t="s">
        <v>85</v>
      </c>
      <c r="BB88" s="7" t="s">
        <v>85</v>
      </c>
      <c r="BC88" s="7" t="s">
        <v>91</v>
      </c>
      <c r="BD88" s="7" t="s">
        <v>79</v>
      </c>
      <c r="BE88" s="7" t="s">
        <v>300</v>
      </c>
      <c r="BF88" s="7" t="s">
        <v>85</v>
      </c>
      <c r="BG88" s="7" t="s">
        <v>85</v>
      </c>
      <c r="BH88" s="7" t="s">
        <v>85</v>
      </c>
      <c r="BI88" s="7" t="s">
        <v>91</v>
      </c>
      <c r="BJ88" s="7" t="s">
        <v>91</v>
      </c>
      <c r="BK88" s="7" t="s">
        <v>85</v>
      </c>
      <c r="BL88" s="7" t="s">
        <v>85</v>
      </c>
      <c r="BM88" s="7" t="s">
        <v>95</v>
      </c>
      <c r="BN88" s="7" t="s">
        <v>96</v>
      </c>
      <c r="BO88" s="12">
        <v>0</v>
      </c>
      <c r="BP88" s="7" t="s">
        <v>85</v>
      </c>
      <c r="BQ88" s="7" t="s">
        <v>85</v>
      </c>
      <c r="BR88" s="7" t="s">
        <v>91</v>
      </c>
      <c r="BS88" s="7" t="s">
        <v>85</v>
      </c>
      <c r="BT88" s="16" t="s">
        <v>388</v>
      </c>
      <c r="BU88" s="16" t="s">
        <v>461</v>
      </c>
      <c r="BV88" s="16" t="s">
        <v>389</v>
      </c>
      <c r="BW88" s="16" t="s">
        <v>1217</v>
      </c>
      <c r="BX88" s="16" t="s">
        <v>511</v>
      </c>
    </row>
    <row r="89" spans="1:76" s="7" customFormat="1">
      <c r="A89" s="14">
        <v>46153</v>
      </c>
      <c r="B89" s="14">
        <v>46153</v>
      </c>
      <c r="C89" s="15">
        <v>0.43398148148148002</v>
      </c>
      <c r="D89" s="16" t="s">
        <v>506</v>
      </c>
      <c r="E89" s="14">
        <v>46153</v>
      </c>
      <c r="F89" s="16" t="s">
        <v>516</v>
      </c>
      <c r="G89" s="16" t="s">
        <v>365</v>
      </c>
      <c r="H89" s="16" t="str">
        <f>VLOOKUP(G89,[1]Sheet3!A:B,2,0)</f>
        <v>ADMD</v>
      </c>
      <c r="I89" s="7" t="s">
        <v>76</v>
      </c>
      <c r="J89" s="7" t="s">
        <v>523</v>
      </c>
      <c r="K89" s="16" t="s">
        <v>509</v>
      </c>
      <c r="L89" s="16" t="s">
        <v>133</v>
      </c>
      <c r="M89" s="17">
        <v>95000</v>
      </c>
      <c r="N89" s="16" t="s">
        <v>79</v>
      </c>
      <c r="O89" s="16" t="s">
        <v>514</v>
      </c>
      <c r="P89" s="16" t="s">
        <v>516</v>
      </c>
      <c r="Q89" s="17">
        <v>95000</v>
      </c>
      <c r="R89" s="7" t="s">
        <v>516</v>
      </c>
      <c r="S89" s="7" t="s">
        <v>83</v>
      </c>
      <c r="T89" s="7" t="s">
        <v>370</v>
      </c>
      <c r="U89" s="12">
        <v>5257771.12</v>
      </c>
      <c r="V89" s="7" t="s">
        <v>85</v>
      </c>
      <c r="W89" s="7" t="s">
        <v>85</v>
      </c>
      <c r="X89" s="7" t="s">
        <v>86</v>
      </c>
      <c r="Y89" s="7" t="s">
        <v>371</v>
      </c>
      <c r="Z89" s="7" t="s">
        <v>372</v>
      </c>
      <c r="AA89" s="7" t="s">
        <v>89</v>
      </c>
      <c r="AB89" s="7" t="s">
        <v>85</v>
      </c>
      <c r="AC89" s="7" t="s">
        <v>131</v>
      </c>
      <c r="AD89" s="7" t="s">
        <v>85</v>
      </c>
      <c r="AE89" s="7" t="s">
        <v>85</v>
      </c>
      <c r="AF89" s="7" t="s">
        <v>91</v>
      </c>
      <c r="AG89" s="7" t="s">
        <v>85</v>
      </c>
      <c r="AH89" s="7" t="s">
        <v>91</v>
      </c>
      <c r="AI89" s="13">
        <v>95000</v>
      </c>
      <c r="AJ89" s="7" t="s">
        <v>79</v>
      </c>
      <c r="AK89" s="7" t="s">
        <v>79</v>
      </c>
      <c r="AL89" s="13">
        <v>95000</v>
      </c>
      <c r="AM89" s="7" t="s">
        <v>371</v>
      </c>
      <c r="AN89" s="7" t="s">
        <v>85</v>
      </c>
      <c r="AO89" s="7" t="s">
        <v>85</v>
      </c>
      <c r="AP89" s="7" t="s">
        <v>135</v>
      </c>
      <c r="AQ89" s="7" t="s">
        <v>85</v>
      </c>
      <c r="AR89" s="7" t="s">
        <v>85</v>
      </c>
      <c r="AS89" s="12">
        <v>0</v>
      </c>
      <c r="AT89" s="12">
        <v>0</v>
      </c>
      <c r="AU89" s="7" t="s">
        <v>91</v>
      </c>
      <c r="AV89" s="7" t="s">
        <v>85</v>
      </c>
      <c r="AW89" s="7" t="s">
        <v>91</v>
      </c>
      <c r="AX89" s="7" t="s">
        <v>91</v>
      </c>
      <c r="AY89" s="7" t="s">
        <v>85</v>
      </c>
      <c r="AZ89" s="7" t="s">
        <v>93</v>
      </c>
      <c r="BA89" s="7" t="s">
        <v>85</v>
      </c>
      <c r="BB89" s="7" t="s">
        <v>85</v>
      </c>
      <c r="BC89" s="7" t="s">
        <v>91</v>
      </c>
      <c r="BD89" s="7" t="s">
        <v>79</v>
      </c>
      <c r="BE89" s="7" t="s">
        <v>300</v>
      </c>
      <c r="BF89" s="7" t="s">
        <v>85</v>
      </c>
      <c r="BG89" s="7" t="s">
        <v>85</v>
      </c>
      <c r="BH89" s="7" t="s">
        <v>85</v>
      </c>
      <c r="BI89" s="7" t="s">
        <v>91</v>
      </c>
      <c r="BJ89" s="7" t="s">
        <v>91</v>
      </c>
      <c r="BK89" s="7" t="s">
        <v>85</v>
      </c>
      <c r="BL89" s="7" t="s">
        <v>85</v>
      </c>
      <c r="BM89" s="7" t="s">
        <v>95</v>
      </c>
      <c r="BN89" s="7" t="s">
        <v>96</v>
      </c>
      <c r="BO89" s="12">
        <v>0</v>
      </c>
      <c r="BP89" s="7" t="s">
        <v>85</v>
      </c>
      <c r="BQ89" s="7" t="s">
        <v>85</v>
      </c>
      <c r="BR89" s="7" t="s">
        <v>91</v>
      </c>
      <c r="BS89" s="7" t="s">
        <v>85</v>
      </c>
      <c r="BT89" s="16" t="s">
        <v>388</v>
      </c>
      <c r="BU89" s="16" t="s">
        <v>461</v>
      </c>
      <c r="BV89" s="16" t="s">
        <v>389</v>
      </c>
      <c r="BW89" s="16" t="s">
        <v>1217</v>
      </c>
      <c r="BX89" s="16" t="s">
        <v>511</v>
      </c>
    </row>
    <row r="90" spans="1:76" s="7" customFormat="1">
      <c r="A90" s="14">
        <v>46153</v>
      </c>
      <c r="B90" s="14">
        <v>46153</v>
      </c>
      <c r="C90" s="15">
        <v>0.43498842592593001</v>
      </c>
      <c r="D90" s="16" t="s">
        <v>414</v>
      </c>
      <c r="E90" s="14">
        <v>46153</v>
      </c>
      <c r="F90" s="16" t="s">
        <v>516</v>
      </c>
      <c r="G90" s="16" t="s">
        <v>365</v>
      </c>
      <c r="H90" s="16" t="str">
        <f>VLOOKUP(G90,[1]Sheet3!A:B,2,0)</f>
        <v>ADMD</v>
      </c>
      <c r="I90" s="7" t="s">
        <v>76</v>
      </c>
      <c r="J90" s="7" t="s">
        <v>528</v>
      </c>
      <c r="K90" s="16" t="s">
        <v>416</v>
      </c>
      <c r="L90" s="16" t="s">
        <v>417</v>
      </c>
      <c r="M90" s="17">
        <v>80000</v>
      </c>
      <c r="N90" s="16" t="s">
        <v>79</v>
      </c>
      <c r="O90" s="16" t="s">
        <v>529</v>
      </c>
      <c r="P90" s="16" t="s">
        <v>516</v>
      </c>
      <c r="Q90" s="17">
        <v>80000</v>
      </c>
      <c r="R90" s="7" t="s">
        <v>516</v>
      </c>
      <c r="S90" s="7" t="s">
        <v>83</v>
      </c>
      <c r="T90" s="7" t="s">
        <v>370</v>
      </c>
      <c r="U90" s="12">
        <v>5432479.0999999996</v>
      </c>
      <c r="V90" s="7" t="s">
        <v>85</v>
      </c>
      <c r="W90" s="7" t="s">
        <v>85</v>
      </c>
      <c r="X90" s="7" t="s">
        <v>86</v>
      </c>
      <c r="Y90" s="7" t="s">
        <v>371</v>
      </c>
      <c r="Z90" s="7" t="s">
        <v>372</v>
      </c>
      <c r="AA90" s="7" t="s">
        <v>89</v>
      </c>
      <c r="AB90" s="7" t="s">
        <v>85</v>
      </c>
      <c r="AC90" s="7" t="s">
        <v>98</v>
      </c>
      <c r="AD90" s="7" t="s">
        <v>85</v>
      </c>
      <c r="AE90" s="7" t="s">
        <v>85</v>
      </c>
      <c r="AF90" s="7" t="s">
        <v>91</v>
      </c>
      <c r="AG90" s="7" t="s">
        <v>85</v>
      </c>
      <c r="AH90" s="7" t="s">
        <v>91</v>
      </c>
      <c r="AI90" s="13">
        <v>80000</v>
      </c>
      <c r="AJ90" s="7" t="s">
        <v>79</v>
      </c>
      <c r="AK90" s="7" t="s">
        <v>79</v>
      </c>
      <c r="AL90" s="13">
        <v>80000</v>
      </c>
      <c r="AM90" s="7" t="s">
        <v>371</v>
      </c>
      <c r="AN90" s="7" t="s">
        <v>85</v>
      </c>
      <c r="AO90" s="7" t="s">
        <v>85</v>
      </c>
      <c r="AP90" s="7" t="s">
        <v>132</v>
      </c>
      <c r="AQ90" s="7" t="s">
        <v>85</v>
      </c>
      <c r="AR90" s="7" t="s">
        <v>85</v>
      </c>
      <c r="AS90" s="12">
        <v>0</v>
      </c>
      <c r="AT90" s="12">
        <v>0</v>
      </c>
      <c r="AU90" s="7" t="s">
        <v>91</v>
      </c>
      <c r="AV90" s="7" t="s">
        <v>85</v>
      </c>
      <c r="AW90" s="7" t="s">
        <v>91</v>
      </c>
      <c r="AX90" s="7" t="s">
        <v>91</v>
      </c>
      <c r="AY90" s="7" t="s">
        <v>85</v>
      </c>
      <c r="AZ90" s="7" t="s">
        <v>93</v>
      </c>
      <c r="BA90" s="7" t="s">
        <v>85</v>
      </c>
      <c r="BB90" s="7" t="s">
        <v>85</v>
      </c>
      <c r="BC90" s="7" t="s">
        <v>91</v>
      </c>
      <c r="BD90" s="7" t="s">
        <v>79</v>
      </c>
      <c r="BE90" s="7" t="s">
        <v>300</v>
      </c>
      <c r="BF90" s="7" t="s">
        <v>85</v>
      </c>
      <c r="BG90" s="7" t="s">
        <v>85</v>
      </c>
      <c r="BH90" s="7" t="s">
        <v>85</v>
      </c>
      <c r="BI90" s="7" t="s">
        <v>91</v>
      </c>
      <c r="BJ90" s="7" t="s">
        <v>91</v>
      </c>
      <c r="BK90" s="7" t="s">
        <v>85</v>
      </c>
      <c r="BL90" s="7" t="s">
        <v>85</v>
      </c>
      <c r="BM90" s="7" t="s">
        <v>95</v>
      </c>
      <c r="BN90" s="7" t="s">
        <v>96</v>
      </c>
      <c r="BO90" s="12">
        <v>0</v>
      </c>
      <c r="BP90" s="7" t="s">
        <v>85</v>
      </c>
      <c r="BQ90" s="7" t="s">
        <v>85</v>
      </c>
      <c r="BR90" s="7" t="s">
        <v>91</v>
      </c>
      <c r="BS90" s="7" t="s">
        <v>85</v>
      </c>
      <c r="BT90" s="16" t="s">
        <v>388</v>
      </c>
      <c r="BU90" s="16" t="s">
        <v>461</v>
      </c>
      <c r="BV90" s="16" t="s">
        <v>389</v>
      </c>
      <c r="BW90" s="16" t="s">
        <v>1217</v>
      </c>
      <c r="BX90" s="16" t="s">
        <v>511</v>
      </c>
    </row>
    <row r="91" spans="1:76" s="7" customFormat="1">
      <c r="A91" s="14">
        <v>46153</v>
      </c>
      <c r="B91" s="14">
        <v>46153</v>
      </c>
      <c r="C91" s="15">
        <v>0.43498842592593001</v>
      </c>
      <c r="D91" s="16" t="s">
        <v>403</v>
      </c>
      <c r="E91" s="14">
        <v>46153</v>
      </c>
      <c r="F91" s="16" t="s">
        <v>516</v>
      </c>
      <c r="G91" s="16" t="s">
        <v>365</v>
      </c>
      <c r="H91" s="16" t="str">
        <f>VLOOKUP(G91,[1]Sheet3!A:B,2,0)</f>
        <v>ADMD</v>
      </c>
      <c r="I91" s="7" t="s">
        <v>76</v>
      </c>
      <c r="J91" s="7" t="s">
        <v>528</v>
      </c>
      <c r="K91" s="16" t="s">
        <v>405</v>
      </c>
      <c r="L91" s="16" t="s">
        <v>406</v>
      </c>
      <c r="M91" s="17">
        <v>20000</v>
      </c>
      <c r="N91" s="16" t="s">
        <v>79</v>
      </c>
      <c r="O91" s="16" t="s">
        <v>530</v>
      </c>
      <c r="P91" s="16" t="s">
        <v>516</v>
      </c>
      <c r="Q91" s="17">
        <v>20000</v>
      </c>
      <c r="R91" s="7" t="s">
        <v>516</v>
      </c>
      <c r="S91" s="7" t="s">
        <v>83</v>
      </c>
      <c r="T91" s="7" t="s">
        <v>370</v>
      </c>
      <c r="U91" s="12">
        <v>1351743.53</v>
      </c>
      <c r="V91" s="7" t="s">
        <v>85</v>
      </c>
      <c r="W91" s="7" t="s">
        <v>85</v>
      </c>
      <c r="X91" s="7" t="s">
        <v>86</v>
      </c>
      <c r="Y91" s="7" t="s">
        <v>371</v>
      </c>
      <c r="Z91" s="7" t="s">
        <v>372</v>
      </c>
      <c r="AA91" s="7" t="s">
        <v>89</v>
      </c>
      <c r="AB91" s="7" t="s">
        <v>85</v>
      </c>
      <c r="AC91" s="7" t="s">
        <v>112</v>
      </c>
      <c r="AD91" s="7" t="s">
        <v>85</v>
      </c>
      <c r="AE91" s="7" t="s">
        <v>85</v>
      </c>
      <c r="AF91" s="7" t="s">
        <v>91</v>
      </c>
      <c r="AG91" s="7" t="s">
        <v>85</v>
      </c>
      <c r="AH91" s="7" t="s">
        <v>91</v>
      </c>
      <c r="AI91" s="13">
        <v>20000</v>
      </c>
      <c r="AJ91" s="7" t="s">
        <v>79</v>
      </c>
      <c r="AK91" s="7" t="s">
        <v>79</v>
      </c>
      <c r="AL91" s="13">
        <v>20000</v>
      </c>
      <c r="AM91" s="7" t="s">
        <v>371</v>
      </c>
      <c r="AN91" s="7" t="s">
        <v>85</v>
      </c>
      <c r="AO91" s="7" t="s">
        <v>85</v>
      </c>
      <c r="AP91" s="7" t="s">
        <v>127</v>
      </c>
      <c r="AQ91" s="7" t="s">
        <v>85</v>
      </c>
      <c r="AR91" s="7" t="s">
        <v>85</v>
      </c>
      <c r="AS91" s="12">
        <v>0</v>
      </c>
      <c r="AT91" s="12">
        <v>0</v>
      </c>
      <c r="AU91" s="7" t="s">
        <v>91</v>
      </c>
      <c r="AV91" s="7" t="s">
        <v>85</v>
      </c>
      <c r="AW91" s="7" t="s">
        <v>91</v>
      </c>
      <c r="AX91" s="7" t="s">
        <v>91</v>
      </c>
      <c r="AY91" s="7" t="s">
        <v>85</v>
      </c>
      <c r="AZ91" s="7" t="s">
        <v>93</v>
      </c>
      <c r="BA91" s="7" t="s">
        <v>85</v>
      </c>
      <c r="BB91" s="7" t="s">
        <v>85</v>
      </c>
      <c r="BC91" s="7" t="s">
        <v>91</v>
      </c>
      <c r="BD91" s="7" t="s">
        <v>79</v>
      </c>
      <c r="BE91" s="7" t="s">
        <v>300</v>
      </c>
      <c r="BF91" s="7" t="s">
        <v>85</v>
      </c>
      <c r="BG91" s="7" t="s">
        <v>85</v>
      </c>
      <c r="BH91" s="7" t="s">
        <v>85</v>
      </c>
      <c r="BI91" s="7" t="s">
        <v>91</v>
      </c>
      <c r="BJ91" s="7" t="s">
        <v>91</v>
      </c>
      <c r="BK91" s="7" t="s">
        <v>85</v>
      </c>
      <c r="BL91" s="7" t="s">
        <v>85</v>
      </c>
      <c r="BM91" s="7" t="s">
        <v>95</v>
      </c>
      <c r="BN91" s="7" t="s">
        <v>96</v>
      </c>
      <c r="BO91" s="12">
        <v>0</v>
      </c>
      <c r="BP91" s="7" t="s">
        <v>85</v>
      </c>
      <c r="BQ91" s="7" t="s">
        <v>85</v>
      </c>
      <c r="BR91" s="7" t="s">
        <v>91</v>
      </c>
      <c r="BS91" s="7" t="s">
        <v>85</v>
      </c>
      <c r="BT91" s="16" t="s">
        <v>388</v>
      </c>
      <c r="BU91" s="16" t="s">
        <v>461</v>
      </c>
      <c r="BV91" s="16" t="s">
        <v>389</v>
      </c>
      <c r="BW91" s="16" t="s">
        <v>1217</v>
      </c>
      <c r="BX91" s="16" t="s">
        <v>511</v>
      </c>
    </row>
    <row r="92" spans="1:76" s="7" customFormat="1">
      <c r="A92" s="14">
        <v>46153</v>
      </c>
      <c r="B92" s="14">
        <v>46153</v>
      </c>
      <c r="C92" s="15">
        <v>0.43498842592593001</v>
      </c>
      <c r="D92" s="16" t="s">
        <v>403</v>
      </c>
      <c r="E92" s="14">
        <v>46153</v>
      </c>
      <c r="F92" s="16" t="s">
        <v>516</v>
      </c>
      <c r="G92" s="16" t="s">
        <v>365</v>
      </c>
      <c r="H92" s="16" t="str">
        <f>VLOOKUP(G92,[1]Sheet3!A:B,2,0)</f>
        <v>ADMD</v>
      </c>
      <c r="I92" s="7" t="s">
        <v>76</v>
      </c>
      <c r="J92" s="7" t="s">
        <v>528</v>
      </c>
      <c r="K92" s="16" t="s">
        <v>405</v>
      </c>
      <c r="L92" s="16" t="s">
        <v>406</v>
      </c>
      <c r="M92" s="17">
        <v>80000</v>
      </c>
      <c r="N92" s="16" t="s">
        <v>79</v>
      </c>
      <c r="O92" s="16" t="s">
        <v>531</v>
      </c>
      <c r="P92" s="16" t="s">
        <v>516</v>
      </c>
      <c r="Q92" s="17">
        <v>80000</v>
      </c>
      <c r="R92" s="7" t="s">
        <v>516</v>
      </c>
      <c r="S92" s="7" t="s">
        <v>83</v>
      </c>
      <c r="T92" s="7" t="s">
        <v>370</v>
      </c>
      <c r="U92" s="12">
        <v>5406974.0499999998</v>
      </c>
      <c r="V92" s="7" t="s">
        <v>85</v>
      </c>
      <c r="W92" s="7" t="s">
        <v>85</v>
      </c>
      <c r="X92" s="7" t="s">
        <v>86</v>
      </c>
      <c r="Y92" s="7" t="s">
        <v>371</v>
      </c>
      <c r="Z92" s="7" t="s">
        <v>372</v>
      </c>
      <c r="AA92" s="7" t="s">
        <v>89</v>
      </c>
      <c r="AB92" s="7" t="s">
        <v>85</v>
      </c>
      <c r="AC92" s="7" t="s">
        <v>90</v>
      </c>
      <c r="AD92" s="7" t="s">
        <v>85</v>
      </c>
      <c r="AE92" s="7" t="s">
        <v>85</v>
      </c>
      <c r="AF92" s="7" t="s">
        <v>91</v>
      </c>
      <c r="AG92" s="7" t="s">
        <v>85</v>
      </c>
      <c r="AH92" s="7" t="s">
        <v>91</v>
      </c>
      <c r="AI92" s="13">
        <v>80000</v>
      </c>
      <c r="AJ92" s="7" t="s">
        <v>79</v>
      </c>
      <c r="AK92" s="7" t="s">
        <v>79</v>
      </c>
      <c r="AL92" s="13">
        <v>80000</v>
      </c>
      <c r="AM92" s="7" t="s">
        <v>371</v>
      </c>
      <c r="AN92" s="7" t="s">
        <v>85</v>
      </c>
      <c r="AO92" s="7" t="s">
        <v>85</v>
      </c>
      <c r="AP92" s="7" t="s">
        <v>127</v>
      </c>
      <c r="AQ92" s="7" t="s">
        <v>85</v>
      </c>
      <c r="AR92" s="7" t="s">
        <v>85</v>
      </c>
      <c r="AS92" s="12">
        <v>0</v>
      </c>
      <c r="AT92" s="12">
        <v>0</v>
      </c>
      <c r="AU92" s="7" t="s">
        <v>91</v>
      </c>
      <c r="AV92" s="7" t="s">
        <v>85</v>
      </c>
      <c r="AW92" s="7" t="s">
        <v>91</v>
      </c>
      <c r="AX92" s="7" t="s">
        <v>91</v>
      </c>
      <c r="AY92" s="7" t="s">
        <v>85</v>
      </c>
      <c r="AZ92" s="7" t="s">
        <v>93</v>
      </c>
      <c r="BA92" s="7" t="s">
        <v>85</v>
      </c>
      <c r="BB92" s="7" t="s">
        <v>85</v>
      </c>
      <c r="BC92" s="7" t="s">
        <v>91</v>
      </c>
      <c r="BD92" s="7" t="s">
        <v>79</v>
      </c>
      <c r="BE92" s="7" t="s">
        <v>300</v>
      </c>
      <c r="BF92" s="7" t="s">
        <v>85</v>
      </c>
      <c r="BG92" s="7" t="s">
        <v>85</v>
      </c>
      <c r="BH92" s="7" t="s">
        <v>85</v>
      </c>
      <c r="BI92" s="7" t="s">
        <v>91</v>
      </c>
      <c r="BJ92" s="7" t="s">
        <v>91</v>
      </c>
      <c r="BK92" s="7" t="s">
        <v>85</v>
      </c>
      <c r="BL92" s="7" t="s">
        <v>85</v>
      </c>
      <c r="BM92" s="7" t="s">
        <v>95</v>
      </c>
      <c r="BN92" s="7" t="s">
        <v>96</v>
      </c>
      <c r="BO92" s="12">
        <v>0</v>
      </c>
      <c r="BP92" s="7" t="s">
        <v>85</v>
      </c>
      <c r="BQ92" s="7" t="s">
        <v>85</v>
      </c>
      <c r="BR92" s="7" t="s">
        <v>91</v>
      </c>
      <c r="BS92" s="7" t="s">
        <v>85</v>
      </c>
      <c r="BT92" s="16" t="s">
        <v>388</v>
      </c>
      <c r="BU92" s="16" t="s">
        <v>461</v>
      </c>
      <c r="BV92" s="16" t="s">
        <v>389</v>
      </c>
      <c r="BW92" s="16" t="s">
        <v>1217</v>
      </c>
      <c r="BX92" s="16" t="s">
        <v>511</v>
      </c>
    </row>
    <row r="93" spans="1:76" s="7" customFormat="1">
      <c r="A93" s="14">
        <v>46153</v>
      </c>
      <c r="B93" s="14">
        <v>46153</v>
      </c>
      <c r="C93" s="15">
        <v>0.4369212962963</v>
      </c>
      <c r="D93" s="16" t="s">
        <v>408</v>
      </c>
      <c r="E93" s="14">
        <v>46153</v>
      </c>
      <c r="F93" s="16" t="s">
        <v>516</v>
      </c>
      <c r="G93" s="16" t="s">
        <v>365</v>
      </c>
      <c r="H93" s="16" t="str">
        <f>VLOOKUP(G93,[1]Sheet3!A:B,2,0)</f>
        <v>ADMD</v>
      </c>
      <c r="I93" s="7" t="s">
        <v>76</v>
      </c>
      <c r="J93" s="7" t="s">
        <v>532</v>
      </c>
      <c r="K93" s="16" t="s">
        <v>409</v>
      </c>
      <c r="L93" s="16" t="s">
        <v>410</v>
      </c>
      <c r="M93" s="17">
        <v>20000</v>
      </c>
      <c r="N93" s="16" t="s">
        <v>79</v>
      </c>
      <c r="O93" s="16" t="s">
        <v>533</v>
      </c>
      <c r="P93" s="16" t="s">
        <v>516</v>
      </c>
      <c r="Q93" s="17">
        <v>20000</v>
      </c>
      <c r="R93" s="7" t="s">
        <v>516</v>
      </c>
      <c r="S93" s="7" t="s">
        <v>83</v>
      </c>
      <c r="T93" s="7" t="s">
        <v>370</v>
      </c>
      <c r="U93" s="12">
        <v>1340407.92</v>
      </c>
      <c r="V93" s="7" t="s">
        <v>85</v>
      </c>
      <c r="W93" s="7" t="s">
        <v>85</v>
      </c>
      <c r="X93" s="7" t="s">
        <v>86</v>
      </c>
      <c r="Y93" s="7" t="s">
        <v>371</v>
      </c>
      <c r="Z93" s="7" t="s">
        <v>372</v>
      </c>
      <c r="AA93" s="7" t="s">
        <v>89</v>
      </c>
      <c r="AB93" s="7" t="s">
        <v>85</v>
      </c>
      <c r="AC93" s="7" t="s">
        <v>112</v>
      </c>
      <c r="AD93" s="7" t="s">
        <v>85</v>
      </c>
      <c r="AE93" s="7" t="s">
        <v>85</v>
      </c>
      <c r="AF93" s="7" t="s">
        <v>91</v>
      </c>
      <c r="AG93" s="7" t="s">
        <v>85</v>
      </c>
      <c r="AH93" s="7" t="s">
        <v>91</v>
      </c>
      <c r="AI93" s="13">
        <v>20000</v>
      </c>
      <c r="AJ93" s="7" t="s">
        <v>79</v>
      </c>
      <c r="AK93" s="7" t="s">
        <v>79</v>
      </c>
      <c r="AL93" s="13">
        <v>20000</v>
      </c>
      <c r="AM93" s="7" t="s">
        <v>371</v>
      </c>
      <c r="AN93" s="7" t="s">
        <v>85</v>
      </c>
      <c r="AO93" s="7" t="s">
        <v>85</v>
      </c>
      <c r="AP93" s="7" t="s">
        <v>129</v>
      </c>
      <c r="AQ93" s="7" t="s">
        <v>85</v>
      </c>
      <c r="AR93" s="7" t="s">
        <v>85</v>
      </c>
      <c r="AS93" s="12">
        <v>0</v>
      </c>
      <c r="AT93" s="12">
        <v>0</v>
      </c>
      <c r="AU93" s="7" t="s">
        <v>91</v>
      </c>
      <c r="AV93" s="7" t="s">
        <v>85</v>
      </c>
      <c r="AW93" s="7" t="s">
        <v>91</v>
      </c>
      <c r="AX93" s="7" t="s">
        <v>91</v>
      </c>
      <c r="AY93" s="7" t="s">
        <v>85</v>
      </c>
      <c r="AZ93" s="7" t="s">
        <v>93</v>
      </c>
      <c r="BA93" s="7" t="s">
        <v>85</v>
      </c>
      <c r="BB93" s="7" t="s">
        <v>85</v>
      </c>
      <c r="BC93" s="7" t="s">
        <v>91</v>
      </c>
      <c r="BD93" s="7" t="s">
        <v>79</v>
      </c>
      <c r="BE93" s="7" t="s">
        <v>300</v>
      </c>
      <c r="BF93" s="7" t="s">
        <v>85</v>
      </c>
      <c r="BG93" s="7" t="s">
        <v>85</v>
      </c>
      <c r="BH93" s="7" t="s">
        <v>85</v>
      </c>
      <c r="BI93" s="7" t="s">
        <v>91</v>
      </c>
      <c r="BJ93" s="7" t="s">
        <v>91</v>
      </c>
      <c r="BK93" s="7" t="s">
        <v>85</v>
      </c>
      <c r="BL93" s="7" t="s">
        <v>85</v>
      </c>
      <c r="BM93" s="7" t="s">
        <v>95</v>
      </c>
      <c r="BN93" s="7" t="s">
        <v>96</v>
      </c>
      <c r="BO93" s="12">
        <v>0</v>
      </c>
      <c r="BP93" s="7" t="s">
        <v>85</v>
      </c>
      <c r="BQ93" s="7" t="s">
        <v>85</v>
      </c>
      <c r="BR93" s="7" t="s">
        <v>91</v>
      </c>
      <c r="BS93" s="7" t="s">
        <v>85</v>
      </c>
      <c r="BT93" s="16" t="s">
        <v>388</v>
      </c>
      <c r="BU93" s="16" t="s">
        <v>461</v>
      </c>
      <c r="BV93" s="16" t="s">
        <v>389</v>
      </c>
      <c r="BW93" s="16" t="s">
        <v>1217</v>
      </c>
      <c r="BX93" s="16" t="s">
        <v>511</v>
      </c>
    </row>
    <row r="94" spans="1:76" s="7" customFormat="1">
      <c r="A94" s="14">
        <v>46153</v>
      </c>
      <c r="B94" s="14">
        <v>46153</v>
      </c>
      <c r="C94" s="15">
        <v>0.4369212962963</v>
      </c>
      <c r="D94" s="16" t="s">
        <v>408</v>
      </c>
      <c r="E94" s="14">
        <v>46153</v>
      </c>
      <c r="F94" s="16" t="s">
        <v>516</v>
      </c>
      <c r="G94" s="16" t="s">
        <v>365</v>
      </c>
      <c r="H94" s="16" t="str">
        <f>VLOOKUP(G94,[1]Sheet3!A:B,2,0)</f>
        <v>ADMD</v>
      </c>
      <c r="I94" s="7" t="s">
        <v>76</v>
      </c>
      <c r="J94" s="7" t="s">
        <v>532</v>
      </c>
      <c r="K94" s="16" t="s">
        <v>409</v>
      </c>
      <c r="L94" s="16" t="s">
        <v>410</v>
      </c>
      <c r="M94" s="17">
        <v>80000</v>
      </c>
      <c r="N94" s="16" t="s">
        <v>79</v>
      </c>
      <c r="O94" s="16" t="s">
        <v>534</v>
      </c>
      <c r="P94" s="16" t="s">
        <v>516</v>
      </c>
      <c r="Q94" s="17">
        <v>80000</v>
      </c>
      <c r="R94" s="7" t="s">
        <v>516</v>
      </c>
      <c r="S94" s="7" t="s">
        <v>83</v>
      </c>
      <c r="T94" s="7" t="s">
        <v>370</v>
      </c>
      <c r="U94" s="12">
        <v>5361631.6500000004</v>
      </c>
      <c r="V94" s="7" t="s">
        <v>85</v>
      </c>
      <c r="W94" s="7" t="s">
        <v>85</v>
      </c>
      <c r="X94" s="7" t="s">
        <v>86</v>
      </c>
      <c r="Y94" s="7" t="s">
        <v>371</v>
      </c>
      <c r="Z94" s="7" t="s">
        <v>372</v>
      </c>
      <c r="AA94" s="7" t="s">
        <v>89</v>
      </c>
      <c r="AB94" s="7" t="s">
        <v>85</v>
      </c>
      <c r="AC94" s="7" t="s">
        <v>90</v>
      </c>
      <c r="AD94" s="7" t="s">
        <v>85</v>
      </c>
      <c r="AE94" s="7" t="s">
        <v>85</v>
      </c>
      <c r="AF94" s="7" t="s">
        <v>91</v>
      </c>
      <c r="AG94" s="7" t="s">
        <v>85</v>
      </c>
      <c r="AH94" s="7" t="s">
        <v>91</v>
      </c>
      <c r="AI94" s="13">
        <v>80000</v>
      </c>
      <c r="AJ94" s="7" t="s">
        <v>79</v>
      </c>
      <c r="AK94" s="7" t="s">
        <v>79</v>
      </c>
      <c r="AL94" s="13">
        <v>80000</v>
      </c>
      <c r="AM94" s="7" t="s">
        <v>371</v>
      </c>
      <c r="AN94" s="7" t="s">
        <v>85</v>
      </c>
      <c r="AO94" s="7" t="s">
        <v>85</v>
      </c>
      <c r="AP94" s="7" t="s">
        <v>129</v>
      </c>
      <c r="AQ94" s="7" t="s">
        <v>85</v>
      </c>
      <c r="AR94" s="7" t="s">
        <v>85</v>
      </c>
      <c r="AS94" s="12">
        <v>0</v>
      </c>
      <c r="AT94" s="12">
        <v>0</v>
      </c>
      <c r="AU94" s="7" t="s">
        <v>91</v>
      </c>
      <c r="AV94" s="7" t="s">
        <v>85</v>
      </c>
      <c r="AW94" s="7" t="s">
        <v>91</v>
      </c>
      <c r="AX94" s="7" t="s">
        <v>91</v>
      </c>
      <c r="AY94" s="7" t="s">
        <v>85</v>
      </c>
      <c r="AZ94" s="7" t="s">
        <v>93</v>
      </c>
      <c r="BA94" s="7" t="s">
        <v>85</v>
      </c>
      <c r="BB94" s="7" t="s">
        <v>85</v>
      </c>
      <c r="BC94" s="7" t="s">
        <v>91</v>
      </c>
      <c r="BD94" s="7" t="s">
        <v>79</v>
      </c>
      <c r="BE94" s="7" t="s">
        <v>300</v>
      </c>
      <c r="BF94" s="7" t="s">
        <v>85</v>
      </c>
      <c r="BG94" s="7" t="s">
        <v>85</v>
      </c>
      <c r="BH94" s="7" t="s">
        <v>85</v>
      </c>
      <c r="BI94" s="7" t="s">
        <v>91</v>
      </c>
      <c r="BJ94" s="7" t="s">
        <v>91</v>
      </c>
      <c r="BK94" s="7" t="s">
        <v>85</v>
      </c>
      <c r="BL94" s="7" t="s">
        <v>85</v>
      </c>
      <c r="BM94" s="7" t="s">
        <v>95</v>
      </c>
      <c r="BN94" s="7" t="s">
        <v>96</v>
      </c>
      <c r="BO94" s="12">
        <v>0</v>
      </c>
      <c r="BP94" s="7" t="s">
        <v>85</v>
      </c>
      <c r="BQ94" s="7" t="s">
        <v>85</v>
      </c>
      <c r="BR94" s="7" t="s">
        <v>91</v>
      </c>
      <c r="BS94" s="7" t="s">
        <v>85</v>
      </c>
      <c r="BT94" s="16" t="s">
        <v>388</v>
      </c>
      <c r="BU94" s="16" t="s">
        <v>461</v>
      </c>
      <c r="BV94" s="16" t="s">
        <v>389</v>
      </c>
      <c r="BW94" s="16" t="s">
        <v>1217</v>
      </c>
      <c r="BX94" s="16" t="s">
        <v>511</v>
      </c>
    </row>
    <row r="95" spans="1:76" s="7" customFormat="1">
      <c r="A95" s="14">
        <v>46153</v>
      </c>
      <c r="B95" s="14">
        <v>46153</v>
      </c>
      <c r="C95" s="15">
        <v>0.4369212962963</v>
      </c>
      <c r="D95" s="16" t="s">
        <v>408</v>
      </c>
      <c r="E95" s="14">
        <v>46153</v>
      </c>
      <c r="F95" s="16" t="s">
        <v>516</v>
      </c>
      <c r="G95" s="16" t="s">
        <v>365</v>
      </c>
      <c r="H95" s="16" t="str">
        <f>VLOOKUP(G95,[1]Sheet3!A:B,2,0)</f>
        <v>ADMD</v>
      </c>
      <c r="I95" s="7" t="s">
        <v>76</v>
      </c>
      <c r="J95" s="7" t="s">
        <v>532</v>
      </c>
      <c r="K95" s="16" t="s">
        <v>409</v>
      </c>
      <c r="L95" s="16" t="s">
        <v>410</v>
      </c>
      <c r="M95" s="17">
        <v>80000</v>
      </c>
      <c r="N95" s="16" t="s">
        <v>79</v>
      </c>
      <c r="O95" s="16" t="s">
        <v>535</v>
      </c>
      <c r="P95" s="16" t="s">
        <v>516</v>
      </c>
      <c r="Q95" s="17">
        <v>80000</v>
      </c>
      <c r="R95" s="7" t="s">
        <v>516</v>
      </c>
      <c r="S95" s="7" t="s">
        <v>83</v>
      </c>
      <c r="T95" s="7" t="s">
        <v>370</v>
      </c>
      <c r="U95" s="12">
        <v>5361631.6500000004</v>
      </c>
      <c r="V95" s="7" t="s">
        <v>85</v>
      </c>
      <c r="W95" s="7" t="s">
        <v>85</v>
      </c>
      <c r="X95" s="7" t="s">
        <v>86</v>
      </c>
      <c r="Y95" s="7" t="s">
        <v>371</v>
      </c>
      <c r="Z95" s="7" t="s">
        <v>372</v>
      </c>
      <c r="AA95" s="7" t="s">
        <v>89</v>
      </c>
      <c r="AB95" s="7" t="s">
        <v>85</v>
      </c>
      <c r="AC95" s="7" t="s">
        <v>98</v>
      </c>
      <c r="AD95" s="7" t="s">
        <v>85</v>
      </c>
      <c r="AE95" s="7" t="s">
        <v>85</v>
      </c>
      <c r="AF95" s="7" t="s">
        <v>91</v>
      </c>
      <c r="AG95" s="7" t="s">
        <v>85</v>
      </c>
      <c r="AH95" s="7" t="s">
        <v>91</v>
      </c>
      <c r="AI95" s="13">
        <v>80000</v>
      </c>
      <c r="AJ95" s="7" t="s">
        <v>79</v>
      </c>
      <c r="AK95" s="7" t="s">
        <v>79</v>
      </c>
      <c r="AL95" s="13">
        <v>80000</v>
      </c>
      <c r="AM95" s="7" t="s">
        <v>371</v>
      </c>
      <c r="AN95" s="7" t="s">
        <v>85</v>
      </c>
      <c r="AO95" s="7" t="s">
        <v>85</v>
      </c>
      <c r="AP95" s="7" t="s">
        <v>129</v>
      </c>
      <c r="AQ95" s="7" t="s">
        <v>85</v>
      </c>
      <c r="AR95" s="7" t="s">
        <v>85</v>
      </c>
      <c r="AS95" s="12">
        <v>0</v>
      </c>
      <c r="AT95" s="12">
        <v>0</v>
      </c>
      <c r="AU95" s="7" t="s">
        <v>91</v>
      </c>
      <c r="AV95" s="7" t="s">
        <v>85</v>
      </c>
      <c r="AW95" s="7" t="s">
        <v>91</v>
      </c>
      <c r="AX95" s="7" t="s">
        <v>91</v>
      </c>
      <c r="AY95" s="7" t="s">
        <v>85</v>
      </c>
      <c r="AZ95" s="7" t="s">
        <v>93</v>
      </c>
      <c r="BA95" s="7" t="s">
        <v>85</v>
      </c>
      <c r="BB95" s="7" t="s">
        <v>85</v>
      </c>
      <c r="BC95" s="7" t="s">
        <v>91</v>
      </c>
      <c r="BD95" s="7" t="s">
        <v>79</v>
      </c>
      <c r="BE95" s="7" t="s">
        <v>300</v>
      </c>
      <c r="BF95" s="7" t="s">
        <v>85</v>
      </c>
      <c r="BG95" s="7" t="s">
        <v>85</v>
      </c>
      <c r="BH95" s="7" t="s">
        <v>85</v>
      </c>
      <c r="BI95" s="7" t="s">
        <v>91</v>
      </c>
      <c r="BJ95" s="7" t="s">
        <v>91</v>
      </c>
      <c r="BK95" s="7" t="s">
        <v>85</v>
      </c>
      <c r="BL95" s="7" t="s">
        <v>85</v>
      </c>
      <c r="BM95" s="7" t="s">
        <v>95</v>
      </c>
      <c r="BN95" s="7" t="s">
        <v>96</v>
      </c>
      <c r="BO95" s="12">
        <v>0</v>
      </c>
      <c r="BP95" s="7" t="s">
        <v>85</v>
      </c>
      <c r="BQ95" s="7" t="s">
        <v>85</v>
      </c>
      <c r="BR95" s="7" t="s">
        <v>91</v>
      </c>
      <c r="BS95" s="7" t="s">
        <v>85</v>
      </c>
      <c r="BT95" s="16" t="s">
        <v>388</v>
      </c>
      <c r="BU95" s="16" t="s">
        <v>461</v>
      </c>
      <c r="BV95" s="16" t="s">
        <v>389</v>
      </c>
      <c r="BW95" s="16" t="s">
        <v>1217</v>
      </c>
      <c r="BX95" s="16" t="s">
        <v>511</v>
      </c>
    </row>
    <row r="96" spans="1:76" s="7" customFormat="1">
      <c r="A96" s="14">
        <v>46153</v>
      </c>
      <c r="B96" s="14">
        <v>46153</v>
      </c>
      <c r="C96" s="15">
        <v>0.4369212962963</v>
      </c>
      <c r="D96" s="16" t="s">
        <v>412</v>
      </c>
      <c r="E96" s="14">
        <v>46153</v>
      </c>
      <c r="F96" s="16" t="s">
        <v>516</v>
      </c>
      <c r="G96" s="16" t="s">
        <v>365</v>
      </c>
      <c r="H96" s="16" t="str">
        <f>VLOOKUP(G96,[1]Sheet3!A:B,2,0)</f>
        <v>ADMD</v>
      </c>
      <c r="I96" s="7" t="s">
        <v>76</v>
      </c>
      <c r="J96" s="7" t="s">
        <v>532</v>
      </c>
      <c r="K96" s="16" t="s">
        <v>413</v>
      </c>
      <c r="L96" s="16" t="s">
        <v>301</v>
      </c>
      <c r="M96" s="17">
        <v>40000</v>
      </c>
      <c r="N96" s="16" t="s">
        <v>79</v>
      </c>
      <c r="O96" s="16" t="s">
        <v>536</v>
      </c>
      <c r="P96" s="16" t="s">
        <v>516</v>
      </c>
      <c r="Q96" s="17">
        <v>40000</v>
      </c>
      <c r="R96" s="7" t="s">
        <v>516</v>
      </c>
      <c r="S96" s="7" t="s">
        <v>83</v>
      </c>
      <c r="T96" s="7" t="s">
        <v>370</v>
      </c>
      <c r="U96" s="12">
        <v>2933028.11</v>
      </c>
      <c r="V96" s="7" t="s">
        <v>85</v>
      </c>
      <c r="W96" s="7" t="s">
        <v>85</v>
      </c>
      <c r="X96" s="7" t="s">
        <v>86</v>
      </c>
      <c r="Y96" s="7" t="s">
        <v>371</v>
      </c>
      <c r="Z96" s="7" t="s">
        <v>372</v>
      </c>
      <c r="AA96" s="7" t="s">
        <v>89</v>
      </c>
      <c r="AB96" s="7" t="s">
        <v>85</v>
      </c>
      <c r="AC96" s="7" t="s">
        <v>131</v>
      </c>
      <c r="AD96" s="7" t="s">
        <v>85</v>
      </c>
      <c r="AE96" s="7" t="s">
        <v>85</v>
      </c>
      <c r="AF96" s="7" t="s">
        <v>91</v>
      </c>
      <c r="AG96" s="7" t="s">
        <v>85</v>
      </c>
      <c r="AH96" s="7" t="s">
        <v>91</v>
      </c>
      <c r="AI96" s="13">
        <v>40000</v>
      </c>
      <c r="AJ96" s="7" t="s">
        <v>79</v>
      </c>
      <c r="AK96" s="7" t="s">
        <v>79</v>
      </c>
      <c r="AL96" s="13">
        <v>40000</v>
      </c>
      <c r="AM96" s="7" t="s">
        <v>371</v>
      </c>
      <c r="AN96" s="7" t="s">
        <v>85</v>
      </c>
      <c r="AO96" s="7" t="s">
        <v>85</v>
      </c>
      <c r="AP96" s="7" t="s">
        <v>442</v>
      </c>
      <c r="AQ96" s="7" t="s">
        <v>85</v>
      </c>
      <c r="AR96" s="7" t="s">
        <v>85</v>
      </c>
      <c r="AS96" s="12">
        <v>0</v>
      </c>
      <c r="AT96" s="12">
        <v>0</v>
      </c>
      <c r="AU96" s="7" t="s">
        <v>91</v>
      </c>
      <c r="AV96" s="7" t="s">
        <v>85</v>
      </c>
      <c r="AW96" s="7" t="s">
        <v>91</v>
      </c>
      <c r="AX96" s="7" t="s">
        <v>91</v>
      </c>
      <c r="AY96" s="7" t="s">
        <v>85</v>
      </c>
      <c r="AZ96" s="7" t="s">
        <v>93</v>
      </c>
      <c r="BA96" s="7" t="s">
        <v>85</v>
      </c>
      <c r="BB96" s="7" t="s">
        <v>85</v>
      </c>
      <c r="BC96" s="7" t="s">
        <v>91</v>
      </c>
      <c r="BD96" s="7" t="s">
        <v>79</v>
      </c>
      <c r="BE96" s="7" t="s">
        <v>300</v>
      </c>
      <c r="BF96" s="7" t="s">
        <v>85</v>
      </c>
      <c r="BG96" s="7" t="s">
        <v>85</v>
      </c>
      <c r="BH96" s="7" t="s">
        <v>85</v>
      </c>
      <c r="BI96" s="7" t="s">
        <v>91</v>
      </c>
      <c r="BJ96" s="7" t="s">
        <v>91</v>
      </c>
      <c r="BK96" s="7" t="s">
        <v>85</v>
      </c>
      <c r="BL96" s="7" t="s">
        <v>85</v>
      </c>
      <c r="BM96" s="7" t="s">
        <v>95</v>
      </c>
      <c r="BN96" s="7" t="s">
        <v>96</v>
      </c>
      <c r="BO96" s="12">
        <v>0</v>
      </c>
      <c r="BP96" s="7" t="s">
        <v>85</v>
      </c>
      <c r="BQ96" s="7" t="s">
        <v>85</v>
      </c>
      <c r="BR96" s="7" t="s">
        <v>91</v>
      </c>
      <c r="BS96" s="7" t="s">
        <v>85</v>
      </c>
      <c r="BT96" s="16" t="s">
        <v>388</v>
      </c>
      <c r="BU96" s="16" t="s">
        <v>461</v>
      </c>
      <c r="BV96" s="16" t="s">
        <v>389</v>
      </c>
      <c r="BW96" s="16" t="s">
        <v>1217</v>
      </c>
      <c r="BX96" s="16" t="s">
        <v>511</v>
      </c>
    </row>
    <row r="97" spans="1:76" s="7" customFormat="1">
      <c r="A97" s="14">
        <v>46153</v>
      </c>
      <c r="B97" s="14">
        <v>46153</v>
      </c>
      <c r="C97" s="15">
        <v>0.4369212962963</v>
      </c>
      <c r="D97" s="16" t="s">
        <v>412</v>
      </c>
      <c r="E97" s="14">
        <v>46153</v>
      </c>
      <c r="F97" s="16" t="s">
        <v>516</v>
      </c>
      <c r="G97" s="16" t="s">
        <v>365</v>
      </c>
      <c r="H97" s="16" t="str">
        <f>VLOOKUP(G97,[1]Sheet3!A:B,2,0)</f>
        <v>ADMD</v>
      </c>
      <c r="I97" s="7" t="s">
        <v>76</v>
      </c>
      <c r="J97" s="7" t="s">
        <v>532</v>
      </c>
      <c r="K97" s="16" t="s">
        <v>413</v>
      </c>
      <c r="L97" s="16" t="s">
        <v>301</v>
      </c>
      <c r="M97" s="17">
        <v>80000</v>
      </c>
      <c r="N97" s="16" t="s">
        <v>79</v>
      </c>
      <c r="O97" s="16" t="s">
        <v>537</v>
      </c>
      <c r="P97" s="16" t="s">
        <v>516</v>
      </c>
      <c r="Q97" s="17">
        <v>80000</v>
      </c>
      <c r="R97" s="7" t="s">
        <v>516</v>
      </c>
      <c r="S97" s="7" t="s">
        <v>83</v>
      </c>
      <c r="T97" s="7" t="s">
        <v>370</v>
      </c>
      <c r="U97" s="12">
        <v>5866056.1900000004</v>
      </c>
      <c r="V97" s="7" t="s">
        <v>85</v>
      </c>
      <c r="W97" s="7" t="s">
        <v>85</v>
      </c>
      <c r="X97" s="7" t="s">
        <v>86</v>
      </c>
      <c r="Y97" s="7" t="s">
        <v>371</v>
      </c>
      <c r="Z97" s="7" t="s">
        <v>372</v>
      </c>
      <c r="AA97" s="7" t="s">
        <v>89</v>
      </c>
      <c r="AB97" s="7" t="s">
        <v>85</v>
      </c>
      <c r="AC97" s="7" t="s">
        <v>134</v>
      </c>
      <c r="AD97" s="7" t="s">
        <v>85</v>
      </c>
      <c r="AE97" s="7" t="s">
        <v>85</v>
      </c>
      <c r="AF97" s="7" t="s">
        <v>91</v>
      </c>
      <c r="AG97" s="7" t="s">
        <v>85</v>
      </c>
      <c r="AH97" s="7" t="s">
        <v>91</v>
      </c>
      <c r="AI97" s="13">
        <v>80000</v>
      </c>
      <c r="AJ97" s="7" t="s">
        <v>79</v>
      </c>
      <c r="AK97" s="7" t="s">
        <v>79</v>
      </c>
      <c r="AL97" s="13">
        <v>80000</v>
      </c>
      <c r="AM97" s="7" t="s">
        <v>371</v>
      </c>
      <c r="AN97" s="7" t="s">
        <v>85</v>
      </c>
      <c r="AO97" s="7" t="s">
        <v>85</v>
      </c>
      <c r="AP97" s="7" t="s">
        <v>442</v>
      </c>
      <c r="AQ97" s="7" t="s">
        <v>85</v>
      </c>
      <c r="AR97" s="7" t="s">
        <v>85</v>
      </c>
      <c r="AS97" s="12">
        <v>0</v>
      </c>
      <c r="AT97" s="12">
        <v>0</v>
      </c>
      <c r="AU97" s="7" t="s">
        <v>91</v>
      </c>
      <c r="AV97" s="7" t="s">
        <v>85</v>
      </c>
      <c r="AW97" s="7" t="s">
        <v>91</v>
      </c>
      <c r="AX97" s="7" t="s">
        <v>91</v>
      </c>
      <c r="AY97" s="7" t="s">
        <v>85</v>
      </c>
      <c r="AZ97" s="7" t="s">
        <v>93</v>
      </c>
      <c r="BA97" s="7" t="s">
        <v>85</v>
      </c>
      <c r="BB97" s="7" t="s">
        <v>85</v>
      </c>
      <c r="BC97" s="7" t="s">
        <v>91</v>
      </c>
      <c r="BD97" s="7" t="s">
        <v>79</v>
      </c>
      <c r="BE97" s="7" t="s">
        <v>300</v>
      </c>
      <c r="BF97" s="7" t="s">
        <v>85</v>
      </c>
      <c r="BG97" s="7" t="s">
        <v>85</v>
      </c>
      <c r="BH97" s="7" t="s">
        <v>85</v>
      </c>
      <c r="BI97" s="7" t="s">
        <v>91</v>
      </c>
      <c r="BJ97" s="7" t="s">
        <v>91</v>
      </c>
      <c r="BK97" s="7" t="s">
        <v>85</v>
      </c>
      <c r="BL97" s="7" t="s">
        <v>85</v>
      </c>
      <c r="BM97" s="7" t="s">
        <v>95</v>
      </c>
      <c r="BN97" s="7" t="s">
        <v>96</v>
      </c>
      <c r="BO97" s="12">
        <v>0</v>
      </c>
      <c r="BP97" s="7" t="s">
        <v>85</v>
      </c>
      <c r="BQ97" s="7" t="s">
        <v>85</v>
      </c>
      <c r="BR97" s="7" t="s">
        <v>91</v>
      </c>
      <c r="BS97" s="7" t="s">
        <v>85</v>
      </c>
      <c r="BT97" s="16" t="s">
        <v>388</v>
      </c>
      <c r="BU97" s="16" t="s">
        <v>461</v>
      </c>
      <c r="BV97" s="16" t="s">
        <v>389</v>
      </c>
      <c r="BW97" s="16" t="s">
        <v>1217</v>
      </c>
      <c r="BX97" s="16" t="s">
        <v>511</v>
      </c>
    </row>
    <row r="98" spans="1:76" s="7" customFormat="1">
      <c r="A98" s="14">
        <v>46154</v>
      </c>
      <c r="B98" s="14">
        <v>46160</v>
      </c>
      <c r="C98" s="15">
        <v>0.51490740740741003</v>
      </c>
      <c r="D98" s="16" t="s">
        <v>538</v>
      </c>
      <c r="E98" s="14">
        <v>46154</v>
      </c>
      <c r="F98" s="16" t="s">
        <v>516</v>
      </c>
      <c r="G98" s="16" t="s">
        <v>365</v>
      </c>
      <c r="H98" s="16" t="str">
        <f>VLOOKUP(G98,[1]Sheet3!A:B,2,0)</f>
        <v>ADMD</v>
      </c>
      <c r="I98" s="7" t="s">
        <v>76</v>
      </c>
      <c r="J98" s="7" t="s">
        <v>539</v>
      </c>
      <c r="K98" s="16" t="s">
        <v>540</v>
      </c>
      <c r="L98" s="16" t="s">
        <v>541</v>
      </c>
      <c r="M98" s="17">
        <v>15000</v>
      </c>
      <c r="N98" s="16" t="s">
        <v>79</v>
      </c>
      <c r="O98" s="16" t="s">
        <v>542</v>
      </c>
      <c r="P98" s="16" t="s">
        <v>85</v>
      </c>
      <c r="Q98" s="17">
        <v>15000</v>
      </c>
      <c r="R98" s="7" t="s">
        <v>85</v>
      </c>
      <c r="S98" s="7" t="s">
        <v>122</v>
      </c>
      <c r="T98" s="7" t="s">
        <v>370</v>
      </c>
      <c r="U98" s="12">
        <v>15000</v>
      </c>
      <c r="V98" s="7" t="s">
        <v>85</v>
      </c>
      <c r="W98" s="7" t="s">
        <v>85</v>
      </c>
      <c r="X98" s="7" t="s">
        <v>86</v>
      </c>
      <c r="Y98" s="7" t="s">
        <v>371</v>
      </c>
      <c r="Z98" s="7" t="s">
        <v>372</v>
      </c>
      <c r="AA98" s="7" t="s">
        <v>89</v>
      </c>
      <c r="AB98" s="7" t="s">
        <v>85</v>
      </c>
      <c r="AC98" s="7" t="s">
        <v>98</v>
      </c>
      <c r="AD98" s="7" t="s">
        <v>85</v>
      </c>
      <c r="AE98" s="7" t="s">
        <v>85</v>
      </c>
      <c r="AF98" s="7" t="s">
        <v>91</v>
      </c>
      <c r="AG98" s="7" t="s">
        <v>85</v>
      </c>
      <c r="AH98" s="7" t="s">
        <v>91</v>
      </c>
      <c r="AI98" s="13">
        <v>15000</v>
      </c>
      <c r="AJ98" s="7" t="s">
        <v>79</v>
      </c>
      <c r="AK98" s="7" t="s">
        <v>79</v>
      </c>
      <c r="AL98" s="13">
        <v>15000</v>
      </c>
      <c r="AM98" s="7" t="s">
        <v>371</v>
      </c>
      <c r="AN98" s="7" t="s">
        <v>85</v>
      </c>
      <c r="AO98" s="7" t="s">
        <v>85</v>
      </c>
      <c r="AP98" s="7" t="s">
        <v>397</v>
      </c>
      <c r="AQ98" s="7" t="s">
        <v>85</v>
      </c>
      <c r="AR98" s="7" t="s">
        <v>85</v>
      </c>
      <c r="AS98" s="12">
        <v>0</v>
      </c>
      <c r="AT98" s="12">
        <v>0</v>
      </c>
      <c r="AU98" s="7" t="s">
        <v>91</v>
      </c>
      <c r="AV98" s="7" t="s">
        <v>85</v>
      </c>
      <c r="AW98" s="7" t="s">
        <v>91</v>
      </c>
      <c r="AX98" s="7" t="s">
        <v>91</v>
      </c>
      <c r="AY98" s="7" t="s">
        <v>85</v>
      </c>
      <c r="AZ98" s="7" t="s">
        <v>93</v>
      </c>
      <c r="BA98" s="7" t="s">
        <v>85</v>
      </c>
      <c r="BB98" s="7" t="s">
        <v>85</v>
      </c>
      <c r="BC98" s="7" t="s">
        <v>91</v>
      </c>
      <c r="BD98" s="7" t="s">
        <v>79</v>
      </c>
      <c r="BE98" s="7" t="s">
        <v>300</v>
      </c>
      <c r="BF98" s="7" t="s">
        <v>85</v>
      </c>
      <c r="BG98" s="7" t="s">
        <v>85</v>
      </c>
      <c r="BH98" s="7" t="s">
        <v>85</v>
      </c>
      <c r="BI98" s="7" t="s">
        <v>91</v>
      </c>
      <c r="BJ98" s="7" t="s">
        <v>91</v>
      </c>
      <c r="BK98" s="7" t="s">
        <v>85</v>
      </c>
      <c r="BL98" s="7" t="s">
        <v>85</v>
      </c>
      <c r="BM98" s="7" t="s">
        <v>95</v>
      </c>
      <c r="BN98" s="7" t="s">
        <v>96</v>
      </c>
      <c r="BO98" s="12">
        <v>0</v>
      </c>
      <c r="BP98" s="7" t="s">
        <v>85</v>
      </c>
      <c r="BQ98" s="7" t="s">
        <v>85</v>
      </c>
      <c r="BR98" s="7" t="s">
        <v>91</v>
      </c>
      <c r="BS98" s="7" t="s">
        <v>85</v>
      </c>
      <c r="BT98" s="16" t="s">
        <v>388</v>
      </c>
      <c r="BU98" s="16" t="s">
        <v>461</v>
      </c>
      <c r="BV98" s="16" t="s">
        <v>389</v>
      </c>
      <c r="BW98" s="16" t="s">
        <v>1217</v>
      </c>
      <c r="BX98" s="16" t="s">
        <v>511</v>
      </c>
    </row>
    <row r="99" spans="1:76" s="7" customFormat="1">
      <c r="A99" s="14">
        <v>46154</v>
      </c>
      <c r="B99" s="14">
        <v>46160</v>
      </c>
      <c r="C99" s="15">
        <v>0.51490740740741003</v>
      </c>
      <c r="D99" s="16" t="s">
        <v>543</v>
      </c>
      <c r="E99" s="14">
        <v>46154</v>
      </c>
      <c r="F99" s="16" t="s">
        <v>516</v>
      </c>
      <c r="G99" s="16" t="s">
        <v>365</v>
      </c>
      <c r="H99" s="16" t="str">
        <f>VLOOKUP(G99,[1]Sheet3!A:B,2,0)</f>
        <v>ADMD</v>
      </c>
      <c r="I99" s="7" t="s">
        <v>76</v>
      </c>
      <c r="J99" s="7" t="s">
        <v>539</v>
      </c>
      <c r="K99" s="16" t="s">
        <v>544</v>
      </c>
      <c r="L99" s="16" t="s">
        <v>545</v>
      </c>
      <c r="M99" s="17">
        <v>20000</v>
      </c>
      <c r="N99" s="16" t="s">
        <v>79</v>
      </c>
      <c r="O99" s="16" t="s">
        <v>546</v>
      </c>
      <c r="P99" s="16" t="s">
        <v>85</v>
      </c>
      <c r="Q99" s="17">
        <v>20000</v>
      </c>
      <c r="R99" s="7" t="s">
        <v>85</v>
      </c>
      <c r="S99" s="7" t="s">
        <v>122</v>
      </c>
      <c r="T99" s="7" t="s">
        <v>370</v>
      </c>
      <c r="U99" s="12">
        <v>20000</v>
      </c>
      <c r="V99" s="7" t="s">
        <v>85</v>
      </c>
      <c r="W99" s="7" t="s">
        <v>85</v>
      </c>
      <c r="X99" s="7" t="s">
        <v>86</v>
      </c>
      <c r="Y99" s="7" t="s">
        <v>371</v>
      </c>
      <c r="Z99" s="7" t="s">
        <v>372</v>
      </c>
      <c r="AA99" s="7" t="s">
        <v>89</v>
      </c>
      <c r="AB99" s="7" t="s">
        <v>85</v>
      </c>
      <c r="AC99" s="7" t="s">
        <v>90</v>
      </c>
      <c r="AD99" s="7" t="s">
        <v>85</v>
      </c>
      <c r="AE99" s="7" t="s">
        <v>85</v>
      </c>
      <c r="AF99" s="7" t="s">
        <v>91</v>
      </c>
      <c r="AG99" s="7" t="s">
        <v>85</v>
      </c>
      <c r="AH99" s="7" t="s">
        <v>91</v>
      </c>
      <c r="AI99" s="13">
        <v>20000</v>
      </c>
      <c r="AJ99" s="7" t="s">
        <v>79</v>
      </c>
      <c r="AK99" s="7" t="s">
        <v>79</v>
      </c>
      <c r="AL99" s="13">
        <v>20000</v>
      </c>
      <c r="AM99" s="7" t="s">
        <v>371</v>
      </c>
      <c r="AN99" s="7" t="s">
        <v>85</v>
      </c>
      <c r="AO99" s="7" t="s">
        <v>85</v>
      </c>
      <c r="AP99" s="7" t="s">
        <v>402</v>
      </c>
      <c r="AQ99" s="7" t="s">
        <v>85</v>
      </c>
      <c r="AR99" s="7" t="s">
        <v>85</v>
      </c>
      <c r="AS99" s="12">
        <v>0</v>
      </c>
      <c r="AT99" s="12">
        <v>0</v>
      </c>
      <c r="AU99" s="7" t="s">
        <v>91</v>
      </c>
      <c r="AV99" s="7" t="s">
        <v>85</v>
      </c>
      <c r="AW99" s="7" t="s">
        <v>91</v>
      </c>
      <c r="AX99" s="7" t="s">
        <v>91</v>
      </c>
      <c r="AY99" s="7" t="s">
        <v>85</v>
      </c>
      <c r="AZ99" s="7" t="s">
        <v>93</v>
      </c>
      <c r="BA99" s="7" t="s">
        <v>85</v>
      </c>
      <c r="BB99" s="7" t="s">
        <v>85</v>
      </c>
      <c r="BC99" s="7" t="s">
        <v>91</v>
      </c>
      <c r="BD99" s="7" t="s">
        <v>79</v>
      </c>
      <c r="BE99" s="7" t="s">
        <v>300</v>
      </c>
      <c r="BF99" s="7" t="s">
        <v>85</v>
      </c>
      <c r="BG99" s="7" t="s">
        <v>85</v>
      </c>
      <c r="BH99" s="7" t="s">
        <v>85</v>
      </c>
      <c r="BI99" s="7" t="s">
        <v>91</v>
      </c>
      <c r="BJ99" s="7" t="s">
        <v>91</v>
      </c>
      <c r="BK99" s="7" t="s">
        <v>85</v>
      </c>
      <c r="BL99" s="7" t="s">
        <v>85</v>
      </c>
      <c r="BM99" s="7" t="s">
        <v>95</v>
      </c>
      <c r="BN99" s="7" t="s">
        <v>96</v>
      </c>
      <c r="BO99" s="12">
        <v>0</v>
      </c>
      <c r="BP99" s="7" t="s">
        <v>85</v>
      </c>
      <c r="BQ99" s="7" t="s">
        <v>85</v>
      </c>
      <c r="BR99" s="7" t="s">
        <v>91</v>
      </c>
      <c r="BS99" s="7" t="s">
        <v>85</v>
      </c>
      <c r="BT99" s="16" t="s">
        <v>388</v>
      </c>
      <c r="BU99" s="16" t="s">
        <v>461</v>
      </c>
      <c r="BV99" s="16" t="s">
        <v>389</v>
      </c>
      <c r="BW99" s="16" t="s">
        <v>1217</v>
      </c>
      <c r="BX99" s="16" t="s">
        <v>511</v>
      </c>
    </row>
    <row r="100" spans="1:76" s="7" customFormat="1">
      <c r="A100" s="14">
        <v>46154</v>
      </c>
      <c r="B100" s="14">
        <v>46160</v>
      </c>
      <c r="C100" s="15">
        <v>0.51490740740741003</v>
      </c>
      <c r="D100" s="16" t="s">
        <v>547</v>
      </c>
      <c r="E100" s="14">
        <v>46154</v>
      </c>
      <c r="F100" s="16" t="s">
        <v>516</v>
      </c>
      <c r="G100" s="16" t="s">
        <v>365</v>
      </c>
      <c r="H100" s="16" t="str">
        <f>VLOOKUP(G100,[1]Sheet3!A:B,2,0)</f>
        <v>ADMD</v>
      </c>
      <c r="I100" s="7" t="s">
        <v>76</v>
      </c>
      <c r="J100" s="7" t="s">
        <v>539</v>
      </c>
      <c r="K100" s="16" t="s">
        <v>548</v>
      </c>
      <c r="L100" s="16" t="s">
        <v>549</v>
      </c>
      <c r="M100" s="17">
        <v>50000</v>
      </c>
      <c r="N100" s="16" t="s">
        <v>79</v>
      </c>
      <c r="O100" s="16" t="s">
        <v>550</v>
      </c>
      <c r="P100" s="16" t="s">
        <v>85</v>
      </c>
      <c r="Q100" s="17">
        <v>50000</v>
      </c>
      <c r="R100" s="7" t="s">
        <v>85</v>
      </c>
      <c r="S100" s="7" t="s">
        <v>122</v>
      </c>
      <c r="T100" s="7" t="s">
        <v>370</v>
      </c>
      <c r="U100" s="12">
        <v>50000</v>
      </c>
      <c r="V100" s="7" t="s">
        <v>85</v>
      </c>
      <c r="W100" s="7" t="s">
        <v>85</v>
      </c>
      <c r="X100" s="7" t="s">
        <v>86</v>
      </c>
      <c r="Y100" s="7" t="s">
        <v>371</v>
      </c>
      <c r="Z100" s="7" t="s">
        <v>372</v>
      </c>
      <c r="AA100" s="7" t="s">
        <v>89</v>
      </c>
      <c r="AB100" s="7" t="s">
        <v>85</v>
      </c>
      <c r="AC100" s="7" t="s">
        <v>112</v>
      </c>
      <c r="AD100" s="7" t="s">
        <v>85</v>
      </c>
      <c r="AE100" s="7" t="s">
        <v>85</v>
      </c>
      <c r="AF100" s="7" t="s">
        <v>91</v>
      </c>
      <c r="AG100" s="7" t="s">
        <v>85</v>
      </c>
      <c r="AH100" s="7" t="s">
        <v>91</v>
      </c>
      <c r="AI100" s="13">
        <v>50000</v>
      </c>
      <c r="AJ100" s="7" t="s">
        <v>79</v>
      </c>
      <c r="AK100" s="7" t="s">
        <v>79</v>
      </c>
      <c r="AL100" s="13">
        <v>50000</v>
      </c>
      <c r="AM100" s="7" t="s">
        <v>371</v>
      </c>
      <c r="AN100" s="7" t="s">
        <v>85</v>
      </c>
      <c r="AO100" s="7" t="s">
        <v>85</v>
      </c>
      <c r="AP100" s="7" t="s">
        <v>551</v>
      </c>
      <c r="AQ100" s="7" t="s">
        <v>85</v>
      </c>
      <c r="AR100" s="7" t="s">
        <v>85</v>
      </c>
      <c r="AS100" s="12">
        <v>0</v>
      </c>
      <c r="AT100" s="12">
        <v>0</v>
      </c>
      <c r="AU100" s="7" t="s">
        <v>91</v>
      </c>
      <c r="AV100" s="7" t="s">
        <v>85</v>
      </c>
      <c r="AW100" s="7" t="s">
        <v>91</v>
      </c>
      <c r="AX100" s="7" t="s">
        <v>91</v>
      </c>
      <c r="AY100" s="7" t="s">
        <v>85</v>
      </c>
      <c r="AZ100" s="7" t="s">
        <v>93</v>
      </c>
      <c r="BA100" s="7" t="s">
        <v>85</v>
      </c>
      <c r="BB100" s="7" t="s">
        <v>85</v>
      </c>
      <c r="BC100" s="7" t="s">
        <v>91</v>
      </c>
      <c r="BD100" s="7" t="s">
        <v>79</v>
      </c>
      <c r="BE100" s="7" t="s">
        <v>300</v>
      </c>
      <c r="BF100" s="7" t="s">
        <v>85</v>
      </c>
      <c r="BG100" s="7" t="s">
        <v>85</v>
      </c>
      <c r="BH100" s="7" t="s">
        <v>85</v>
      </c>
      <c r="BI100" s="7" t="s">
        <v>91</v>
      </c>
      <c r="BJ100" s="7" t="s">
        <v>91</v>
      </c>
      <c r="BK100" s="7" t="s">
        <v>85</v>
      </c>
      <c r="BL100" s="7" t="s">
        <v>85</v>
      </c>
      <c r="BM100" s="7" t="s">
        <v>95</v>
      </c>
      <c r="BN100" s="7" t="s">
        <v>96</v>
      </c>
      <c r="BO100" s="12">
        <v>0</v>
      </c>
      <c r="BP100" s="7" t="s">
        <v>85</v>
      </c>
      <c r="BQ100" s="7" t="s">
        <v>85</v>
      </c>
      <c r="BR100" s="7" t="s">
        <v>91</v>
      </c>
      <c r="BS100" s="7" t="s">
        <v>85</v>
      </c>
      <c r="BT100" s="16" t="s">
        <v>388</v>
      </c>
      <c r="BU100" s="16" t="s">
        <v>461</v>
      </c>
      <c r="BV100" s="16" t="s">
        <v>389</v>
      </c>
      <c r="BW100" s="16" t="s">
        <v>1217</v>
      </c>
      <c r="BX100" s="16" t="s">
        <v>511</v>
      </c>
    </row>
    <row r="101" spans="1:76" s="7" customFormat="1">
      <c r="A101" s="14">
        <v>46154</v>
      </c>
      <c r="B101" s="14">
        <v>46160</v>
      </c>
      <c r="C101" s="15">
        <v>0.51490740740741003</v>
      </c>
      <c r="D101" s="16" t="s">
        <v>552</v>
      </c>
      <c r="E101" s="14">
        <v>46154</v>
      </c>
      <c r="F101" s="16" t="s">
        <v>516</v>
      </c>
      <c r="G101" s="16" t="s">
        <v>365</v>
      </c>
      <c r="H101" s="16" t="str">
        <f>VLOOKUP(G101,[1]Sheet3!A:B,2,0)</f>
        <v>ADMD</v>
      </c>
      <c r="I101" s="7" t="s">
        <v>76</v>
      </c>
      <c r="J101" s="7" t="s">
        <v>539</v>
      </c>
      <c r="K101" s="16" t="s">
        <v>553</v>
      </c>
      <c r="L101" s="16" t="s">
        <v>554</v>
      </c>
      <c r="M101" s="17">
        <v>30000</v>
      </c>
      <c r="N101" s="16" t="s">
        <v>79</v>
      </c>
      <c r="O101" s="16" t="s">
        <v>555</v>
      </c>
      <c r="P101" s="16" t="s">
        <v>85</v>
      </c>
      <c r="Q101" s="17">
        <v>30000</v>
      </c>
      <c r="R101" s="7" t="s">
        <v>85</v>
      </c>
      <c r="S101" s="7" t="s">
        <v>122</v>
      </c>
      <c r="T101" s="7" t="s">
        <v>370</v>
      </c>
      <c r="U101" s="12">
        <v>30000</v>
      </c>
      <c r="V101" s="7" t="s">
        <v>85</v>
      </c>
      <c r="W101" s="7" t="s">
        <v>85</v>
      </c>
      <c r="X101" s="7" t="s">
        <v>86</v>
      </c>
      <c r="Y101" s="7" t="s">
        <v>371</v>
      </c>
      <c r="Z101" s="7" t="s">
        <v>372</v>
      </c>
      <c r="AA101" s="7" t="s">
        <v>89</v>
      </c>
      <c r="AB101" s="7" t="s">
        <v>85</v>
      </c>
      <c r="AC101" s="7" t="s">
        <v>134</v>
      </c>
      <c r="AD101" s="7" t="s">
        <v>85</v>
      </c>
      <c r="AE101" s="7" t="s">
        <v>85</v>
      </c>
      <c r="AF101" s="7" t="s">
        <v>91</v>
      </c>
      <c r="AG101" s="7" t="s">
        <v>85</v>
      </c>
      <c r="AH101" s="7" t="s">
        <v>91</v>
      </c>
      <c r="AI101" s="13">
        <v>30000</v>
      </c>
      <c r="AJ101" s="7" t="s">
        <v>79</v>
      </c>
      <c r="AK101" s="7" t="s">
        <v>79</v>
      </c>
      <c r="AL101" s="13">
        <v>30000</v>
      </c>
      <c r="AM101" s="7" t="s">
        <v>371</v>
      </c>
      <c r="AN101" s="7" t="s">
        <v>85</v>
      </c>
      <c r="AO101" s="7" t="s">
        <v>85</v>
      </c>
      <c r="AP101" s="7" t="s">
        <v>556</v>
      </c>
      <c r="AQ101" s="7" t="s">
        <v>85</v>
      </c>
      <c r="AR101" s="7" t="s">
        <v>85</v>
      </c>
      <c r="AS101" s="12">
        <v>0</v>
      </c>
      <c r="AT101" s="12">
        <v>0</v>
      </c>
      <c r="AU101" s="7" t="s">
        <v>91</v>
      </c>
      <c r="AV101" s="7" t="s">
        <v>85</v>
      </c>
      <c r="AW101" s="7" t="s">
        <v>91</v>
      </c>
      <c r="AX101" s="7" t="s">
        <v>91</v>
      </c>
      <c r="AY101" s="7" t="s">
        <v>85</v>
      </c>
      <c r="AZ101" s="7" t="s">
        <v>93</v>
      </c>
      <c r="BA101" s="7" t="s">
        <v>85</v>
      </c>
      <c r="BB101" s="7" t="s">
        <v>85</v>
      </c>
      <c r="BC101" s="7" t="s">
        <v>91</v>
      </c>
      <c r="BD101" s="7" t="s">
        <v>79</v>
      </c>
      <c r="BE101" s="7" t="s">
        <v>300</v>
      </c>
      <c r="BF101" s="7" t="s">
        <v>85</v>
      </c>
      <c r="BG101" s="7" t="s">
        <v>85</v>
      </c>
      <c r="BH101" s="7" t="s">
        <v>85</v>
      </c>
      <c r="BI101" s="7" t="s">
        <v>91</v>
      </c>
      <c r="BJ101" s="7" t="s">
        <v>91</v>
      </c>
      <c r="BK101" s="7" t="s">
        <v>85</v>
      </c>
      <c r="BL101" s="7" t="s">
        <v>85</v>
      </c>
      <c r="BM101" s="7" t="s">
        <v>95</v>
      </c>
      <c r="BN101" s="7" t="s">
        <v>96</v>
      </c>
      <c r="BO101" s="12">
        <v>0</v>
      </c>
      <c r="BP101" s="7" t="s">
        <v>85</v>
      </c>
      <c r="BQ101" s="7" t="s">
        <v>85</v>
      </c>
      <c r="BR101" s="7" t="s">
        <v>91</v>
      </c>
      <c r="BS101" s="7" t="s">
        <v>85</v>
      </c>
      <c r="BT101" s="16" t="s">
        <v>388</v>
      </c>
      <c r="BU101" s="16" t="s">
        <v>461</v>
      </c>
      <c r="BV101" s="16" t="s">
        <v>389</v>
      </c>
      <c r="BW101" s="16" t="s">
        <v>1217</v>
      </c>
      <c r="BX101" s="16" t="s">
        <v>511</v>
      </c>
    </row>
    <row r="102" spans="1:76">
      <c r="A102" s="14">
        <v>46175</v>
      </c>
      <c r="B102" s="14">
        <v>46176</v>
      </c>
      <c r="C102" s="15">
        <v>0.40481481481481002</v>
      </c>
      <c r="D102" s="16" t="s">
        <v>1313</v>
      </c>
      <c r="E102" s="14">
        <v>46175</v>
      </c>
      <c r="F102" s="16" t="s">
        <v>1314</v>
      </c>
      <c r="G102" s="16">
        <v>10160020</v>
      </c>
      <c r="H102" s="16" t="s">
        <v>1316</v>
      </c>
      <c r="I102" s="16" t="s">
        <v>76</v>
      </c>
      <c r="J102" s="16" t="s">
        <v>1317</v>
      </c>
      <c r="K102" s="16" t="s">
        <v>1319</v>
      </c>
      <c r="L102" s="16" t="s">
        <v>652</v>
      </c>
      <c r="M102" s="17">
        <v>5940</v>
      </c>
      <c r="N102" s="16" t="s">
        <v>79</v>
      </c>
      <c r="O102" s="16" t="s">
        <v>1320</v>
      </c>
      <c r="P102" s="86"/>
      <c r="Q102" s="17">
        <v>5940</v>
      </c>
      <c r="R102" s="86"/>
      <c r="S102" s="16" t="s">
        <v>83</v>
      </c>
      <c r="T102" s="16" t="s">
        <v>370</v>
      </c>
      <c r="U102" s="39">
        <v>5412754.4800000004</v>
      </c>
      <c r="V102" s="86"/>
      <c r="W102" s="86"/>
      <c r="X102" s="86"/>
      <c r="Y102" s="16" t="s">
        <v>371</v>
      </c>
      <c r="Z102" s="86"/>
      <c r="AA102" s="86"/>
      <c r="AB102" s="86"/>
      <c r="AC102" s="16" t="s">
        <v>98</v>
      </c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 t="s">
        <v>1357</v>
      </c>
      <c r="BV102" s="16" t="s">
        <v>389</v>
      </c>
      <c r="BW102" s="86" t="s">
        <v>1712</v>
      </c>
      <c r="BX102" s="86" t="s">
        <v>1711</v>
      </c>
    </row>
    <row r="103" spans="1:76">
      <c r="A103" s="14">
        <v>46175</v>
      </c>
      <c r="B103" s="14">
        <v>46176</v>
      </c>
      <c r="C103" s="15">
        <v>0.40481481481481002</v>
      </c>
      <c r="D103" s="16" t="s">
        <v>392</v>
      </c>
      <c r="E103" s="14">
        <v>46175</v>
      </c>
      <c r="F103" s="16" t="s">
        <v>1314</v>
      </c>
      <c r="G103" s="16">
        <v>10160020</v>
      </c>
      <c r="H103" s="16" t="s">
        <v>1316</v>
      </c>
      <c r="I103" s="16" t="s">
        <v>76</v>
      </c>
      <c r="J103" s="16" t="s">
        <v>1317</v>
      </c>
      <c r="K103" s="16" t="s">
        <v>396</v>
      </c>
      <c r="L103" s="16" t="s">
        <v>123</v>
      </c>
      <c r="M103" s="17">
        <v>21300</v>
      </c>
      <c r="N103" s="16" t="s">
        <v>79</v>
      </c>
      <c r="O103" s="16" t="s">
        <v>1320</v>
      </c>
      <c r="P103" s="86"/>
      <c r="Q103" s="17">
        <v>21300</v>
      </c>
      <c r="R103" s="86"/>
      <c r="S103" s="16" t="s">
        <v>83</v>
      </c>
      <c r="T103" s="16" t="s">
        <v>370</v>
      </c>
      <c r="U103" s="39">
        <v>19408680.109999999</v>
      </c>
      <c r="V103" s="86"/>
      <c r="W103" s="86"/>
      <c r="X103" s="86"/>
      <c r="Y103" s="16" t="s">
        <v>371</v>
      </c>
      <c r="Z103" s="86"/>
      <c r="AA103" s="86"/>
      <c r="AB103" s="86"/>
      <c r="AC103" s="16" t="s">
        <v>90</v>
      </c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 t="s">
        <v>1357</v>
      </c>
      <c r="BV103" s="16" t="s">
        <v>389</v>
      </c>
      <c r="BW103" s="86" t="s">
        <v>1712</v>
      </c>
      <c r="BX103" s="86" t="s">
        <v>1711</v>
      </c>
    </row>
    <row r="104" spans="1:76">
      <c r="A104" s="14">
        <v>46175</v>
      </c>
      <c r="B104" s="14">
        <v>46176</v>
      </c>
      <c r="C104" s="15">
        <v>0.40481481481481002</v>
      </c>
      <c r="D104" s="16" t="s">
        <v>400</v>
      </c>
      <c r="E104" s="14">
        <v>46175</v>
      </c>
      <c r="F104" s="16" t="s">
        <v>1314</v>
      </c>
      <c r="G104" s="16">
        <v>10160020</v>
      </c>
      <c r="H104" s="16" t="s">
        <v>1316</v>
      </c>
      <c r="I104" s="16" t="s">
        <v>76</v>
      </c>
      <c r="J104" s="16" t="s">
        <v>1317</v>
      </c>
      <c r="K104" s="16" t="s">
        <v>401</v>
      </c>
      <c r="L104" s="16" t="s">
        <v>124</v>
      </c>
      <c r="M104" s="17">
        <v>6600</v>
      </c>
      <c r="N104" s="16" t="s">
        <v>79</v>
      </c>
      <c r="O104" s="16" t="s">
        <v>1320</v>
      </c>
      <c r="P104" s="86"/>
      <c r="Q104" s="17">
        <v>6600</v>
      </c>
      <c r="R104" s="86"/>
      <c r="S104" s="16" t="s">
        <v>83</v>
      </c>
      <c r="T104" s="16" t="s">
        <v>370</v>
      </c>
      <c r="U104" s="39">
        <v>6014677.6900000004</v>
      </c>
      <c r="V104" s="86"/>
      <c r="W104" s="86"/>
      <c r="X104" s="86"/>
      <c r="Y104" s="16" t="s">
        <v>371</v>
      </c>
      <c r="Z104" s="86"/>
      <c r="AA104" s="86"/>
      <c r="AB104" s="86"/>
      <c r="AC104" s="16" t="s">
        <v>112</v>
      </c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/>
      <c r="BK104" s="86"/>
      <c r="BL104" s="86"/>
      <c r="BM104" s="86"/>
      <c r="BN104" s="86"/>
      <c r="BO104" s="86"/>
      <c r="BP104" s="86"/>
      <c r="BQ104" s="86"/>
      <c r="BR104" s="86"/>
      <c r="BS104" s="86"/>
      <c r="BT104" s="86"/>
      <c r="BU104" s="86" t="s">
        <v>1357</v>
      </c>
      <c r="BV104" s="16" t="s">
        <v>389</v>
      </c>
      <c r="BW104" s="86" t="s">
        <v>1712</v>
      </c>
      <c r="BX104" s="86" t="s">
        <v>1711</v>
      </c>
    </row>
    <row r="105" spans="1:76">
      <c r="A105" s="14">
        <v>46188</v>
      </c>
      <c r="B105" s="14">
        <v>46188</v>
      </c>
      <c r="C105" s="15">
        <v>0.63548611111110997</v>
      </c>
      <c r="D105" s="16" t="s">
        <v>1313</v>
      </c>
      <c r="E105" s="14">
        <v>46188</v>
      </c>
      <c r="F105" s="16" t="s">
        <v>1315</v>
      </c>
      <c r="G105" s="16">
        <v>10160020</v>
      </c>
      <c r="H105" s="16" t="s">
        <v>1316</v>
      </c>
      <c r="I105" s="16" t="s">
        <v>76</v>
      </c>
      <c r="J105" s="16" t="s">
        <v>1318</v>
      </c>
      <c r="K105" s="16" t="s">
        <v>1319</v>
      </c>
      <c r="L105" s="16" t="s">
        <v>652</v>
      </c>
      <c r="M105" s="17">
        <v>4000</v>
      </c>
      <c r="N105" s="16" t="s">
        <v>79</v>
      </c>
      <c r="O105" s="16" t="s">
        <v>1321</v>
      </c>
      <c r="P105" s="86"/>
      <c r="Q105" s="17">
        <v>4000</v>
      </c>
      <c r="R105" s="86"/>
      <c r="S105" s="16" t="s">
        <v>122</v>
      </c>
      <c r="T105" s="16" t="s">
        <v>370</v>
      </c>
      <c r="U105" s="39">
        <v>3257386.27</v>
      </c>
      <c r="V105" s="86"/>
      <c r="W105" s="86"/>
      <c r="X105" s="86"/>
      <c r="Y105" s="16" t="s">
        <v>371</v>
      </c>
      <c r="Z105" s="86"/>
      <c r="AA105" s="86"/>
      <c r="AB105" s="86"/>
      <c r="AC105" s="16" t="s">
        <v>98</v>
      </c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 t="s">
        <v>388</v>
      </c>
      <c r="BU105" s="86" t="s">
        <v>1362</v>
      </c>
      <c r="BV105" s="16" t="s">
        <v>389</v>
      </c>
      <c r="BW105" s="86" t="s">
        <v>1710</v>
      </c>
      <c r="BX105" s="86" t="s">
        <v>1356</v>
      </c>
    </row>
    <row r="106" spans="1:76">
      <c r="A106" s="14">
        <v>46188</v>
      </c>
      <c r="B106" s="14">
        <v>46188</v>
      </c>
      <c r="C106" s="15">
        <v>0.63548611111110997</v>
      </c>
      <c r="D106" s="16" t="s">
        <v>392</v>
      </c>
      <c r="E106" s="14">
        <v>46188</v>
      </c>
      <c r="F106" s="16" t="s">
        <v>1315</v>
      </c>
      <c r="G106" s="16">
        <v>10160020</v>
      </c>
      <c r="H106" s="16" t="s">
        <v>1316</v>
      </c>
      <c r="I106" s="16" t="s">
        <v>76</v>
      </c>
      <c r="J106" s="16" t="s">
        <v>1318</v>
      </c>
      <c r="K106" s="16" t="s">
        <v>396</v>
      </c>
      <c r="L106" s="16" t="s">
        <v>123</v>
      </c>
      <c r="M106" s="17">
        <v>21840</v>
      </c>
      <c r="N106" s="16" t="s">
        <v>79</v>
      </c>
      <c r="O106" s="16" t="s">
        <v>1321</v>
      </c>
      <c r="P106" s="86"/>
      <c r="Q106" s="17">
        <v>21840</v>
      </c>
      <c r="R106" s="86"/>
      <c r="S106" s="16" t="s">
        <v>122</v>
      </c>
      <c r="T106" s="16" t="s">
        <v>370</v>
      </c>
      <c r="U106" s="39">
        <v>17783710.789999999</v>
      </c>
      <c r="V106" s="86"/>
      <c r="W106" s="86"/>
      <c r="X106" s="86"/>
      <c r="Y106" s="16" t="s">
        <v>371</v>
      </c>
      <c r="Z106" s="86"/>
      <c r="AA106" s="86"/>
      <c r="AB106" s="86"/>
      <c r="AC106" s="16" t="s">
        <v>90</v>
      </c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 t="s">
        <v>388</v>
      </c>
      <c r="BU106" s="86" t="s">
        <v>1362</v>
      </c>
      <c r="BV106" s="16" t="s">
        <v>389</v>
      </c>
      <c r="BW106" s="86" t="s">
        <v>1710</v>
      </c>
      <c r="BX106" s="86" t="s">
        <v>1356</v>
      </c>
    </row>
    <row r="107" spans="1:76">
      <c r="A107" s="14">
        <v>46188</v>
      </c>
      <c r="B107" s="14">
        <v>46188</v>
      </c>
      <c r="C107" s="15">
        <v>0.63548611111110997</v>
      </c>
      <c r="D107" s="16" t="s">
        <v>400</v>
      </c>
      <c r="E107" s="14">
        <v>46188</v>
      </c>
      <c r="F107" s="16" t="s">
        <v>1315</v>
      </c>
      <c r="G107" s="16">
        <v>10160020</v>
      </c>
      <c r="H107" s="16" t="s">
        <v>1316</v>
      </c>
      <c r="I107" s="16" t="s">
        <v>76</v>
      </c>
      <c r="J107" s="16" t="s">
        <v>1318</v>
      </c>
      <c r="K107" s="16" t="s">
        <v>401</v>
      </c>
      <c r="L107" s="16" t="s">
        <v>124</v>
      </c>
      <c r="M107" s="17">
        <v>8000</v>
      </c>
      <c r="N107" s="16" t="s">
        <v>79</v>
      </c>
      <c r="O107" s="16" t="s">
        <v>1321</v>
      </c>
      <c r="P107" s="86"/>
      <c r="Q107" s="17">
        <v>8000</v>
      </c>
      <c r="R107" s="86"/>
      <c r="S107" s="16" t="s">
        <v>122</v>
      </c>
      <c r="T107" s="16" t="s">
        <v>370</v>
      </c>
      <c r="U107" s="39">
        <v>6514845.4800000004</v>
      </c>
      <c r="V107" s="86"/>
      <c r="W107" s="86"/>
      <c r="X107" s="86"/>
      <c r="Y107" s="16" t="s">
        <v>371</v>
      </c>
      <c r="Z107" s="86"/>
      <c r="AA107" s="86"/>
      <c r="AB107" s="86"/>
      <c r="AC107" s="16" t="s">
        <v>112</v>
      </c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  <c r="BN107" s="86"/>
      <c r="BO107" s="86"/>
      <c r="BP107" s="86"/>
      <c r="BQ107" s="86"/>
      <c r="BR107" s="86"/>
      <c r="BS107" s="86"/>
      <c r="BT107" s="86" t="s">
        <v>388</v>
      </c>
      <c r="BU107" s="86" t="s">
        <v>1362</v>
      </c>
      <c r="BV107" s="16" t="s">
        <v>389</v>
      </c>
      <c r="BW107" s="86" t="s">
        <v>1710</v>
      </c>
      <c r="BX107" s="86" t="s">
        <v>1356</v>
      </c>
    </row>
  </sheetData>
  <autoFilter ref="A1:BY10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048511"/>
  <sheetViews>
    <sheetView topLeftCell="N1" workbookViewId="0">
      <pane ySplit="1" topLeftCell="A162" activePane="bottomLeft" state="frozen"/>
      <selection pane="bottomLeft" activeCell="BT2" sqref="BT2:BZ170"/>
    </sheetView>
  </sheetViews>
  <sheetFormatPr defaultRowHeight="14.5"/>
  <cols>
    <col min="1" max="1" width="12.1796875" bestFit="1" customWidth="1"/>
    <col min="2" max="2" width="10.7265625" bestFit="1" customWidth="1"/>
    <col min="3" max="3" width="12.7265625" hidden="1" customWidth="1"/>
    <col min="4" max="4" width="12.453125" hidden="1" customWidth="1"/>
    <col min="5" max="5" width="14.81640625" bestFit="1" customWidth="1"/>
    <col min="6" max="6" width="14.453125" bestFit="1" customWidth="1"/>
    <col min="7" max="7" width="9" bestFit="1" customWidth="1"/>
    <col min="8" max="8" width="8.81640625" bestFit="1" customWidth="1"/>
    <col min="9" max="9" width="18.26953125" hidden="1" customWidth="1"/>
    <col min="10" max="10" width="11" bestFit="1" customWidth="1"/>
    <col min="11" max="11" width="5.26953125" bestFit="1" customWidth="1"/>
    <col min="12" max="12" width="43.26953125" bestFit="1" customWidth="1"/>
    <col min="13" max="13" width="8.7265625" bestFit="1" customWidth="1"/>
    <col min="14" max="14" width="7" bestFit="1" customWidth="1"/>
    <col min="15" max="15" width="12" bestFit="1" customWidth="1"/>
    <col min="16" max="16" width="21.7265625" bestFit="1" customWidth="1"/>
    <col min="17" max="17" width="7.54296875" hidden="1" customWidth="1"/>
    <col min="18" max="18" width="13.81640625" hidden="1" customWidth="1"/>
    <col min="19" max="19" width="12.54296875" hidden="1" customWidth="1"/>
    <col min="20" max="20" width="8.1796875" hidden="1" customWidth="1"/>
    <col min="21" max="21" width="14.54296875" hidden="1" customWidth="1"/>
    <col min="22" max="22" width="8.1796875" hidden="1" customWidth="1"/>
    <col min="23" max="23" width="11.26953125" hidden="1" customWidth="1"/>
    <col min="24" max="24" width="8.81640625" hidden="1" customWidth="1"/>
    <col min="25" max="25" width="5.54296875" hidden="1" customWidth="1"/>
    <col min="26" max="26" width="7.7265625" hidden="1" customWidth="1"/>
    <col min="27" max="27" width="20" hidden="1" customWidth="1"/>
    <col min="28" max="28" width="12.453125" hidden="1" customWidth="1"/>
    <col min="29" max="29" width="9" hidden="1" customWidth="1"/>
    <col min="30" max="30" width="5.81640625" hidden="1" customWidth="1"/>
    <col min="31" max="31" width="12" hidden="1" customWidth="1"/>
    <col min="32" max="32" width="8.1796875" hidden="1" customWidth="1"/>
    <col min="33" max="33" width="6.1796875" hidden="1" customWidth="1"/>
    <col min="34" max="34" width="8.54296875" hidden="1" customWidth="1"/>
    <col min="35" max="35" width="11.7265625" hidden="1" customWidth="1"/>
    <col min="36" max="36" width="6.1796875" hidden="1" customWidth="1"/>
    <col min="37" max="37" width="10.26953125" hidden="1" customWidth="1"/>
    <col min="38" max="38" width="7.54296875" hidden="1" customWidth="1"/>
    <col min="39" max="40" width="14.453125" hidden="1" customWidth="1"/>
    <col min="41" max="41" width="14" hidden="1" customWidth="1"/>
    <col min="42" max="42" width="5.1796875" hidden="1" customWidth="1"/>
    <col min="43" max="43" width="21" hidden="1" customWidth="1"/>
    <col min="44" max="44" width="19.1796875" hidden="1" customWidth="1"/>
    <col min="45" max="45" width="8.81640625" hidden="1" customWidth="1"/>
    <col min="46" max="46" width="11.1796875" hidden="1" customWidth="1"/>
    <col min="47" max="47" width="8.81640625" hidden="1" customWidth="1"/>
    <col min="48" max="48" width="11.1796875" hidden="1" customWidth="1"/>
    <col min="49" max="49" width="9" hidden="1" customWidth="1"/>
    <col min="50" max="50" width="5.81640625" hidden="1" customWidth="1"/>
    <col min="51" max="51" width="9.54296875" hidden="1" customWidth="1"/>
    <col min="52" max="52" width="8.81640625" hidden="1" customWidth="1"/>
    <col min="53" max="53" width="16.1796875" hidden="1" customWidth="1"/>
    <col min="54" max="54" width="10.81640625" hidden="1" customWidth="1"/>
    <col min="55" max="55" width="5.81640625" hidden="1" customWidth="1"/>
    <col min="56" max="56" width="8.7265625" hidden="1" customWidth="1"/>
    <col min="57" max="57" width="9.1796875" hidden="1" customWidth="1"/>
    <col min="58" max="58" width="8.7265625" hidden="1" customWidth="1"/>
    <col min="59" max="59" width="7.7265625" hidden="1" customWidth="1"/>
    <col min="60" max="60" width="13.1796875" hidden="1" customWidth="1"/>
    <col min="61" max="61" width="8.7265625" hidden="1" customWidth="1"/>
    <col min="62" max="62" width="8.81640625" hidden="1" customWidth="1"/>
    <col min="63" max="63" width="11.54296875" hidden="1" customWidth="1"/>
    <col min="64" max="64" width="14.1796875" hidden="1" customWidth="1"/>
    <col min="65" max="65" width="8.54296875" hidden="1" customWidth="1"/>
    <col min="66" max="66" width="9.1796875" hidden="1" customWidth="1"/>
    <col min="67" max="67" width="8.1796875" hidden="1" customWidth="1"/>
    <col min="68" max="68" width="23.26953125" hidden="1" customWidth="1"/>
    <col min="69" max="69" width="25.1796875" hidden="1" customWidth="1"/>
    <col min="70" max="70" width="8" hidden="1" customWidth="1"/>
    <col min="71" max="71" width="27.54296875" hidden="1" customWidth="1"/>
    <col min="72" max="72" width="16.7265625" bestFit="1" customWidth="1"/>
    <col min="73" max="73" width="15.81640625" bestFit="1" customWidth="1"/>
    <col min="74" max="74" width="23" bestFit="1" customWidth="1"/>
    <col min="75" max="75" width="10.1796875" bestFit="1" customWidth="1"/>
    <col min="76" max="76" width="16.7265625" bestFit="1" customWidth="1"/>
    <col min="77" max="77" width="18.7265625" bestFit="1" customWidth="1"/>
    <col min="78" max="78" width="23" bestFit="1" customWidth="1"/>
  </cols>
  <sheetData>
    <row r="1" spans="1:77" ht="7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71" t="s">
        <v>11</v>
      </c>
      <c r="M1" s="71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8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2" t="s">
        <v>51</v>
      </c>
      <c r="BA1" s="1" t="s">
        <v>52</v>
      </c>
      <c r="BB1" s="1" t="s">
        <v>53</v>
      </c>
      <c r="BC1" s="2" t="s">
        <v>49</v>
      </c>
      <c r="BD1" s="2" t="s">
        <v>54</v>
      </c>
      <c r="BE1" s="2" t="s">
        <v>55</v>
      </c>
      <c r="BF1" s="1" t="s">
        <v>56</v>
      </c>
      <c r="BG1" s="1" t="s">
        <v>57</v>
      </c>
      <c r="BH1" s="1" t="s">
        <v>58</v>
      </c>
      <c r="BI1" s="2" t="s">
        <v>59</v>
      </c>
      <c r="BJ1" s="2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2" t="s">
        <v>65</v>
      </c>
      <c r="BP1" s="1" t="s">
        <v>66</v>
      </c>
      <c r="BQ1" s="1" t="s">
        <v>67</v>
      </c>
      <c r="BR1" s="2" t="s">
        <v>68</v>
      </c>
      <c r="BS1" s="1" t="s">
        <v>69</v>
      </c>
      <c r="BT1" s="71" t="s">
        <v>70</v>
      </c>
      <c r="BU1" s="71" t="s">
        <v>71</v>
      </c>
      <c r="BV1" s="71" t="s">
        <v>72</v>
      </c>
      <c r="BW1" s="71" t="s">
        <v>361</v>
      </c>
      <c r="BX1" s="71" t="s">
        <v>362</v>
      </c>
      <c r="BY1" s="71" t="s">
        <v>1228</v>
      </c>
    </row>
    <row r="2" spans="1:77">
      <c r="A2" s="24">
        <v>45841</v>
      </c>
      <c r="B2" s="24">
        <v>45841</v>
      </c>
      <c r="C2" s="25">
        <v>0.56327546296296005</v>
      </c>
      <c r="D2" s="26" t="s">
        <v>73</v>
      </c>
      <c r="E2" s="24">
        <v>45841</v>
      </c>
      <c r="F2" s="26" t="s">
        <v>74</v>
      </c>
      <c r="G2" s="26" t="s">
        <v>75</v>
      </c>
      <c r="H2" s="26" t="s">
        <v>76</v>
      </c>
      <c r="I2" s="26" t="s">
        <v>77</v>
      </c>
      <c r="J2" s="26">
        <v>1219000753</v>
      </c>
      <c r="K2" s="26" t="str">
        <f>VLOOKUP(J:J,'[2]Inventory Codes'!$B:$D,3,0)</f>
        <v>CC</v>
      </c>
      <c r="L2" s="26" t="s">
        <v>78</v>
      </c>
      <c r="M2" s="27">
        <v>4700</v>
      </c>
      <c r="N2" s="26" t="s">
        <v>79</v>
      </c>
      <c r="O2" s="26" t="s">
        <v>80</v>
      </c>
      <c r="P2" s="26" t="s">
        <v>81</v>
      </c>
      <c r="Q2" s="27">
        <v>4700</v>
      </c>
      <c r="R2" s="26" t="s">
        <v>82</v>
      </c>
      <c r="S2" s="26" t="s">
        <v>83</v>
      </c>
      <c r="T2" s="82" t="s">
        <v>84</v>
      </c>
      <c r="U2" s="28">
        <v>3989078</v>
      </c>
      <c r="V2" s="26" t="s">
        <v>85</v>
      </c>
      <c r="W2" s="26" t="s">
        <v>85</v>
      </c>
      <c r="X2" s="26" t="s">
        <v>86</v>
      </c>
      <c r="Y2" s="26" t="s">
        <v>87</v>
      </c>
      <c r="Z2" s="26" t="s">
        <v>88</v>
      </c>
      <c r="AA2" s="26" t="s">
        <v>89</v>
      </c>
      <c r="AB2" s="26" t="s">
        <v>85</v>
      </c>
      <c r="AC2" s="26" t="s">
        <v>90</v>
      </c>
      <c r="AD2" s="26" t="s">
        <v>85</v>
      </c>
      <c r="AE2" s="26" t="s">
        <v>85</v>
      </c>
      <c r="AF2" s="26" t="s">
        <v>91</v>
      </c>
      <c r="AG2" s="26" t="s">
        <v>85</v>
      </c>
      <c r="AH2" s="26" t="s">
        <v>91</v>
      </c>
      <c r="AI2" s="27">
        <v>4700</v>
      </c>
      <c r="AJ2" s="26" t="s">
        <v>79</v>
      </c>
      <c r="AK2" s="26" t="s">
        <v>79</v>
      </c>
      <c r="AL2" s="27">
        <v>4700</v>
      </c>
      <c r="AM2" s="26" t="s">
        <v>87</v>
      </c>
      <c r="AN2" s="26" t="s">
        <v>85</v>
      </c>
      <c r="AO2" s="26" t="s">
        <v>85</v>
      </c>
      <c r="AP2" s="26" t="s">
        <v>92</v>
      </c>
      <c r="AQ2" s="26" t="s">
        <v>85</v>
      </c>
      <c r="AR2" s="26" t="s">
        <v>85</v>
      </c>
      <c r="AS2" s="28">
        <v>0</v>
      </c>
      <c r="AT2" s="28">
        <v>0</v>
      </c>
      <c r="AU2" s="26" t="s">
        <v>91</v>
      </c>
      <c r="AV2" s="26" t="s">
        <v>85</v>
      </c>
      <c r="AW2" s="26" t="s">
        <v>91</v>
      </c>
      <c r="AX2" s="26" t="s">
        <v>91</v>
      </c>
      <c r="AY2" s="26" t="s">
        <v>85</v>
      </c>
      <c r="AZ2" s="26" t="s">
        <v>93</v>
      </c>
      <c r="BA2" s="26" t="s">
        <v>85</v>
      </c>
      <c r="BB2" s="26" t="s">
        <v>85</v>
      </c>
      <c r="BC2" s="26" t="s">
        <v>91</v>
      </c>
      <c r="BD2" s="26" t="s">
        <v>79</v>
      </c>
      <c r="BE2" s="26" t="s">
        <v>94</v>
      </c>
      <c r="BF2" s="26" t="s">
        <v>85</v>
      </c>
      <c r="BG2" s="26" t="s">
        <v>85</v>
      </c>
      <c r="BH2" s="26" t="s">
        <v>85</v>
      </c>
      <c r="BI2" s="26" t="s">
        <v>91</v>
      </c>
      <c r="BJ2" s="26" t="s">
        <v>91</v>
      </c>
      <c r="BK2" s="26" t="s">
        <v>85</v>
      </c>
      <c r="BL2" s="26" t="s">
        <v>85</v>
      </c>
      <c r="BM2" s="26" t="s">
        <v>95</v>
      </c>
      <c r="BN2" s="26" t="s">
        <v>96</v>
      </c>
      <c r="BO2" s="28">
        <v>0</v>
      </c>
      <c r="BP2" s="26" t="s">
        <v>85</v>
      </c>
      <c r="BQ2" s="26" t="s">
        <v>85</v>
      </c>
      <c r="BR2" s="26" t="s">
        <v>91</v>
      </c>
      <c r="BS2" s="26" t="s">
        <v>85</v>
      </c>
      <c r="BT2" s="26" t="s">
        <v>388</v>
      </c>
      <c r="BU2" s="26" t="s">
        <v>1221</v>
      </c>
      <c r="BV2" s="26" t="s">
        <v>1222</v>
      </c>
      <c r="BW2" s="19" t="s">
        <v>1223</v>
      </c>
      <c r="BX2" s="19" t="s">
        <v>1220</v>
      </c>
      <c r="BY2" s="19"/>
    </row>
    <row r="3" spans="1:77">
      <c r="A3" s="24">
        <v>45841</v>
      </c>
      <c r="B3" s="24">
        <v>45841</v>
      </c>
      <c r="C3" s="25">
        <v>0.56327546296296005</v>
      </c>
      <c r="D3" s="26" t="s">
        <v>73</v>
      </c>
      <c r="E3" s="24">
        <v>45841</v>
      </c>
      <c r="F3" s="26" t="s">
        <v>227</v>
      </c>
      <c r="G3" s="26" t="s">
        <v>75</v>
      </c>
      <c r="H3" s="26" t="s">
        <v>76</v>
      </c>
      <c r="I3" s="26" t="s">
        <v>77</v>
      </c>
      <c r="J3" s="26">
        <v>1219000753</v>
      </c>
      <c r="K3" s="26" t="str">
        <f>VLOOKUP(J:J,'[2]Inventory Codes'!$B:$D,3,0)</f>
        <v>CC</v>
      </c>
      <c r="L3" s="26" t="s">
        <v>78</v>
      </c>
      <c r="M3" s="27">
        <v>13732</v>
      </c>
      <c r="N3" s="26" t="s">
        <v>79</v>
      </c>
      <c r="O3" s="26" t="s">
        <v>97</v>
      </c>
      <c r="P3" s="26" t="s">
        <v>81</v>
      </c>
      <c r="Q3" s="27">
        <v>13732</v>
      </c>
      <c r="R3" s="26" t="s">
        <v>82</v>
      </c>
      <c r="S3" s="26" t="s">
        <v>83</v>
      </c>
      <c r="T3" s="82" t="s">
        <v>84</v>
      </c>
      <c r="U3" s="28">
        <v>11654897.68</v>
      </c>
      <c r="V3" s="26" t="s">
        <v>85</v>
      </c>
      <c r="W3" s="26" t="s">
        <v>85</v>
      </c>
      <c r="X3" s="26" t="s">
        <v>86</v>
      </c>
      <c r="Y3" s="26" t="s">
        <v>87</v>
      </c>
      <c r="Z3" s="26" t="s">
        <v>88</v>
      </c>
      <c r="AA3" s="26" t="s">
        <v>89</v>
      </c>
      <c r="AB3" s="26" t="s">
        <v>85</v>
      </c>
      <c r="AC3" s="26" t="s">
        <v>98</v>
      </c>
      <c r="AD3" s="26" t="s">
        <v>85</v>
      </c>
      <c r="AE3" s="26" t="s">
        <v>85</v>
      </c>
      <c r="AF3" s="26" t="s">
        <v>91</v>
      </c>
      <c r="AG3" s="26" t="s">
        <v>85</v>
      </c>
      <c r="AH3" s="26" t="s">
        <v>91</v>
      </c>
      <c r="AI3" s="27">
        <v>13732</v>
      </c>
      <c r="AJ3" s="26" t="s">
        <v>79</v>
      </c>
      <c r="AK3" s="26" t="s">
        <v>79</v>
      </c>
      <c r="AL3" s="27">
        <v>13732</v>
      </c>
      <c r="AM3" s="26" t="s">
        <v>87</v>
      </c>
      <c r="AN3" s="26" t="s">
        <v>85</v>
      </c>
      <c r="AO3" s="26" t="s">
        <v>85</v>
      </c>
      <c r="AP3" s="26" t="s">
        <v>92</v>
      </c>
      <c r="AQ3" s="26" t="s">
        <v>85</v>
      </c>
      <c r="AR3" s="26" t="s">
        <v>85</v>
      </c>
      <c r="AS3" s="28">
        <v>0</v>
      </c>
      <c r="AT3" s="28">
        <v>0</v>
      </c>
      <c r="AU3" s="26" t="s">
        <v>91</v>
      </c>
      <c r="AV3" s="26" t="s">
        <v>85</v>
      </c>
      <c r="AW3" s="26" t="s">
        <v>91</v>
      </c>
      <c r="AX3" s="26" t="s">
        <v>91</v>
      </c>
      <c r="AY3" s="26" t="s">
        <v>85</v>
      </c>
      <c r="AZ3" s="26" t="s">
        <v>93</v>
      </c>
      <c r="BA3" s="26" t="s">
        <v>85</v>
      </c>
      <c r="BB3" s="26" t="s">
        <v>85</v>
      </c>
      <c r="BC3" s="26" t="s">
        <v>91</v>
      </c>
      <c r="BD3" s="26" t="s">
        <v>79</v>
      </c>
      <c r="BE3" s="26" t="s">
        <v>94</v>
      </c>
      <c r="BF3" s="26" t="s">
        <v>85</v>
      </c>
      <c r="BG3" s="26" t="s">
        <v>85</v>
      </c>
      <c r="BH3" s="26" t="s">
        <v>85</v>
      </c>
      <c r="BI3" s="26" t="s">
        <v>91</v>
      </c>
      <c r="BJ3" s="26" t="s">
        <v>91</v>
      </c>
      <c r="BK3" s="26" t="s">
        <v>85</v>
      </c>
      <c r="BL3" s="26" t="s">
        <v>85</v>
      </c>
      <c r="BM3" s="26" t="s">
        <v>95</v>
      </c>
      <c r="BN3" s="26" t="s">
        <v>96</v>
      </c>
      <c r="BO3" s="28">
        <v>0</v>
      </c>
      <c r="BP3" s="26" t="s">
        <v>85</v>
      </c>
      <c r="BQ3" s="26" t="s">
        <v>85</v>
      </c>
      <c r="BR3" s="26" t="s">
        <v>91</v>
      </c>
      <c r="BS3" s="26" t="s">
        <v>85</v>
      </c>
      <c r="BT3" s="26" t="s">
        <v>388</v>
      </c>
      <c r="BU3" s="26" t="s">
        <v>1221</v>
      </c>
      <c r="BV3" s="26" t="s">
        <v>1222</v>
      </c>
      <c r="BW3" s="19" t="s">
        <v>1223</v>
      </c>
      <c r="BX3" s="19" t="s">
        <v>1220</v>
      </c>
      <c r="BY3" s="19"/>
    </row>
    <row r="4" spans="1:77">
      <c r="A4" s="24">
        <v>45849</v>
      </c>
      <c r="B4" s="24">
        <v>45849</v>
      </c>
      <c r="C4" s="25">
        <v>0.98659722222222002</v>
      </c>
      <c r="D4" s="26" t="s">
        <v>99</v>
      </c>
      <c r="E4" s="24">
        <v>45849</v>
      </c>
      <c r="F4" s="26" t="s">
        <v>100</v>
      </c>
      <c r="G4" s="26" t="s">
        <v>101</v>
      </c>
      <c r="H4" s="26" t="s">
        <v>76</v>
      </c>
      <c r="I4" s="26" t="s">
        <v>102</v>
      </c>
      <c r="J4" s="26">
        <v>1219000510</v>
      </c>
      <c r="K4" s="26" t="str">
        <f>VLOOKUP(J:J,'[2]Inventory Codes'!$B:$D,3,0)</f>
        <v>MDD</v>
      </c>
      <c r="L4" s="26" t="s">
        <v>103</v>
      </c>
      <c r="M4" s="27">
        <v>46000</v>
      </c>
      <c r="N4" s="26" t="s">
        <v>79</v>
      </c>
      <c r="O4" s="26" t="s">
        <v>104</v>
      </c>
      <c r="P4" s="26" t="s">
        <v>105</v>
      </c>
      <c r="Q4" s="27">
        <v>46000</v>
      </c>
      <c r="R4" s="26" t="s">
        <v>85</v>
      </c>
      <c r="S4" s="26" t="s">
        <v>83</v>
      </c>
      <c r="T4" s="82" t="s">
        <v>106</v>
      </c>
      <c r="U4" s="28">
        <v>19035720</v>
      </c>
      <c r="V4" s="26" t="s">
        <v>85</v>
      </c>
      <c r="W4" s="26" t="s">
        <v>85</v>
      </c>
      <c r="X4" s="26" t="s">
        <v>86</v>
      </c>
      <c r="Y4" s="26" t="s">
        <v>87</v>
      </c>
      <c r="Z4" s="26" t="s">
        <v>88</v>
      </c>
      <c r="AA4" s="26" t="s">
        <v>89</v>
      </c>
      <c r="AB4" s="26" t="s">
        <v>85</v>
      </c>
      <c r="AC4" s="26" t="s">
        <v>98</v>
      </c>
      <c r="AD4" s="26" t="s">
        <v>85</v>
      </c>
      <c r="AE4" s="26" t="s">
        <v>85</v>
      </c>
      <c r="AF4" s="26" t="s">
        <v>91</v>
      </c>
      <c r="AG4" s="26" t="s">
        <v>85</v>
      </c>
      <c r="AH4" s="26" t="s">
        <v>91</v>
      </c>
      <c r="AI4" s="27">
        <v>46000</v>
      </c>
      <c r="AJ4" s="26" t="s">
        <v>79</v>
      </c>
      <c r="AK4" s="26" t="s">
        <v>79</v>
      </c>
      <c r="AL4" s="27">
        <v>46000</v>
      </c>
      <c r="AM4" s="26" t="s">
        <v>87</v>
      </c>
      <c r="AN4" s="26" t="s">
        <v>85</v>
      </c>
      <c r="AO4" s="26" t="s">
        <v>85</v>
      </c>
      <c r="AP4" s="26" t="s">
        <v>107</v>
      </c>
      <c r="AQ4" s="26" t="s">
        <v>85</v>
      </c>
      <c r="AR4" s="26" t="s">
        <v>85</v>
      </c>
      <c r="AS4" s="28">
        <v>0</v>
      </c>
      <c r="AT4" s="28">
        <v>0</v>
      </c>
      <c r="AU4" s="26" t="s">
        <v>91</v>
      </c>
      <c r="AV4" s="26" t="s">
        <v>85</v>
      </c>
      <c r="AW4" s="26" t="s">
        <v>91</v>
      </c>
      <c r="AX4" s="26" t="s">
        <v>91</v>
      </c>
      <c r="AY4" s="26" t="s">
        <v>85</v>
      </c>
      <c r="AZ4" s="26" t="s">
        <v>93</v>
      </c>
      <c r="BA4" s="26" t="s">
        <v>85</v>
      </c>
      <c r="BB4" s="26" t="s">
        <v>85</v>
      </c>
      <c r="BC4" s="26" t="s">
        <v>91</v>
      </c>
      <c r="BD4" s="26" t="s">
        <v>79</v>
      </c>
      <c r="BE4" s="26" t="s">
        <v>94</v>
      </c>
      <c r="BF4" s="26" t="s">
        <v>85</v>
      </c>
      <c r="BG4" s="26" t="s">
        <v>85</v>
      </c>
      <c r="BH4" s="26" t="s">
        <v>85</v>
      </c>
      <c r="BI4" s="26" t="s">
        <v>91</v>
      </c>
      <c r="BJ4" s="26" t="s">
        <v>91</v>
      </c>
      <c r="BK4" s="26" t="s">
        <v>85</v>
      </c>
      <c r="BL4" s="26" t="s">
        <v>85</v>
      </c>
      <c r="BM4" s="26" t="s">
        <v>95</v>
      </c>
      <c r="BN4" s="26" t="s">
        <v>96</v>
      </c>
      <c r="BO4" s="28">
        <v>0</v>
      </c>
      <c r="BP4" s="26" t="s">
        <v>85</v>
      </c>
      <c r="BQ4" s="26" t="s">
        <v>85</v>
      </c>
      <c r="BR4" s="26" t="s">
        <v>91</v>
      </c>
      <c r="BS4" s="26" t="s">
        <v>85</v>
      </c>
      <c r="BT4" s="26" t="s">
        <v>388</v>
      </c>
      <c r="BU4" s="26" t="s">
        <v>1225</v>
      </c>
      <c r="BV4" s="26" t="s">
        <v>1226</v>
      </c>
      <c r="BW4" s="19" t="s">
        <v>1227</v>
      </c>
      <c r="BX4" s="19" t="s">
        <v>1224</v>
      </c>
      <c r="BY4" s="19" t="s">
        <v>1229</v>
      </c>
    </row>
    <row r="5" spans="1:77">
      <c r="A5" s="24">
        <v>45849</v>
      </c>
      <c r="B5" s="24">
        <v>45849</v>
      </c>
      <c r="C5" s="25">
        <v>0.98659722222222002</v>
      </c>
      <c r="D5" s="26" t="s">
        <v>99</v>
      </c>
      <c r="E5" s="24">
        <v>45849</v>
      </c>
      <c r="F5" s="26" t="s">
        <v>303</v>
      </c>
      <c r="G5" s="26" t="s">
        <v>101</v>
      </c>
      <c r="H5" s="26" t="s">
        <v>76</v>
      </c>
      <c r="I5" s="26" t="s">
        <v>102</v>
      </c>
      <c r="J5" s="26">
        <v>1219000510</v>
      </c>
      <c r="K5" s="26" t="str">
        <f>VLOOKUP(J:J,'[2]Inventory Codes'!$B:$D,3,0)</f>
        <v>MDD</v>
      </c>
      <c r="L5" s="26" t="s">
        <v>103</v>
      </c>
      <c r="M5" s="27">
        <v>4000</v>
      </c>
      <c r="N5" s="26" t="s">
        <v>79</v>
      </c>
      <c r="O5" s="26" t="s">
        <v>108</v>
      </c>
      <c r="P5" s="26" t="s">
        <v>105</v>
      </c>
      <c r="Q5" s="27">
        <v>4000</v>
      </c>
      <c r="R5" s="26" t="s">
        <v>85</v>
      </c>
      <c r="S5" s="26" t="s">
        <v>83</v>
      </c>
      <c r="T5" s="82" t="s">
        <v>106</v>
      </c>
      <c r="U5" s="28">
        <v>1655280</v>
      </c>
      <c r="V5" s="26" t="s">
        <v>85</v>
      </c>
      <c r="W5" s="26" t="s">
        <v>85</v>
      </c>
      <c r="X5" s="26" t="s">
        <v>86</v>
      </c>
      <c r="Y5" s="26" t="s">
        <v>87</v>
      </c>
      <c r="Z5" s="26" t="s">
        <v>88</v>
      </c>
      <c r="AA5" s="26" t="s">
        <v>89</v>
      </c>
      <c r="AB5" s="26" t="s">
        <v>85</v>
      </c>
      <c r="AC5" s="26" t="s">
        <v>90</v>
      </c>
      <c r="AD5" s="26" t="s">
        <v>85</v>
      </c>
      <c r="AE5" s="26" t="s">
        <v>85</v>
      </c>
      <c r="AF5" s="26" t="s">
        <v>91</v>
      </c>
      <c r="AG5" s="26" t="s">
        <v>85</v>
      </c>
      <c r="AH5" s="26" t="s">
        <v>91</v>
      </c>
      <c r="AI5" s="27">
        <v>4000</v>
      </c>
      <c r="AJ5" s="26" t="s">
        <v>79</v>
      </c>
      <c r="AK5" s="26" t="s">
        <v>79</v>
      </c>
      <c r="AL5" s="27">
        <v>4000</v>
      </c>
      <c r="AM5" s="26" t="s">
        <v>87</v>
      </c>
      <c r="AN5" s="26" t="s">
        <v>85</v>
      </c>
      <c r="AO5" s="26" t="s">
        <v>85</v>
      </c>
      <c r="AP5" s="26" t="s">
        <v>107</v>
      </c>
      <c r="AQ5" s="26" t="s">
        <v>85</v>
      </c>
      <c r="AR5" s="26" t="s">
        <v>85</v>
      </c>
      <c r="AS5" s="28">
        <v>0</v>
      </c>
      <c r="AT5" s="28">
        <v>0</v>
      </c>
      <c r="AU5" s="26" t="s">
        <v>91</v>
      </c>
      <c r="AV5" s="26" t="s">
        <v>85</v>
      </c>
      <c r="AW5" s="26" t="s">
        <v>91</v>
      </c>
      <c r="AX5" s="26" t="s">
        <v>91</v>
      </c>
      <c r="AY5" s="26" t="s">
        <v>85</v>
      </c>
      <c r="AZ5" s="26" t="s">
        <v>93</v>
      </c>
      <c r="BA5" s="26" t="s">
        <v>85</v>
      </c>
      <c r="BB5" s="26" t="s">
        <v>85</v>
      </c>
      <c r="BC5" s="26" t="s">
        <v>91</v>
      </c>
      <c r="BD5" s="26" t="s">
        <v>79</v>
      </c>
      <c r="BE5" s="26" t="s">
        <v>94</v>
      </c>
      <c r="BF5" s="26" t="s">
        <v>85</v>
      </c>
      <c r="BG5" s="26" t="s">
        <v>85</v>
      </c>
      <c r="BH5" s="26" t="s">
        <v>85</v>
      </c>
      <c r="BI5" s="26" t="s">
        <v>91</v>
      </c>
      <c r="BJ5" s="26" t="s">
        <v>91</v>
      </c>
      <c r="BK5" s="26" t="s">
        <v>85</v>
      </c>
      <c r="BL5" s="26" t="s">
        <v>85</v>
      </c>
      <c r="BM5" s="26" t="s">
        <v>95</v>
      </c>
      <c r="BN5" s="26" t="s">
        <v>96</v>
      </c>
      <c r="BO5" s="28">
        <v>0</v>
      </c>
      <c r="BP5" s="26" t="s">
        <v>85</v>
      </c>
      <c r="BQ5" s="26" t="s">
        <v>85</v>
      </c>
      <c r="BR5" s="26" t="s">
        <v>91</v>
      </c>
      <c r="BS5" s="26" t="s">
        <v>85</v>
      </c>
      <c r="BT5" s="26" t="s">
        <v>388</v>
      </c>
      <c r="BU5" s="26" t="s">
        <v>1225</v>
      </c>
      <c r="BV5" s="26" t="s">
        <v>1226</v>
      </c>
      <c r="BW5" s="19" t="s">
        <v>1227</v>
      </c>
      <c r="BX5" s="19" t="s">
        <v>1224</v>
      </c>
      <c r="BY5" s="19" t="s">
        <v>1229</v>
      </c>
    </row>
    <row r="6" spans="1:77">
      <c r="A6" s="24">
        <v>45849</v>
      </c>
      <c r="B6" s="24">
        <v>45849</v>
      </c>
      <c r="C6" s="25">
        <v>0.98659722222222002</v>
      </c>
      <c r="D6" s="26" t="s">
        <v>109</v>
      </c>
      <c r="E6" s="24">
        <v>45849</v>
      </c>
      <c r="F6" s="26" t="s">
        <v>100</v>
      </c>
      <c r="G6" s="26" t="s">
        <v>101</v>
      </c>
      <c r="H6" s="26" t="s">
        <v>76</v>
      </c>
      <c r="I6" s="26" t="s">
        <v>102</v>
      </c>
      <c r="J6" s="26">
        <v>1219000660</v>
      </c>
      <c r="K6" s="26" t="str">
        <f>VLOOKUP(J:J,'[2]Inventory Codes'!$B:$D,3,0)</f>
        <v>MDD</v>
      </c>
      <c r="L6" s="26" t="s">
        <v>110</v>
      </c>
      <c r="M6" s="27">
        <v>50000</v>
      </c>
      <c r="N6" s="26" t="s">
        <v>79</v>
      </c>
      <c r="O6" s="26" t="s">
        <v>111</v>
      </c>
      <c r="P6" s="26" t="s">
        <v>105</v>
      </c>
      <c r="Q6" s="27">
        <v>50000</v>
      </c>
      <c r="R6" s="26" t="s">
        <v>85</v>
      </c>
      <c r="S6" s="26" t="s">
        <v>83</v>
      </c>
      <c r="T6" s="82" t="s">
        <v>106</v>
      </c>
      <c r="U6" s="28">
        <v>4398000</v>
      </c>
      <c r="V6" s="26" t="s">
        <v>85</v>
      </c>
      <c r="W6" s="26" t="s">
        <v>85</v>
      </c>
      <c r="X6" s="26" t="s">
        <v>86</v>
      </c>
      <c r="Y6" s="26" t="s">
        <v>87</v>
      </c>
      <c r="Z6" s="26" t="s">
        <v>88</v>
      </c>
      <c r="AA6" s="26" t="s">
        <v>89</v>
      </c>
      <c r="AB6" s="26" t="s">
        <v>85</v>
      </c>
      <c r="AC6" s="26" t="s">
        <v>112</v>
      </c>
      <c r="AD6" s="26" t="s">
        <v>85</v>
      </c>
      <c r="AE6" s="26" t="s">
        <v>85</v>
      </c>
      <c r="AF6" s="26" t="s">
        <v>91</v>
      </c>
      <c r="AG6" s="26" t="s">
        <v>85</v>
      </c>
      <c r="AH6" s="26" t="s">
        <v>91</v>
      </c>
      <c r="AI6" s="27">
        <v>50000</v>
      </c>
      <c r="AJ6" s="26" t="s">
        <v>79</v>
      </c>
      <c r="AK6" s="26" t="s">
        <v>79</v>
      </c>
      <c r="AL6" s="27">
        <v>50000</v>
      </c>
      <c r="AM6" s="26" t="s">
        <v>87</v>
      </c>
      <c r="AN6" s="26" t="s">
        <v>85</v>
      </c>
      <c r="AO6" s="26" t="s">
        <v>85</v>
      </c>
      <c r="AP6" s="26" t="s">
        <v>92</v>
      </c>
      <c r="AQ6" s="26" t="s">
        <v>85</v>
      </c>
      <c r="AR6" s="26" t="s">
        <v>85</v>
      </c>
      <c r="AS6" s="28">
        <v>0</v>
      </c>
      <c r="AT6" s="28">
        <v>0</v>
      </c>
      <c r="AU6" s="26" t="s">
        <v>91</v>
      </c>
      <c r="AV6" s="26" t="s">
        <v>85</v>
      </c>
      <c r="AW6" s="26" t="s">
        <v>91</v>
      </c>
      <c r="AX6" s="26" t="s">
        <v>91</v>
      </c>
      <c r="AY6" s="26" t="s">
        <v>85</v>
      </c>
      <c r="AZ6" s="26" t="s">
        <v>93</v>
      </c>
      <c r="BA6" s="26" t="s">
        <v>85</v>
      </c>
      <c r="BB6" s="26" t="s">
        <v>85</v>
      </c>
      <c r="BC6" s="26" t="s">
        <v>91</v>
      </c>
      <c r="BD6" s="26" t="s">
        <v>79</v>
      </c>
      <c r="BE6" s="26" t="s">
        <v>94</v>
      </c>
      <c r="BF6" s="26" t="s">
        <v>85</v>
      </c>
      <c r="BG6" s="26" t="s">
        <v>85</v>
      </c>
      <c r="BH6" s="26" t="s">
        <v>85</v>
      </c>
      <c r="BI6" s="26" t="s">
        <v>91</v>
      </c>
      <c r="BJ6" s="26" t="s">
        <v>91</v>
      </c>
      <c r="BK6" s="26" t="s">
        <v>85</v>
      </c>
      <c r="BL6" s="26" t="s">
        <v>85</v>
      </c>
      <c r="BM6" s="26" t="s">
        <v>95</v>
      </c>
      <c r="BN6" s="26" t="s">
        <v>96</v>
      </c>
      <c r="BO6" s="28">
        <v>0</v>
      </c>
      <c r="BP6" s="26" t="s">
        <v>85</v>
      </c>
      <c r="BQ6" s="26" t="s">
        <v>85</v>
      </c>
      <c r="BR6" s="26" t="s">
        <v>91</v>
      </c>
      <c r="BS6" s="26" t="s">
        <v>85</v>
      </c>
      <c r="BT6" s="26" t="s">
        <v>388</v>
      </c>
      <c r="BU6" s="26" t="s">
        <v>1225</v>
      </c>
      <c r="BV6" s="26" t="s">
        <v>1226</v>
      </c>
      <c r="BW6" s="19" t="s">
        <v>1227</v>
      </c>
      <c r="BX6" s="19" t="s">
        <v>1224</v>
      </c>
      <c r="BY6" s="19" t="s">
        <v>1229</v>
      </c>
    </row>
    <row r="7" spans="1:77">
      <c r="A7" s="24">
        <v>45852</v>
      </c>
      <c r="B7" s="24">
        <v>45852</v>
      </c>
      <c r="C7" s="25">
        <v>0.36505787037037002</v>
      </c>
      <c r="D7" s="26" t="s">
        <v>113</v>
      </c>
      <c r="E7" s="24">
        <v>45852</v>
      </c>
      <c r="F7" s="26" t="s">
        <v>100</v>
      </c>
      <c r="G7" s="26" t="s">
        <v>101</v>
      </c>
      <c r="H7" s="26" t="s">
        <v>76</v>
      </c>
      <c r="I7" s="26" t="s">
        <v>114</v>
      </c>
      <c r="J7" s="26">
        <v>1219000780</v>
      </c>
      <c r="K7" s="26" t="str">
        <f>VLOOKUP(J:J,'[2]Inventory Codes'!$B:$D,3,0)</f>
        <v>MDD</v>
      </c>
      <c r="L7" s="26" t="s">
        <v>115</v>
      </c>
      <c r="M7" s="27">
        <v>3800</v>
      </c>
      <c r="N7" s="26" t="s">
        <v>79</v>
      </c>
      <c r="O7" s="26" t="s">
        <v>116</v>
      </c>
      <c r="P7" s="26" t="s">
        <v>117</v>
      </c>
      <c r="Q7" s="27">
        <v>3800</v>
      </c>
      <c r="R7" s="26" t="s">
        <v>85</v>
      </c>
      <c r="S7" s="26" t="s">
        <v>83</v>
      </c>
      <c r="T7" s="82" t="s">
        <v>106</v>
      </c>
      <c r="U7" s="28">
        <v>1922344</v>
      </c>
      <c r="V7" s="26" t="s">
        <v>85</v>
      </c>
      <c r="W7" s="26" t="s">
        <v>85</v>
      </c>
      <c r="X7" s="26" t="s">
        <v>86</v>
      </c>
      <c r="Y7" s="26" t="s">
        <v>87</v>
      </c>
      <c r="Z7" s="26" t="s">
        <v>88</v>
      </c>
      <c r="AA7" s="26" t="s">
        <v>89</v>
      </c>
      <c r="AB7" s="26" t="s">
        <v>85</v>
      </c>
      <c r="AC7" s="26" t="s">
        <v>90</v>
      </c>
      <c r="AD7" s="26" t="s">
        <v>85</v>
      </c>
      <c r="AE7" s="26" t="s">
        <v>85</v>
      </c>
      <c r="AF7" s="26" t="s">
        <v>91</v>
      </c>
      <c r="AG7" s="26" t="s">
        <v>85</v>
      </c>
      <c r="AH7" s="26" t="s">
        <v>91</v>
      </c>
      <c r="AI7" s="27">
        <v>3800</v>
      </c>
      <c r="AJ7" s="26" t="s">
        <v>79</v>
      </c>
      <c r="AK7" s="26" t="s">
        <v>79</v>
      </c>
      <c r="AL7" s="27">
        <v>3800</v>
      </c>
      <c r="AM7" s="26" t="s">
        <v>87</v>
      </c>
      <c r="AN7" s="26" t="s">
        <v>85</v>
      </c>
      <c r="AO7" s="26" t="s">
        <v>85</v>
      </c>
      <c r="AP7" s="26" t="s">
        <v>118</v>
      </c>
      <c r="AQ7" s="26" t="s">
        <v>85</v>
      </c>
      <c r="AR7" s="26" t="s">
        <v>85</v>
      </c>
      <c r="AS7" s="28">
        <v>0</v>
      </c>
      <c r="AT7" s="28">
        <v>0</v>
      </c>
      <c r="AU7" s="26" t="s">
        <v>91</v>
      </c>
      <c r="AV7" s="26" t="s">
        <v>85</v>
      </c>
      <c r="AW7" s="26" t="s">
        <v>91</v>
      </c>
      <c r="AX7" s="26" t="s">
        <v>91</v>
      </c>
      <c r="AY7" s="26" t="s">
        <v>85</v>
      </c>
      <c r="AZ7" s="26" t="s">
        <v>93</v>
      </c>
      <c r="BA7" s="26" t="s">
        <v>85</v>
      </c>
      <c r="BB7" s="26" t="s">
        <v>85</v>
      </c>
      <c r="BC7" s="26" t="s">
        <v>91</v>
      </c>
      <c r="BD7" s="26" t="s">
        <v>79</v>
      </c>
      <c r="BE7" s="26" t="s">
        <v>94</v>
      </c>
      <c r="BF7" s="26" t="s">
        <v>85</v>
      </c>
      <c r="BG7" s="26" t="s">
        <v>85</v>
      </c>
      <c r="BH7" s="26" t="s">
        <v>85</v>
      </c>
      <c r="BI7" s="26" t="s">
        <v>91</v>
      </c>
      <c r="BJ7" s="26" t="s">
        <v>91</v>
      </c>
      <c r="BK7" s="26" t="s">
        <v>85</v>
      </c>
      <c r="BL7" s="26" t="s">
        <v>85</v>
      </c>
      <c r="BM7" s="26" t="s">
        <v>95</v>
      </c>
      <c r="BN7" s="26" t="s">
        <v>96</v>
      </c>
      <c r="BO7" s="28">
        <v>0</v>
      </c>
      <c r="BP7" s="26" t="s">
        <v>85</v>
      </c>
      <c r="BQ7" s="26" t="s">
        <v>85</v>
      </c>
      <c r="BR7" s="26" t="s">
        <v>91</v>
      </c>
      <c r="BS7" s="26" t="s">
        <v>85</v>
      </c>
      <c r="BT7" s="26" t="s">
        <v>388</v>
      </c>
      <c r="BU7" s="26" t="s">
        <v>1225</v>
      </c>
      <c r="BV7" s="26" t="s">
        <v>1226</v>
      </c>
      <c r="BW7" s="19" t="s">
        <v>1227</v>
      </c>
      <c r="BX7" s="19" t="s">
        <v>1224</v>
      </c>
      <c r="BY7" s="19" t="s">
        <v>1229</v>
      </c>
    </row>
    <row r="8" spans="1:77">
      <c r="A8" s="24">
        <v>45852</v>
      </c>
      <c r="B8" s="24">
        <v>45852</v>
      </c>
      <c r="C8" s="25">
        <v>0.36505787037037002</v>
      </c>
      <c r="D8" s="26" t="s">
        <v>113</v>
      </c>
      <c r="E8" s="24">
        <v>45852</v>
      </c>
      <c r="F8" s="26" t="s">
        <v>100</v>
      </c>
      <c r="G8" s="26" t="s">
        <v>101</v>
      </c>
      <c r="H8" s="26" t="s">
        <v>76</v>
      </c>
      <c r="I8" s="26" t="s">
        <v>114</v>
      </c>
      <c r="J8" s="26">
        <v>1219000780</v>
      </c>
      <c r="K8" s="26" t="str">
        <f>VLOOKUP(J:J,'[2]Inventory Codes'!$B:$D,3,0)</f>
        <v>MDD</v>
      </c>
      <c r="L8" s="26" t="s">
        <v>115</v>
      </c>
      <c r="M8" s="27">
        <v>46200</v>
      </c>
      <c r="N8" s="26" t="s">
        <v>79</v>
      </c>
      <c r="O8" s="26" t="s">
        <v>119</v>
      </c>
      <c r="P8" s="26" t="s">
        <v>117</v>
      </c>
      <c r="Q8" s="27">
        <v>46200</v>
      </c>
      <c r="R8" s="26" t="s">
        <v>85</v>
      </c>
      <c r="S8" s="26" t="s">
        <v>83</v>
      </c>
      <c r="T8" s="82" t="s">
        <v>106</v>
      </c>
      <c r="U8" s="28">
        <v>23371656</v>
      </c>
      <c r="V8" s="26" t="s">
        <v>85</v>
      </c>
      <c r="W8" s="26" t="s">
        <v>85</v>
      </c>
      <c r="X8" s="26" t="s">
        <v>86</v>
      </c>
      <c r="Y8" s="26" t="s">
        <v>87</v>
      </c>
      <c r="Z8" s="26" t="s">
        <v>88</v>
      </c>
      <c r="AA8" s="26" t="s">
        <v>89</v>
      </c>
      <c r="AB8" s="26" t="s">
        <v>85</v>
      </c>
      <c r="AC8" s="26" t="s">
        <v>98</v>
      </c>
      <c r="AD8" s="26" t="s">
        <v>85</v>
      </c>
      <c r="AE8" s="26" t="s">
        <v>85</v>
      </c>
      <c r="AF8" s="26" t="s">
        <v>91</v>
      </c>
      <c r="AG8" s="26" t="s">
        <v>85</v>
      </c>
      <c r="AH8" s="26" t="s">
        <v>91</v>
      </c>
      <c r="AI8" s="27">
        <v>46200</v>
      </c>
      <c r="AJ8" s="26" t="s">
        <v>79</v>
      </c>
      <c r="AK8" s="26" t="s">
        <v>79</v>
      </c>
      <c r="AL8" s="27">
        <v>46200</v>
      </c>
      <c r="AM8" s="26" t="s">
        <v>87</v>
      </c>
      <c r="AN8" s="26" t="s">
        <v>85</v>
      </c>
      <c r="AO8" s="26" t="s">
        <v>85</v>
      </c>
      <c r="AP8" s="26" t="s">
        <v>118</v>
      </c>
      <c r="AQ8" s="26" t="s">
        <v>85</v>
      </c>
      <c r="AR8" s="26" t="s">
        <v>85</v>
      </c>
      <c r="AS8" s="28">
        <v>0</v>
      </c>
      <c r="AT8" s="28">
        <v>0</v>
      </c>
      <c r="AU8" s="26" t="s">
        <v>91</v>
      </c>
      <c r="AV8" s="26" t="s">
        <v>85</v>
      </c>
      <c r="AW8" s="26" t="s">
        <v>91</v>
      </c>
      <c r="AX8" s="26" t="s">
        <v>91</v>
      </c>
      <c r="AY8" s="26" t="s">
        <v>85</v>
      </c>
      <c r="AZ8" s="26" t="s">
        <v>93</v>
      </c>
      <c r="BA8" s="26" t="s">
        <v>85</v>
      </c>
      <c r="BB8" s="26" t="s">
        <v>85</v>
      </c>
      <c r="BC8" s="26" t="s">
        <v>91</v>
      </c>
      <c r="BD8" s="26" t="s">
        <v>79</v>
      </c>
      <c r="BE8" s="26" t="s">
        <v>94</v>
      </c>
      <c r="BF8" s="26" t="s">
        <v>85</v>
      </c>
      <c r="BG8" s="26" t="s">
        <v>85</v>
      </c>
      <c r="BH8" s="26" t="s">
        <v>85</v>
      </c>
      <c r="BI8" s="26" t="s">
        <v>91</v>
      </c>
      <c r="BJ8" s="26" t="s">
        <v>91</v>
      </c>
      <c r="BK8" s="26" t="s">
        <v>85</v>
      </c>
      <c r="BL8" s="26" t="s">
        <v>85</v>
      </c>
      <c r="BM8" s="26" t="s">
        <v>95</v>
      </c>
      <c r="BN8" s="26" t="s">
        <v>96</v>
      </c>
      <c r="BO8" s="28">
        <v>0</v>
      </c>
      <c r="BP8" s="26" t="s">
        <v>85</v>
      </c>
      <c r="BQ8" s="26" t="s">
        <v>85</v>
      </c>
      <c r="BR8" s="26" t="s">
        <v>91</v>
      </c>
      <c r="BS8" s="26" t="s">
        <v>85</v>
      </c>
      <c r="BT8" s="26" t="s">
        <v>388</v>
      </c>
      <c r="BU8" s="26" t="s">
        <v>1225</v>
      </c>
      <c r="BV8" s="26" t="s">
        <v>1226</v>
      </c>
      <c r="BW8" s="19" t="s">
        <v>1227</v>
      </c>
      <c r="BX8" s="19" t="s">
        <v>1224</v>
      </c>
      <c r="BY8" s="19" t="s">
        <v>1229</v>
      </c>
    </row>
    <row r="9" spans="1:77">
      <c r="A9" s="24">
        <v>45859</v>
      </c>
      <c r="B9" s="24">
        <v>45859</v>
      </c>
      <c r="C9" s="3">
        <v>0.64493055555556</v>
      </c>
      <c r="D9" s="4" t="s">
        <v>136</v>
      </c>
      <c r="E9" s="24">
        <v>45859</v>
      </c>
      <c r="F9" s="26" t="s">
        <v>137</v>
      </c>
      <c r="G9" s="26" t="s">
        <v>75</v>
      </c>
      <c r="H9" s="26" t="s">
        <v>76</v>
      </c>
      <c r="I9" s="4" t="s">
        <v>138</v>
      </c>
      <c r="J9" s="26">
        <v>1219000754</v>
      </c>
      <c r="K9" s="26" t="str">
        <f>VLOOKUP(J:J,'[2]Inventory Codes'!$B:$D,3,0)</f>
        <v>CC</v>
      </c>
      <c r="L9" s="26" t="s">
        <v>139</v>
      </c>
      <c r="M9" s="27">
        <v>1152</v>
      </c>
      <c r="N9" s="26" t="s">
        <v>79</v>
      </c>
      <c r="O9" s="26" t="s">
        <v>140</v>
      </c>
      <c r="P9" s="26" t="s">
        <v>85</v>
      </c>
      <c r="Q9" s="5">
        <v>1152</v>
      </c>
      <c r="R9" s="4" t="s">
        <v>141</v>
      </c>
      <c r="S9" s="4" t="s">
        <v>122</v>
      </c>
      <c r="T9" s="83" t="s">
        <v>84</v>
      </c>
      <c r="U9" s="6">
        <v>841720.31999999995</v>
      </c>
      <c r="V9" s="4" t="s">
        <v>85</v>
      </c>
      <c r="W9" s="4" t="s">
        <v>85</v>
      </c>
      <c r="X9" s="4" t="s">
        <v>86</v>
      </c>
      <c r="Y9" s="4" t="s">
        <v>87</v>
      </c>
      <c r="Z9" s="4" t="s">
        <v>88</v>
      </c>
      <c r="AA9" s="4" t="s">
        <v>89</v>
      </c>
      <c r="AB9" s="4" t="s">
        <v>85</v>
      </c>
      <c r="AC9" s="4" t="s">
        <v>98</v>
      </c>
      <c r="AD9" s="4" t="s">
        <v>85</v>
      </c>
      <c r="AE9" s="4" t="s">
        <v>85</v>
      </c>
      <c r="AF9" s="4" t="s">
        <v>91</v>
      </c>
      <c r="AG9" s="4" t="s">
        <v>85</v>
      </c>
      <c r="AH9" s="4" t="s">
        <v>91</v>
      </c>
      <c r="AI9" s="5">
        <v>1152</v>
      </c>
      <c r="AJ9" s="4" t="s">
        <v>79</v>
      </c>
      <c r="AK9" s="4" t="s">
        <v>79</v>
      </c>
      <c r="AL9" s="5">
        <v>1152</v>
      </c>
      <c r="AM9" s="4" t="s">
        <v>87</v>
      </c>
      <c r="AN9" s="4" t="s">
        <v>85</v>
      </c>
      <c r="AO9" s="4" t="s">
        <v>85</v>
      </c>
      <c r="AP9" s="4" t="s">
        <v>92</v>
      </c>
      <c r="AQ9" s="4" t="s">
        <v>85</v>
      </c>
      <c r="AR9" s="4" t="s">
        <v>85</v>
      </c>
      <c r="AS9" s="6">
        <v>0</v>
      </c>
      <c r="AT9" s="6">
        <v>0</v>
      </c>
      <c r="AU9" s="4" t="s">
        <v>91</v>
      </c>
      <c r="AV9" s="4" t="s">
        <v>85</v>
      </c>
      <c r="AW9" s="4" t="s">
        <v>91</v>
      </c>
      <c r="AX9" s="4" t="s">
        <v>91</v>
      </c>
      <c r="AY9" s="4" t="s">
        <v>85</v>
      </c>
      <c r="AZ9" s="4" t="s">
        <v>93</v>
      </c>
      <c r="BA9" s="4" t="s">
        <v>85</v>
      </c>
      <c r="BB9" s="4" t="s">
        <v>85</v>
      </c>
      <c r="BC9" s="4" t="s">
        <v>91</v>
      </c>
      <c r="BD9" s="4" t="s">
        <v>79</v>
      </c>
      <c r="BE9" s="4" t="s">
        <v>94</v>
      </c>
      <c r="BF9" s="4" t="s">
        <v>85</v>
      </c>
      <c r="BG9" s="4" t="s">
        <v>85</v>
      </c>
      <c r="BH9" s="4" t="s">
        <v>85</v>
      </c>
      <c r="BI9" s="4" t="s">
        <v>91</v>
      </c>
      <c r="BJ9" s="4" t="s">
        <v>91</v>
      </c>
      <c r="BK9" s="4" t="s">
        <v>85</v>
      </c>
      <c r="BL9" s="4" t="s">
        <v>85</v>
      </c>
      <c r="BM9" s="4" t="s">
        <v>95</v>
      </c>
      <c r="BN9" s="4" t="s">
        <v>96</v>
      </c>
      <c r="BO9" s="6">
        <v>0</v>
      </c>
      <c r="BP9" s="4" t="s">
        <v>85</v>
      </c>
      <c r="BQ9" s="4" t="s">
        <v>85</v>
      </c>
      <c r="BR9" s="4" t="s">
        <v>91</v>
      </c>
      <c r="BS9" s="4" t="s">
        <v>85</v>
      </c>
      <c r="BT9" s="26" t="s">
        <v>388</v>
      </c>
      <c r="BU9" s="26" t="s">
        <v>1221</v>
      </c>
      <c r="BV9" s="26" t="s">
        <v>1222</v>
      </c>
      <c r="BW9" s="19" t="s">
        <v>1233</v>
      </c>
      <c r="BX9" s="19" t="s">
        <v>1220</v>
      </c>
      <c r="BY9" s="19" t="s">
        <v>1227</v>
      </c>
    </row>
    <row r="10" spans="1:77">
      <c r="A10" s="24">
        <v>45859</v>
      </c>
      <c r="B10" s="24">
        <v>45859</v>
      </c>
      <c r="C10" s="3">
        <v>0.64493055555556</v>
      </c>
      <c r="D10" s="4" t="s">
        <v>136</v>
      </c>
      <c r="E10" s="24">
        <v>45859</v>
      </c>
      <c r="F10" s="26" t="s">
        <v>137</v>
      </c>
      <c r="G10" s="26" t="s">
        <v>75</v>
      </c>
      <c r="H10" s="26" t="s">
        <v>76</v>
      </c>
      <c r="I10" s="4" t="s">
        <v>138</v>
      </c>
      <c r="J10" s="26">
        <v>1219000754</v>
      </c>
      <c r="K10" s="26" t="str">
        <f>VLOOKUP(J:J,'[2]Inventory Codes'!$B:$D,3,0)</f>
        <v>CC</v>
      </c>
      <c r="L10" s="26" t="s">
        <v>139</v>
      </c>
      <c r="M10" s="27">
        <v>30120</v>
      </c>
      <c r="N10" s="26" t="s">
        <v>79</v>
      </c>
      <c r="O10" s="26" t="s">
        <v>142</v>
      </c>
      <c r="P10" s="26" t="s">
        <v>85</v>
      </c>
      <c r="Q10" s="5">
        <v>30120</v>
      </c>
      <c r="R10" s="4" t="s">
        <v>141</v>
      </c>
      <c r="S10" s="4" t="s">
        <v>122</v>
      </c>
      <c r="T10" s="83" t="s">
        <v>84</v>
      </c>
      <c r="U10" s="6">
        <v>22007479.199999999</v>
      </c>
      <c r="V10" s="4" t="s">
        <v>85</v>
      </c>
      <c r="W10" s="4" t="s">
        <v>85</v>
      </c>
      <c r="X10" s="4" t="s">
        <v>86</v>
      </c>
      <c r="Y10" s="4" t="s">
        <v>87</v>
      </c>
      <c r="Z10" s="4" t="s">
        <v>88</v>
      </c>
      <c r="AA10" s="4" t="s">
        <v>89</v>
      </c>
      <c r="AB10" s="4" t="s">
        <v>85</v>
      </c>
      <c r="AC10" s="4" t="s">
        <v>90</v>
      </c>
      <c r="AD10" s="4" t="s">
        <v>85</v>
      </c>
      <c r="AE10" s="4" t="s">
        <v>85</v>
      </c>
      <c r="AF10" s="4" t="s">
        <v>91</v>
      </c>
      <c r="AG10" s="4" t="s">
        <v>85</v>
      </c>
      <c r="AH10" s="4" t="s">
        <v>91</v>
      </c>
      <c r="AI10" s="5">
        <v>30120</v>
      </c>
      <c r="AJ10" s="4" t="s">
        <v>79</v>
      </c>
      <c r="AK10" s="4" t="s">
        <v>79</v>
      </c>
      <c r="AL10" s="5">
        <v>30120</v>
      </c>
      <c r="AM10" s="4" t="s">
        <v>87</v>
      </c>
      <c r="AN10" s="4" t="s">
        <v>85</v>
      </c>
      <c r="AO10" s="4" t="s">
        <v>85</v>
      </c>
      <c r="AP10" s="4" t="s">
        <v>92</v>
      </c>
      <c r="AQ10" s="4" t="s">
        <v>85</v>
      </c>
      <c r="AR10" s="4" t="s">
        <v>85</v>
      </c>
      <c r="AS10" s="6">
        <v>0</v>
      </c>
      <c r="AT10" s="6">
        <v>0</v>
      </c>
      <c r="AU10" s="4" t="s">
        <v>91</v>
      </c>
      <c r="AV10" s="4" t="s">
        <v>85</v>
      </c>
      <c r="AW10" s="4" t="s">
        <v>91</v>
      </c>
      <c r="AX10" s="4" t="s">
        <v>91</v>
      </c>
      <c r="AY10" s="4" t="s">
        <v>85</v>
      </c>
      <c r="AZ10" s="4" t="s">
        <v>93</v>
      </c>
      <c r="BA10" s="4" t="s">
        <v>85</v>
      </c>
      <c r="BB10" s="4" t="s">
        <v>85</v>
      </c>
      <c r="BC10" s="4" t="s">
        <v>91</v>
      </c>
      <c r="BD10" s="4" t="s">
        <v>79</v>
      </c>
      <c r="BE10" s="4" t="s">
        <v>94</v>
      </c>
      <c r="BF10" s="4" t="s">
        <v>85</v>
      </c>
      <c r="BG10" s="4" t="s">
        <v>85</v>
      </c>
      <c r="BH10" s="4" t="s">
        <v>85</v>
      </c>
      <c r="BI10" s="4" t="s">
        <v>91</v>
      </c>
      <c r="BJ10" s="4" t="s">
        <v>91</v>
      </c>
      <c r="BK10" s="4" t="s">
        <v>85</v>
      </c>
      <c r="BL10" s="4" t="s">
        <v>85</v>
      </c>
      <c r="BM10" s="4" t="s">
        <v>95</v>
      </c>
      <c r="BN10" s="4" t="s">
        <v>96</v>
      </c>
      <c r="BO10" s="6">
        <v>0</v>
      </c>
      <c r="BP10" s="4" t="s">
        <v>85</v>
      </c>
      <c r="BQ10" s="4" t="s">
        <v>85</v>
      </c>
      <c r="BR10" s="4" t="s">
        <v>91</v>
      </c>
      <c r="BS10" s="4" t="s">
        <v>85</v>
      </c>
      <c r="BT10" s="26" t="s">
        <v>388</v>
      </c>
      <c r="BU10" s="26" t="s">
        <v>1221</v>
      </c>
      <c r="BV10" s="26" t="s">
        <v>1222</v>
      </c>
      <c r="BW10" s="19" t="s">
        <v>1233</v>
      </c>
      <c r="BX10" s="19" t="s">
        <v>1220</v>
      </c>
      <c r="BY10" s="19" t="s">
        <v>1227</v>
      </c>
    </row>
    <row r="11" spans="1:77">
      <c r="A11" s="24">
        <v>45859</v>
      </c>
      <c r="B11" s="24">
        <v>45859</v>
      </c>
      <c r="C11" s="3">
        <v>0.64493055555556</v>
      </c>
      <c r="D11" s="4" t="s">
        <v>143</v>
      </c>
      <c r="E11" s="24">
        <v>45859</v>
      </c>
      <c r="F11" s="26" t="s">
        <v>137</v>
      </c>
      <c r="G11" s="26" t="s">
        <v>75</v>
      </c>
      <c r="H11" s="26" t="s">
        <v>76</v>
      </c>
      <c r="I11" s="4" t="s">
        <v>138</v>
      </c>
      <c r="J11" s="26">
        <v>1219000758</v>
      </c>
      <c r="K11" s="26" t="str">
        <f>VLOOKUP(J:J,'[2]Inventory Codes'!$B:$D,3,0)</f>
        <v>CC</v>
      </c>
      <c r="L11" s="26" t="s">
        <v>144</v>
      </c>
      <c r="M11" s="27">
        <v>504</v>
      </c>
      <c r="N11" s="26" t="s">
        <v>79</v>
      </c>
      <c r="O11" s="26" t="s">
        <v>145</v>
      </c>
      <c r="P11" s="26" t="s">
        <v>85</v>
      </c>
      <c r="Q11" s="5">
        <v>504</v>
      </c>
      <c r="R11" s="4" t="s">
        <v>141</v>
      </c>
      <c r="S11" s="4" t="s">
        <v>122</v>
      </c>
      <c r="T11" s="83" t="s">
        <v>84</v>
      </c>
      <c r="U11" s="6">
        <v>420724.08</v>
      </c>
      <c r="V11" s="4" t="s">
        <v>85</v>
      </c>
      <c r="W11" s="4" t="s">
        <v>85</v>
      </c>
      <c r="X11" s="4" t="s">
        <v>86</v>
      </c>
      <c r="Y11" s="4" t="s">
        <v>87</v>
      </c>
      <c r="Z11" s="4" t="s">
        <v>88</v>
      </c>
      <c r="AA11" s="4" t="s">
        <v>89</v>
      </c>
      <c r="AB11" s="4" t="s">
        <v>85</v>
      </c>
      <c r="AC11" s="4" t="s">
        <v>112</v>
      </c>
      <c r="AD11" s="4" t="s">
        <v>85</v>
      </c>
      <c r="AE11" s="4" t="s">
        <v>85</v>
      </c>
      <c r="AF11" s="4" t="s">
        <v>91</v>
      </c>
      <c r="AG11" s="4" t="s">
        <v>85</v>
      </c>
      <c r="AH11" s="4" t="s">
        <v>91</v>
      </c>
      <c r="AI11" s="5">
        <v>504</v>
      </c>
      <c r="AJ11" s="4" t="s">
        <v>79</v>
      </c>
      <c r="AK11" s="4" t="s">
        <v>79</v>
      </c>
      <c r="AL11" s="5">
        <v>504</v>
      </c>
      <c r="AM11" s="4" t="s">
        <v>87</v>
      </c>
      <c r="AN11" s="4" t="s">
        <v>85</v>
      </c>
      <c r="AO11" s="4" t="s">
        <v>85</v>
      </c>
      <c r="AP11" s="4" t="s">
        <v>135</v>
      </c>
      <c r="AQ11" s="4" t="s">
        <v>85</v>
      </c>
      <c r="AR11" s="4" t="s">
        <v>85</v>
      </c>
      <c r="AS11" s="6">
        <v>0</v>
      </c>
      <c r="AT11" s="6">
        <v>0</v>
      </c>
      <c r="AU11" s="4" t="s">
        <v>91</v>
      </c>
      <c r="AV11" s="4" t="s">
        <v>85</v>
      </c>
      <c r="AW11" s="4" t="s">
        <v>91</v>
      </c>
      <c r="AX11" s="4" t="s">
        <v>91</v>
      </c>
      <c r="AY11" s="4" t="s">
        <v>85</v>
      </c>
      <c r="AZ11" s="4" t="s">
        <v>93</v>
      </c>
      <c r="BA11" s="4" t="s">
        <v>85</v>
      </c>
      <c r="BB11" s="4" t="s">
        <v>85</v>
      </c>
      <c r="BC11" s="4" t="s">
        <v>91</v>
      </c>
      <c r="BD11" s="4" t="s">
        <v>79</v>
      </c>
      <c r="BE11" s="4" t="s">
        <v>94</v>
      </c>
      <c r="BF11" s="4" t="s">
        <v>85</v>
      </c>
      <c r="BG11" s="4" t="s">
        <v>85</v>
      </c>
      <c r="BH11" s="4" t="s">
        <v>85</v>
      </c>
      <c r="BI11" s="4" t="s">
        <v>91</v>
      </c>
      <c r="BJ11" s="4" t="s">
        <v>91</v>
      </c>
      <c r="BK11" s="4" t="s">
        <v>85</v>
      </c>
      <c r="BL11" s="4" t="s">
        <v>85</v>
      </c>
      <c r="BM11" s="4" t="s">
        <v>95</v>
      </c>
      <c r="BN11" s="4" t="s">
        <v>96</v>
      </c>
      <c r="BO11" s="6">
        <v>0</v>
      </c>
      <c r="BP11" s="4" t="s">
        <v>85</v>
      </c>
      <c r="BQ11" s="4" t="s">
        <v>85</v>
      </c>
      <c r="BR11" s="4" t="s">
        <v>91</v>
      </c>
      <c r="BS11" s="4" t="s">
        <v>85</v>
      </c>
      <c r="BT11" s="26" t="s">
        <v>388</v>
      </c>
      <c r="BU11" s="26" t="s">
        <v>1221</v>
      </c>
      <c r="BV11" s="26" t="s">
        <v>1222</v>
      </c>
      <c r="BW11" s="19" t="s">
        <v>1233</v>
      </c>
      <c r="BX11" s="19" t="s">
        <v>1220</v>
      </c>
      <c r="BY11" s="19" t="s">
        <v>1227</v>
      </c>
    </row>
    <row r="12" spans="1:77">
      <c r="A12" s="24">
        <v>45859</v>
      </c>
      <c r="B12" s="24">
        <v>45859</v>
      </c>
      <c r="C12" s="3">
        <v>0.64493055555556</v>
      </c>
      <c r="D12" s="4" t="s">
        <v>143</v>
      </c>
      <c r="E12" s="24">
        <v>45859</v>
      </c>
      <c r="F12" s="26" t="s">
        <v>137</v>
      </c>
      <c r="G12" s="26" t="s">
        <v>75</v>
      </c>
      <c r="H12" s="26" t="s">
        <v>76</v>
      </c>
      <c r="I12" s="4" t="s">
        <v>138</v>
      </c>
      <c r="J12" s="26">
        <v>1219000758</v>
      </c>
      <c r="K12" s="26" t="str">
        <f>VLOOKUP(J:J,'[2]Inventory Codes'!$B:$D,3,0)</f>
        <v>CC</v>
      </c>
      <c r="L12" s="26" t="s">
        <v>144</v>
      </c>
      <c r="M12" s="27">
        <v>7848</v>
      </c>
      <c r="N12" s="26" t="s">
        <v>79</v>
      </c>
      <c r="O12" s="26" t="s">
        <v>146</v>
      </c>
      <c r="P12" s="26" t="s">
        <v>85</v>
      </c>
      <c r="Q12" s="5">
        <v>7848</v>
      </c>
      <c r="R12" s="4" t="s">
        <v>141</v>
      </c>
      <c r="S12" s="4" t="s">
        <v>122</v>
      </c>
      <c r="T12" s="83" t="s">
        <v>84</v>
      </c>
      <c r="U12" s="6">
        <v>6551274.96</v>
      </c>
      <c r="V12" s="4" t="s">
        <v>85</v>
      </c>
      <c r="W12" s="4" t="s">
        <v>85</v>
      </c>
      <c r="X12" s="4" t="s">
        <v>86</v>
      </c>
      <c r="Y12" s="4" t="s">
        <v>87</v>
      </c>
      <c r="Z12" s="4" t="s">
        <v>88</v>
      </c>
      <c r="AA12" s="4" t="s">
        <v>89</v>
      </c>
      <c r="AB12" s="4" t="s">
        <v>85</v>
      </c>
      <c r="AC12" s="4" t="s">
        <v>134</v>
      </c>
      <c r="AD12" s="4" t="s">
        <v>85</v>
      </c>
      <c r="AE12" s="4" t="s">
        <v>85</v>
      </c>
      <c r="AF12" s="4" t="s">
        <v>91</v>
      </c>
      <c r="AG12" s="4" t="s">
        <v>85</v>
      </c>
      <c r="AH12" s="4" t="s">
        <v>91</v>
      </c>
      <c r="AI12" s="5">
        <v>7848</v>
      </c>
      <c r="AJ12" s="4" t="s">
        <v>79</v>
      </c>
      <c r="AK12" s="4" t="s">
        <v>79</v>
      </c>
      <c r="AL12" s="5">
        <v>7848</v>
      </c>
      <c r="AM12" s="4" t="s">
        <v>87</v>
      </c>
      <c r="AN12" s="4" t="s">
        <v>85</v>
      </c>
      <c r="AO12" s="4" t="s">
        <v>85</v>
      </c>
      <c r="AP12" s="4" t="s">
        <v>135</v>
      </c>
      <c r="AQ12" s="4" t="s">
        <v>85</v>
      </c>
      <c r="AR12" s="4" t="s">
        <v>85</v>
      </c>
      <c r="AS12" s="6">
        <v>0</v>
      </c>
      <c r="AT12" s="6">
        <v>0</v>
      </c>
      <c r="AU12" s="4" t="s">
        <v>91</v>
      </c>
      <c r="AV12" s="4" t="s">
        <v>85</v>
      </c>
      <c r="AW12" s="4" t="s">
        <v>91</v>
      </c>
      <c r="AX12" s="4" t="s">
        <v>91</v>
      </c>
      <c r="AY12" s="4" t="s">
        <v>85</v>
      </c>
      <c r="AZ12" s="4" t="s">
        <v>93</v>
      </c>
      <c r="BA12" s="4" t="s">
        <v>85</v>
      </c>
      <c r="BB12" s="4" t="s">
        <v>85</v>
      </c>
      <c r="BC12" s="4" t="s">
        <v>91</v>
      </c>
      <c r="BD12" s="4" t="s">
        <v>79</v>
      </c>
      <c r="BE12" s="4" t="s">
        <v>94</v>
      </c>
      <c r="BF12" s="4" t="s">
        <v>85</v>
      </c>
      <c r="BG12" s="4" t="s">
        <v>85</v>
      </c>
      <c r="BH12" s="4" t="s">
        <v>85</v>
      </c>
      <c r="BI12" s="4" t="s">
        <v>91</v>
      </c>
      <c r="BJ12" s="4" t="s">
        <v>91</v>
      </c>
      <c r="BK12" s="4" t="s">
        <v>85</v>
      </c>
      <c r="BL12" s="4" t="s">
        <v>85</v>
      </c>
      <c r="BM12" s="4" t="s">
        <v>95</v>
      </c>
      <c r="BN12" s="4" t="s">
        <v>96</v>
      </c>
      <c r="BO12" s="6">
        <v>0</v>
      </c>
      <c r="BP12" s="4" t="s">
        <v>85</v>
      </c>
      <c r="BQ12" s="4" t="s">
        <v>85</v>
      </c>
      <c r="BR12" s="4" t="s">
        <v>91</v>
      </c>
      <c r="BS12" s="4" t="s">
        <v>85</v>
      </c>
      <c r="BT12" s="26" t="s">
        <v>388</v>
      </c>
      <c r="BU12" s="26" t="s">
        <v>1221</v>
      </c>
      <c r="BV12" s="26" t="s">
        <v>1222</v>
      </c>
      <c r="BW12" s="19" t="s">
        <v>1233</v>
      </c>
      <c r="BX12" s="19" t="s">
        <v>1220</v>
      </c>
      <c r="BY12" s="19" t="s">
        <v>1227</v>
      </c>
    </row>
    <row r="13" spans="1:77">
      <c r="A13" s="24">
        <v>45859</v>
      </c>
      <c r="B13" s="24">
        <v>45859</v>
      </c>
      <c r="C13" s="3">
        <v>0.64493055555556</v>
      </c>
      <c r="D13" s="4" t="s">
        <v>143</v>
      </c>
      <c r="E13" s="24">
        <v>45859</v>
      </c>
      <c r="F13" s="26" t="s">
        <v>137</v>
      </c>
      <c r="G13" s="26" t="s">
        <v>75</v>
      </c>
      <c r="H13" s="26" t="s">
        <v>76</v>
      </c>
      <c r="I13" s="4" t="s">
        <v>138</v>
      </c>
      <c r="J13" s="26">
        <v>1219000758</v>
      </c>
      <c r="K13" s="26" t="str">
        <f>VLOOKUP(J:J,'[2]Inventory Codes'!$B:$D,3,0)</f>
        <v>CC</v>
      </c>
      <c r="L13" s="26" t="s">
        <v>144</v>
      </c>
      <c r="M13" s="27">
        <v>1656</v>
      </c>
      <c r="N13" s="26" t="s">
        <v>79</v>
      </c>
      <c r="O13" s="26" t="s">
        <v>147</v>
      </c>
      <c r="P13" s="26" t="s">
        <v>85</v>
      </c>
      <c r="Q13" s="5">
        <v>1656</v>
      </c>
      <c r="R13" s="4" t="s">
        <v>141</v>
      </c>
      <c r="S13" s="4" t="s">
        <v>122</v>
      </c>
      <c r="T13" s="83" t="s">
        <v>84</v>
      </c>
      <c r="U13" s="6">
        <v>1382379.12</v>
      </c>
      <c r="V13" s="4" t="s">
        <v>85</v>
      </c>
      <c r="W13" s="4" t="s">
        <v>85</v>
      </c>
      <c r="X13" s="4" t="s">
        <v>86</v>
      </c>
      <c r="Y13" s="4" t="s">
        <v>87</v>
      </c>
      <c r="Z13" s="4" t="s">
        <v>88</v>
      </c>
      <c r="AA13" s="4" t="s">
        <v>89</v>
      </c>
      <c r="AB13" s="4" t="s">
        <v>85</v>
      </c>
      <c r="AC13" s="4" t="s">
        <v>131</v>
      </c>
      <c r="AD13" s="4" t="s">
        <v>85</v>
      </c>
      <c r="AE13" s="4" t="s">
        <v>85</v>
      </c>
      <c r="AF13" s="4" t="s">
        <v>91</v>
      </c>
      <c r="AG13" s="4" t="s">
        <v>85</v>
      </c>
      <c r="AH13" s="4" t="s">
        <v>91</v>
      </c>
      <c r="AI13" s="5">
        <v>1656</v>
      </c>
      <c r="AJ13" s="4" t="s">
        <v>79</v>
      </c>
      <c r="AK13" s="4" t="s">
        <v>79</v>
      </c>
      <c r="AL13" s="5">
        <v>1656</v>
      </c>
      <c r="AM13" s="4" t="s">
        <v>87</v>
      </c>
      <c r="AN13" s="4" t="s">
        <v>85</v>
      </c>
      <c r="AO13" s="4" t="s">
        <v>85</v>
      </c>
      <c r="AP13" s="4" t="s">
        <v>135</v>
      </c>
      <c r="AQ13" s="4" t="s">
        <v>85</v>
      </c>
      <c r="AR13" s="4" t="s">
        <v>85</v>
      </c>
      <c r="AS13" s="6">
        <v>0</v>
      </c>
      <c r="AT13" s="6">
        <v>0</v>
      </c>
      <c r="AU13" s="4" t="s">
        <v>91</v>
      </c>
      <c r="AV13" s="4" t="s">
        <v>85</v>
      </c>
      <c r="AW13" s="4" t="s">
        <v>91</v>
      </c>
      <c r="AX13" s="4" t="s">
        <v>91</v>
      </c>
      <c r="AY13" s="4" t="s">
        <v>85</v>
      </c>
      <c r="AZ13" s="4" t="s">
        <v>93</v>
      </c>
      <c r="BA13" s="4" t="s">
        <v>85</v>
      </c>
      <c r="BB13" s="4" t="s">
        <v>85</v>
      </c>
      <c r="BC13" s="4" t="s">
        <v>91</v>
      </c>
      <c r="BD13" s="4" t="s">
        <v>79</v>
      </c>
      <c r="BE13" s="4" t="s">
        <v>94</v>
      </c>
      <c r="BF13" s="4" t="s">
        <v>85</v>
      </c>
      <c r="BG13" s="4" t="s">
        <v>85</v>
      </c>
      <c r="BH13" s="4" t="s">
        <v>85</v>
      </c>
      <c r="BI13" s="4" t="s">
        <v>91</v>
      </c>
      <c r="BJ13" s="4" t="s">
        <v>91</v>
      </c>
      <c r="BK13" s="4" t="s">
        <v>85</v>
      </c>
      <c r="BL13" s="4" t="s">
        <v>85</v>
      </c>
      <c r="BM13" s="4" t="s">
        <v>95</v>
      </c>
      <c r="BN13" s="4" t="s">
        <v>96</v>
      </c>
      <c r="BO13" s="6">
        <v>0</v>
      </c>
      <c r="BP13" s="4" t="s">
        <v>85</v>
      </c>
      <c r="BQ13" s="4" t="s">
        <v>85</v>
      </c>
      <c r="BR13" s="4" t="s">
        <v>91</v>
      </c>
      <c r="BS13" s="4" t="s">
        <v>85</v>
      </c>
      <c r="BT13" s="26" t="s">
        <v>388</v>
      </c>
      <c r="BU13" s="26" t="s">
        <v>1221</v>
      </c>
      <c r="BV13" s="26" t="s">
        <v>1222</v>
      </c>
      <c r="BW13" s="19" t="s">
        <v>1233</v>
      </c>
      <c r="BX13" s="19" t="s">
        <v>1220</v>
      </c>
      <c r="BY13" s="19" t="s">
        <v>1227</v>
      </c>
    </row>
    <row r="14" spans="1:77">
      <c r="A14" s="24">
        <v>45860</v>
      </c>
      <c r="B14" s="24">
        <v>45860</v>
      </c>
      <c r="C14" s="3">
        <v>0.70121527777778003</v>
      </c>
      <c r="D14" s="4" t="s">
        <v>148</v>
      </c>
      <c r="E14" s="24">
        <v>45860</v>
      </c>
      <c r="F14" s="26" t="s">
        <v>149</v>
      </c>
      <c r="G14" s="26" t="s">
        <v>75</v>
      </c>
      <c r="H14" s="26" t="s">
        <v>76</v>
      </c>
      <c r="I14" s="4" t="s">
        <v>150</v>
      </c>
      <c r="J14" s="26">
        <v>1219000752</v>
      </c>
      <c r="K14" s="26" t="str">
        <f>VLOOKUP(J:J,'[2]Inventory Codes'!$B:$D,3,0)</f>
        <v>CC</v>
      </c>
      <c r="L14" s="26" t="s">
        <v>151</v>
      </c>
      <c r="M14" s="27">
        <v>72</v>
      </c>
      <c r="N14" s="26" t="s">
        <v>79</v>
      </c>
      <c r="O14" s="26" t="s">
        <v>152</v>
      </c>
      <c r="P14" s="26" t="s">
        <v>85</v>
      </c>
      <c r="Q14" s="5">
        <v>72</v>
      </c>
      <c r="R14" s="4" t="s">
        <v>153</v>
      </c>
      <c r="S14" s="4" t="s">
        <v>122</v>
      </c>
      <c r="T14" s="83" t="s">
        <v>84</v>
      </c>
      <c r="U14" s="6">
        <v>60090.48</v>
      </c>
      <c r="V14" s="4" t="s">
        <v>85</v>
      </c>
      <c r="W14" s="4" t="s">
        <v>85</v>
      </c>
      <c r="X14" s="4" t="s">
        <v>86</v>
      </c>
      <c r="Y14" s="4" t="s">
        <v>87</v>
      </c>
      <c r="Z14" s="4" t="s">
        <v>88</v>
      </c>
      <c r="AA14" s="4" t="s">
        <v>89</v>
      </c>
      <c r="AB14" s="4" t="s">
        <v>85</v>
      </c>
      <c r="AC14" s="4" t="s">
        <v>98</v>
      </c>
      <c r="AD14" s="4" t="s">
        <v>85</v>
      </c>
      <c r="AE14" s="4" t="s">
        <v>85</v>
      </c>
      <c r="AF14" s="4" t="s">
        <v>91</v>
      </c>
      <c r="AG14" s="4" t="s">
        <v>85</v>
      </c>
      <c r="AH14" s="4" t="s">
        <v>91</v>
      </c>
      <c r="AI14" s="5">
        <v>72</v>
      </c>
      <c r="AJ14" s="4" t="s">
        <v>79</v>
      </c>
      <c r="AK14" s="4" t="s">
        <v>79</v>
      </c>
      <c r="AL14" s="5">
        <v>72</v>
      </c>
      <c r="AM14" s="4" t="s">
        <v>87</v>
      </c>
      <c r="AN14" s="4" t="s">
        <v>85</v>
      </c>
      <c r="AO14" s="4" t="s">
        <v>85</v>
      </c>
      <c r="AP14" s="4" t="s">
        <v>135</v>
      </c>
      <c r="AQ14" s="4" t="s">
        <v>85</v>
      </c>
      <c r="AR14" s="4" t="s">
        <v>85</v>
      </c>
      <c r="AS14" s="6">
        <v>0</v>
      </c>
      <c r="AT14" s="6">
        <v>0</v>
      </c>
      <c r="AU14" s="4" t="s">
        <v>91</v>
      </c>
      <c r="AV14" s="4" t="s">
        <v>85</v>
      </c>
      <c r="AW14" s="4" t="s">
        <v>91</v>
      </c>
      <c r="AX14" s="4" t="s">
        <v>91</v>
      </c>
      <c r="AY14" s="4" t="s">
        <v>85</v>
      </c>
      <c r="AZ14" s="4" t="s">
        <v>93</v>
      </c>
      <c r="BA14" s="4" t="s">
        <v>85</v>
      </c>
      <c r="BB14" s="4" t="s">
        <v>85</v>
      </c>
      <c r="BC14" s="4" t="s">
        <v>91</v>
      </c>
      <c r="BD14" s="4" t="s">
        <v>79</v>
      </c>
      <c r="BE14" s="4" t="s">
        <v>94</v>
      </c>
      <c r="BF14" s="4" t="s">
        <v>85</v>
      </c>
      <c r="BG14" s="4" t="s">
        <v>85</v>
      </c>
      <c r="BH14" s="4" t="s">
        <v>85</v>
      </c>
      <c r="BI14" s="4" t="s">
        <v>91</v>
      </c>
      <c r="BJ14" s="4" t="s">
        <v>91</v>
      </c>
      <c r="BK14" s="4" t="s">
        <v>85</v>
      </c>
      <c r="BL14" s="4" t="s">
        <v>85</v>
      </c>
      <c r="BM14" s="4" t="s">
        <v>95</v>
      </c>
      <c r="BN14" s="4" t="s">
        <v>96</v>
      </c>
      <c r="BO14" s="6">
        <v>0</v>
      </c>
      <c r="BP14" s="4" t="s">
        <v>85</v>
      </c>
      <c r="BQ14" s="4" t="s">
        <v>85</v>
      </c>
      <c r="BR14" s="4" t="s">
        <v>91</v>
      </c>
      <c r="BS14" s="4" t="s">
        <v>85</v>
      </c>
      <c r="BT14" s="26" t="s">
        <v>388</v>
      </c>
      <c r="BU14" s="26" t="s">
        <v>1221</v>
      </c>
      <c r="BV14" s="26" t="s">
        <v>1222</v>
      </c>
      <c r="BW14" s="19" t="s">
        <v>1233</v>
      </c>
      <c r="BX14" s="19" t="s">
        <v>1220</v>
      </c>
      <c r="BY14" s="19" t="s">
        <v>1227</v>
      </c>
    </row>
    <row r="15" spans="1:77">
      <c r="A15" s="24">
        <v>45860</v>
      </c>
      <c r="B15" s="24">
        <v>45860</v>
      </c>
      <c r="C15" s="3">
        <v>0.70121527777778003</v>
      </c>
      <c r="D15" s="4" t="s">
        <v>148</v>
      </c>
      <c r="E15" s="24">
        <v>45860</v>
      </c>
      <c r="F15" s="26" t="s">
        <v>149</v>
      </c>
      <c r="G15" s="26" t="s">
        <v>75</v>
      </c>
      <c r="H15" s="26" t="s">
        <v>76</v>
      </c>
      <c r="I15" s="4" t="s">
        <v>150</v>
      </c>
      <c r="J15" s="26">
        <v>1219000752</v>
      </c>
      <c r="K15" s="26" t="str">
        <f>VLOOKUP(J:J,'[2]Inventory Codes'!$B:$D,3,0)</f>
        <v>CC</v>
      </c>
      <c r="L15" s="26" t="s">
        <v>151</v>
      </c>
      <c r="M15" s="27">
        <v>7944</v>
      </c>
      <c r="N15" s="26" t="s">
        <v>79</v>
      </c>
      <c r="O15" s="26" t="s">
        <v>154</v>
      </c>
      <c r="P15" s="26" t="s">
        <v>85</v>
      </c>
      <c r="Q15" s="5">
        <v>7944</v>
      </c>
      <c r="R15" s="4" t="s">
        <v>153</v>
      </c>
      <c r="S15" s="4" t="s">
        <v>122</v>
      </c>
      <c r="T15" s="83" t="s">
        <v>84</v>
      </c>
      <c r="U15" s="6">
        <v>6629982.96</v>
      </c>
      <c r="V15" s="4" t="s">
        <v>85</v>
      </c>
      <c r="W15" s="4" t="s">
        <v>85</v>
      </c>
      <c r="X15" s="4" t="s">
        <v>86</v>
      </c>
      <c r="Y15" s="4" t="s">
        <v>87</v>
      </c>
      <c r="Z15" s="4" t="s">
        <v>88</v>
      </c>
      <c r="AA15" s="4" t="s">
        <v>89</v>
      </c>
      <c r="AB15" s="4" t="s">
        <v>85</v>
      </c>
      <c r="AC15" s="4" t="s">
        <v>90</v>
      </c>
      <c r="AD15" s="4" t="s">
        <v>85</v>
      </c>
      <c r="AE15" s="4" t="s">
        <v>85</v>
      </c>
      <c r="AF15" s="4" t="s">
        <v>91</v>
      </c>
      <c r="AG15" s="4" t="s">
        <v>85</v>
      </c>
      <c r="AH15" s="4" t="s">
        <v>91</v>
      </c>
      <c r="AI15" s="5">
        <v>7944</v>
      </c>
      <c r="AJ15" s="4" t="s">
        <v>79</v>
      </c>
      <c r="AK15" s="4" t="s">
        <v>79</v>
      </c>
      <c r="AL15" s="5">
        <v>7944</v>
      </c>
      <c r="AM15" s="4" t="s">
        <v>87</v>
      </c>
      <c r="AN15" s="4" t="s">
        <v>85</v>
      </c>
      <c r="AO15" s="4" t="s">
        <v>85</v>
      </c>
      <c r="AP15" s="4" t="s">
        <v>135</v>
      </c>
      <c r="AQ15" s="4" t="s">
        <v>85</v>
      </c>
      <c r="AR15" s="4" t="s">
        <v>85</v>
      </c>
      <c r="AS15" s="6">
        <v>0</v>
      </c>
      <c r="AT15" s="6">
        <v>0</v>
      </c>
      <c r="AU15" s="4" t="s">
        <v>91</v>
      </c>
      <c r="AV15" s="4" t="s">
        <v>85</v>
      </c>
      <c r="AW15" s="4" t="s">
        <v>91</v>
      </c>
      <c r="AX15" s="4" t="s">
        <v>91</v>
      </c>
      <c r="AY15" s="4" t="s">
        <v>85</v>
      </c>
      <c r="AZ15" s="4" t="s">
        <v>93</v>
      </c>
      <c r="BA15" s="4" t="s">
        <v>85</v>
      </c>
      <c r="BB15" s="4" t="s">
        <v>85</v>
      </c>
      <c r="BC15" s="4" t="s">
        <v>91</v>
      </c>
      <c r="BD15" s="4" t="s">
        <v>79</v>
      </c>
      <c r="BE15" s="4" t="s">
        <v>94</v>
      </c>
      <c r="BF15" s="4" t="s">
        <v>85</v>
      </c>
      <c r="BG15" s="4" t="s">
        <v>85</v>
      </c>
      <c r="BH15" s="4" t="s">
        <v>85</v>
      </c>
      <c r="BI15" s="4" t="s">
        <v>91</v>
      </c>
      <c r="BJ15" s="4" t="s">
        <v>91</v>
      </c>
      <c r="BK15" s="4" t="s">
        <v>85</v>
      </c>
      <c r="BL15" s="4" t="s">
        <v>85</v>
      </c>
      <c r="BM15" s="4" t="s">
        <v>95</v>
      </c>
      <c r="BN15" s="4" t="s">
        <v>96</v>
      </c>
      <c r="BO15" s="6">
        <v>0</v>
      </c>
      <c r="BP15" s="4" t="s">
        <v>85</v>
      </c>
      <c r="BQ15" s="4" t="s">
        <v>85</v>
      </c>
      <c r="BR15" s="4" t="s">
        <v>91</v>
      </c>
      <c r="BS15" s="4" t="s">
        <v>85</v>
      </c>
      <c r="BT15" s="26" t="s">
        <v>388</v>
      </c>
      <c r="BU15" s="26" t="s">
        <v>1221</v>
      </c>
      <c r="BV15" s="26" t="s">
        <v>1222</v>
      </c>
      <c r="BW15" s="19" t="s">
        <v>1233</v>
      </c>
      <c r="BX15" s="19" t="s">
        <v>1220</v>
      </c>
      <c r="BY15" s="19" t="s">
        <v>1227</v>
      </c>
    </row>
    <row r="16" spans="1:77">
      <c r="A16" s="24">
        <v>45860</v>
      </c>
      <c r="B16" s="24">
        <v>45860</v>
      </c>
      <c r="C16" s="3">
        <v>0.70121527777778003</v>
      </c>
      <c r="D16" s="4" t="s">
        <v>73</v>
      </c>
      <c r="E16" s="24">
        <v>45860</v>
      </c>
      <c r="F16" s="26" t="s">
        <v>149</v>
      </c>
      <c r="G16" s="26" t="s">
        <v>75</v>
      </c>
      <c r="H16" s="26" t="s">
        <v>76</v>
      </c>
      <c r="I16" s="4" t="s">
        <v>150</v>
      </c>
      <c r="J16" s="26">
        <v>1219000753</v>
      </c>
      <c r="K16" s="26" t="str">
        <f>VLOOKUP(J:J,'[2]Inventory Codes'!$B:$D,3,0)</f>
        <v>CC</v>
      </c>
      <c r="L16" s="26" t="s">
        <v>78</v>
      </c>
      <c r="M16" s="27">
        <v>16008</v>
      </c>
      <c r="N16" s="26" t="s">
        <v>79</v>
      </c>
      <c r="O16" s="26" t="s">
        <v>80</v>
      </c>
      <c r="P16" s="26" t="s">
        <v>85</v>
      </c>
      <c r="Q16" s="5">
        <v>16008</v>
      </c>
      <c r="R16" s="4" t="s">
        <v>153</v>
      </c>
      <c r="S16" s="4" t="s">
        <v>122</v>
      </c>
      <c r="T16" s="83" t="s">
        <v>84</v>
      </c>
      <c r="U16" s="6">
        <v>13586629.92</v>
      </c>
      <c r="V16" s="4" t="s">
        <v>85</v>
      </c>
      <c r="W16" s="4" t="s">
        <v>85</v>
      </c>
      <c r="X16" s="4" t="s">
        <v>86</v>
      </c>
      <c r="Y16" s="4" t="s">
        <v>87</v>
      </c>
      <c r="Z16" s="4" t="s">
        <v>88</v>
      </c>
      <c r="AA16" s="4" t="s">
        <v>89</v>
      </c>
      <c r="AB16" s="4" t="s">
        <v>85</v>
      </c>
      <c r="AC16" s="4" t="s">
        <v>112</v>
      </c>
      <c r="AD16" s="4" t="s">
        <v>85</v>
      </c>
      <c r="AE16" s="4" t="s">
        <v>85</v>
      </c>
      <c r="AF16" s="4" t="s">
        <v>91</v>
      </c>
      <c r="AG16" s="4" t="s">
        <v>85</v>
      </c>
      <c r="AH16" s="4" t="s">
        <v>91</v>
      </c>
      <c r="AI16" s="5">
        <v>16008</v>
      </c>
      <c r="AJ16" s="4" t="s">
        <v>79</v>
      </c>
      <c r="AK16" s="4" t="s">
        <v>79</v>
      </c>
      <c r="AL16" s="5">
        <v>16008</v>
      </c>
      <c r="AM16" s="4" t="s">
        <v>87</v>
      </c>
      <c r="AN16" s="4" t="s">
        <v>85</v>
      </c>
      <c r="AO16" s="4" t="s">
        <v>85</v>
      </c>
      <c r="AP16" s="4" t="s">
        <v>132</v>
      </c>
      <c r="AQ16" s="4" t="s">
        <v>85</v>
      </c>
      <c r="AR16" s="4" t="s">
        <v>85</v>
      </c>
      <c r="AS16" s="6">
        <v>0</v>
      </c>
      <c r="AT16" s="6">
        <v>0</v>
      </c>
      <c r="AU16" s="4" t="s">
        <v>91</v>
      </c>
      <c r="AV16" s="4" t="s">
        <v>85</v>
      </c>
      <c r="AW16" s="4" t="s">
        <v>91</v>
      </c>
      <c r="AX16" s="4" t="s">
        <v>91</v>
      </c>
      <c r="AY16" s="4" t="s">
        <v>85</v>
      </c>
      <c r="AZ16" s="4" t="s">
        <v>93</v>
      </c>
      <c r="BA16" s="4" t="s">
        <v>85</v>
      </c>
      <c r="BB16" s="4" t="s">
        <v>85</v>
      </c>
      <c r="BC16" s="4" t="s">
        <v>91</v>
      </c>
      <c r="BD16" s="4" t="s">
        <v>79</v>
      </c>
      <c r="BE16" s="4" t="s">
        <v>94</v>
      </c>
      <c r="BF16" s="4" t="s">
        <v>85</v>
      </c>
      <c r="BG16" s="4" t="s">
        <v>85</v>
      </c>
      <c r="BH16" s="4" t="s">
        <v>85</v>
      </c>
      <c r="BI16" s="4" t="s">
        <v>91</v>
      </c>
      <c r="BJ16" s="4" t="s">
        <v>91</v>
      </c>
      <c r="BK16" s="4" t="s">
        <v>85</v>
      </c>
      <c r="BL16" s="4" t="s">
        <v>85</v>
      </c>
      <c r="BM16" s="4" t="s">
        <v>95</v>
      </c>
      <c r="BN16" s="4" t="s">
        <v>96</v>
      </c>
      <c r="BO16" s="6">
        <v>0</v>
      </c>
      <c r="BP16" s="4" t="s">
        <v>85</v>
      </c>
      <c r="BQ16" s="4" t="s">
        <v>85</v>
      </c>
      <c r="BR16" s="4" t="s">
        <v>91</v>
      </c>
      <c r="BS16" s="4" t="s">
        <v>85</v>
      </c>
      <c r="BT16" s="26" t="s">
        <v>388</v>
      </c>
      <c r="BU16" s="26" t="s">
        <v>1221</v>
      </c>
      <c r="BV16" s="26" t="s">
        <v>1222</v>
      </c>
      <c r="BW16" s="19" t="s">
        <v>1233</v>
      </c>
      <c r="BX16" s="19" t="s">
        <v>1220</v>
      </c>
      <c r="BY16" s="19" t="s">
        <v>1227</v>
      </c>
    </row>
    <row r="17" spans="1:78">
      <c r="A17" s="24">
        <v>45860</v>
      </c>
      <c r="B17" s="24">
        <v>45860</v>
      </c>
      <c r="C17" s="3">
        <v>0.70121527777778003</v>
      </c>
      <c r="D17" s="4" t="s">
        <v>136</v>
      </c>
      <c r="E17" s="24">
        <v>45860</v>
      </c>
      <c r="F17" s="26" t="s">
        <v>149</v>
      </c>
      <c r="G17" s="26" t="s">
        <v>75</v>
      </c>
      <c r="H17" s="26" t="s">
        <v>76</v>
      </c>
      <c r="I17" s="4" t="s">
        <v>150</v>
      </c>
      <c r="J17" s="26">
        <v>1219000754</v>
      </c>
      <c r="K17" s="26" t="str">
        <f>VLOOKUP(J:J,'[2]Inventory Codes'!$B:$D,3,0)</f>
        <v>CC</v>
      </c>
      <c r="L17" s="26" t="s">
        <v>139</v>
      </c>
      <c r="M17" s="27">
        <v>18744</v>
      </c>
      <c r="N17" s="26" t="s">
        <v>79</v>
      </c>
      <c r="O17" s="26" t="s">
        <v>142</v>
      </c>
      <c r="P17" s="26" t="s">
        <v>85</v>
      </c>
      <c r="Q17" s="5">
        <v>18744</v>
      </c>
      <c r="R17" s="4" t="s">
        <v>153</v>
      </c>
      <c r="S17" s="4" t="s">
        <v>122</v>
      </c>
      <c r="T17" s="83" t="s">
        <v>84</v>
      </c>
      <c r="U17" s="6">
        <v>13695491.039999999</v>
      </c>
      <c r="V17" s="4" t="s">
        <v>85</v>
      </c>
      <c r="W17" s="4" t="s">
        <v>85</v>
      </c>
      <c r="X17" s="4" t="s">
        <v>86</v>
      </c>
      <c r="Y17" s="4" t="s">
        <v>87</v>
      </c>
      <c r="Z17" s="4" t="s">
        <v>88</v>
      </c>
      <c r="AA17" s="4" t="s">
        <v>89</v>
      </c>
      <c r="AB17" s="4" t="s">
        <v>85</v>
      </c>
      <c r="AC17" s="4" t="s">
        <v>134</v>
      </c>
      <c r="AD17" s="4" t="s">
        <v>85</v>
      </c>
      <c r="AE17" s="4" t="s">
        <v>85</v>
      </c>
      <c r="AF17" s="4" t="s">
        <v>91</v>
      </c>
      <c r="AG17" s="4" t="s">
        <v>85</v>
      </c>
      <c r="AH17" s="4" t="s">
        <v>91</v>
      </c>
      <c r="AI17" s="5">
        <v>18744</v>
      </c>
      <c r="AJ17" s="4" t="s">
        <v>79</v>
      </c>
      <c r="AK17" s="4" t="s">
        <v>79</v>
      </c>
      <c r="AL17" s="5">
        <v>18744</v>
      </c>
      <c r="AM17" s="4" t="s">
        <v>87</v>
      </c>
      <c r="AN17" s="4" t="s">
        <v>85</v>
      </c>
      <c r="AO17" s="4" t="s">
        <v>85</v>
      </c>
      <c r="AP17" s="4" t="s">
        <v>127</v>
      </c>
      <c r="AQ17" s="4" t="s">
        <v>85</v>
      </c>
      <c r="AR17" s="4" t="s">
        <v>85</v>
      </c>
      <c r="AS17" s="6">
        <v>0</v>
      </c>
      <c r="AT17" s="6">
        <v>0</v>
      </c>
      <c r="AU17" s="4" t="s">
        <v>91</v>
      </c>
      <c r="AV17" s="4" t="s">
        <v>85</v>
      </c>
      <c r="AW17" s="4" t="s">
        <v>91</v>
      </c>
      <c r="AX17" s="4" t="s">
        <v>91</v>
      </c>
      <c r="AY17" s="4" t="s">
        <v>85</v>
      </c>
      <c r="AZ17" s="4" t="s">
        <v>93</v>
      </c>
      <c r="BA17" s="4" t="s">
        <v>85</v>
      </c>
      <c r="BB17" s="4" t="s">
        <v>85</v>
      </c>
      <c r="BC17" s="4" t="s">
        <v>91</v>
      </c>
      <c r="BD17" s="4" t="s">
        <v>79</v>
      </c>
      <c r="BE17" s="4" t="s">
        <v>94</v>
      </c>
      <c r="BF17" s="4" t="s">
        <v>85</v>
      </c>
      <c r="BG17" s="4" t="s">
        <v>85</v>
      </c>
      <c r="BH17" s="4" t="s">
        <v>85</v>
      </c>
      <c r="BI17" s="4" t="s">
        <v>91</v>
      </c>
      <c r="BJ17" s="4" t="s">
        <v>91</v>
      </c>
      <c r="BK17" s="4" t="s">
        <v>85</v>
      </c>
      <c r="BL17" s="4" t="s">
        <v>85</v>
      </c>
      <c r="BM17" s="4" t="s">
        <v>95</v>
      </c>
      <c r="BN17" s="4" t="s">
        <v>96</v>
      </c>
      <c r="BO17" s="6">
        <v>0</v>
      </c>
      <c r="BP17" s="4" t="s">
        <v>85</v>
      </c>
      <c r="BQ17" s="4" t="s">
        <v>85</v>
      </c>
      <c r="BR17" s="4" t="s">
        <v>91</v>
      </c>
      <c r="BS17" s="4" t="s">
        <v>85</v>
      </c>
      <c r="BT17" s="26" t="s">
        <v>388</v>
      </c>
      <c r="BU17" s="26" t="s">
        <v>1221</v>
      </c>
      <c r="BV17" s="26" t="s">
        <v>1222</v>
      </c>
      <c r="BW17" s="19" t="s">
        <v>1233</v>
      </c>
      <c r="BX17" s="19" t="s">
        <v>1220</v>
      </c>
      <c r="BY17" s="19" t="s">
        <v>1227</v>
      </c>
    </row>
    <row r="18" spans="1:78">
      <c r="A18" s="24">
        <v>45866</v>
      </c>
      <c r="B18" s="24">
        <v>45866</v>
      </c>
      <c r="C18" s="3">
        <v>0.56314814814814995</v>
      </c>
      <c r="D18" s="4" t="s">
        <v>155</v>
      </c>
      <c r="E18" s="24">
        <v>45866</v>
      </c>
      <c r="F18" s="26" t="s">
        <v>156</v>
      </c>
      <c r="G18" s="26" t="s">
        <v>157</v>
      </c>
      <c r="H18" s="26" t="s">
        <v>76</v>
      </c>
      <c r="I18" s="4" t="s">
        <v>158</v>
      </c>
      <c r="J18" s="26">
        <v>1219000831</v>
      </c>
      <c r="K18" s="26" t="str">
        <f>VLOOKUP(J:J,'[2]Inventory Codes'!$B:$D,3,0)</f>
        <v>CC</v>
      </c>
      <c r="L18" s="26" t="s">
        <v>159</v>
      </c>
      <c r="M18" s="27">
        <v>24000</v>
      </c>
      <c r="N18" s="26" t="s">
        <v>79</v>
      </c>
      <c r="O18" s="26" t="s">
        <v>160</v>
      </c>
      <c r="P18" s="26" t="s">
        <v>85</v>
      </c>
      <c r="Q18" s="5">
        <v>24000</v>
      </c>
      <c r="R18" s="4" t="s">
        <v>161</v>
      </c>
      <c r="S18" s="4" t="s">
        <v>122</v>
      </c>
      <c r="T18" s="83" t="s">
        <v>106</v>
      </c>
      <c r="U18" s="6">
        <v>2180640</v>
      </c>
      <c r="V18" s="4" t="s">
        <v>85</v>
      </c>
      <c r="W18" s="4" t="s">
        <v>85</v>
      </c>
      <c r="X18" s="4" t="s">
        <v>86</v>
      </c>
      <c r="Y18" s="4" t="s">
        <v>87</v>
      </c>
      <c r="Z18" s="4" t="s">
        <v>88</v>
      </c>
      <c r="AA18" s="4" t="s">
        <v>89</v>
      </c>
      <c r="AB18" s="4" t="s">
        <v>85</v>
      </c>
      <c r="AC18" s="4" t="s">
        <v>98</v>
      </c>
      <c r="AD18" s="4" t="s">
        <v>85</v>
      </c>
      <c r="AE18" s="4" t="s">
        <v>85</v>
      </c>
      <c r="AF18" s="4" t="s">
        <v>91</v>
      </c>
      <c r="AG18" s="4" t="s">
        <v>85</v>
      </c>
      <c r="AH18" s="4" t="s">
        <v>91</v>
      </c>
      <c r="AI18" s="5">
        <v>24000</v>
      </c>
      <c r="AJ18" s="4" t="s">
        <v>79</v>
      </c>
      <c r="AK18" s="4" t="s">
        <v>79</v>
      </c>
      <c r="AL18" s="5">
        <v>24000</v>
      </c>
      <c r="AM18" s="4" t="s">
        <v>87</v>
      </c>
      <c r="AN18" s="4" t="s">
        <v>85</v>
      </c>
      <c r="AO18" s="4" t="s">
        <v>85</v>
      </c>
      <c r="AP18" s="4" t="s">
        <v>118</v>
      </c>
      <c r="AQ18" s="4" t="s">
        <v>85</v>
      </c>
      <c r="AR18" s="4" t="s">
        <v>85</v>
      </c>
      <c r="AS18" s="6">
        <v>0</v>
      </c>
      <c r="AT18" s="6">
        <v>0</v>
      </c>
      <c r="AU18" s="4" t="s">
        <v>91</v>
      </c>
      <c r="AV18" s="4" t="s">
        <v>85</v>
      </c>
      <c r="AW18" s="4" t="s">
        <v>91</v>
      </c>
      <c r="AX18" s="4" t="s">
        <v>91</v>
      </c>
      <c r="AY18" s="4" t="s">
        <v>85</v>
      </c>
      <c r="AZ18" s="4" t="s">
        <v>93</v>
      </c>
      <c r="BA18" s="4" t="s">
        <v>85</v>
      </c>
      <c r="BB18" s="4" t="s">
        <v>85</v>
      </c>
      <c r="BC18" s="4" t="s">
        <v>91</v>
      </c>
      <c r="BD18" s="4" t="s">
        <v>79</v>
      </c>
      <c r="BE18" s="4" t="s">
        <v>94</v>
      </c>
      <c r="BF18" s="4" t="s">
        <v>85</v>
      </c>
      <c r="BG18" s="4" t="s">
        <v>85</v>
      </c>
      <c r="BH18" s="4" t="s">
        <v>85</v>
      </c>
      <c r="BI18" s="4" t="s">
        <v>91</v>
      </c>
      <c r="BJ18" s="4" t="s">
        <v>91</v>
      </c>
      <c r="BK18" s="4" t="s">
        <v>85</v>
      </c>
      <c r="BL18" s="4" t="s">
        <v>85</v>
      </c>
      <c r="BM18" s="4" t="s">
        <v>95</v>
      </c>
      <c r="BN18" s="4" t="s">
        <v>96</v>
      </c>
      <c r="BO18" s="6">
        <v>0</v>
      </c>
      <c r="BP18" s="4" t="s">
        <v>85</v>
      </c>
      <c r="BQ18" s="4" t="s">
        <v>85</v>
      </c>
      <c r="BR18" s="4" t="s">
        <v>91</v>
      </c>
      <c r="BS18" s="4" t="s">
        <v>85</v>
      </c>
      <c r="BT18" s="26" t="s">
        <v>388</v>
      </c>
      <c r="BU18" s="26" t="s">
        <v>1236</v>
      </c>
      <c r="BV18" s="26" t="s">
        <v>1226</v>
      </c>
      <c r="BW18" s="19" t="s">
        <v>1237</v>
      </c>
      <c r="BX18" s="19" t="s">
        <v>1225</v>
      </c>
      <c r="BY18" s="19"/>
    </row>
    <row r="19" spans="1:78">
      <c r="A19" s="24">
        <v>45866</v>
      </c>
      <c r="B19" s="24">
        <v>45866</v>
      </c>
      <c r="C19" s="3">
        <v>0.56314814814814995</v>
      </c>
      <c r="D19" s="4" t="s">
        <v>162</v>
      </c>
      <c r="E19" s="24">
        <v>45866</v>
      </c>
      <c r="F19" s="26" t="s">
        <v>156</v>
      </c>
      <c r="G19" s="26" t="s">
        <v>157</v>
      </c>
      <c r="H19" s="26" t="s">
        <v>76</v>
      </c>
      <c r="I19" s="4" t="s">
        <v>158</v>
      </c>
      <c r="J19" s="26">
        <v>1219000832</v>
      </c>
      <c r="K19" s="26" t="str">
        <f>VLOOKUP(J:J,'[2]Inventory Codes'!$B:$D,3,0)</f>
        <v>CC</v>
      </c>
      <c r="L19" s="26" t="s">
        <v>163</v>
      </c>
      <c r="M19" s="27">
        <v>24000</v>
      </c>
      <c r="N19" s="26" t="s">
        <v>79</v>
      </c>
      <c r="O19" s="26" t="s">
        <v>164</v>
      </c>
      <c r="P19" s="26" t="s">
        <v>85</v>
      </c>
      <c r="Q19" s="5">
        <v>24000</v>
      </c>
      <c r="R19" s="4" t="s">
        <v>161</v>
      </c>
      <c r="S19" s="4" t="s">
        <v>122</v>
      </c>
      <c r="T19" s="83" t="s">
        <v>106</v>
      </c>
      <c r="U19" s="6">
        <v>2167440</v>
      </c>
      <c r="V19" s="4" t="s">
        <v>85</v>
      </c>
      <c r="W19" s="4" t="s">
        <v>85</v>
      </c>
      <c r="X19" s="4" t="s">
        <v>86</v>
      </c>
      <c r="Y19" s="4" t="s">
        <v>87</v>
      </c>
      <c r="Z19" s="4" t="s">
        <v>88</v>
      </c>
      <c r="AA19" s="4" t="s">
        <v>89</v>
      </c>
      <c r="AB19" s="4" t="s">
        <v>85</v>
      </c>
      <c r="AC19" s="4" t="s">
        <v>90</v>
      </c>
      <c r="AD19" s="4" t="s">
        <v>85</v>
      </c>
      <c r="AE19" s="4" t="s">
        <v>85</v>
      </c>
      <c r="AF19" s="4" t="s">
        <v>91</v>
      </c>
      <c r="AG19" s="4" t="s">
        <v>85</v>
      </c>
      <c r="AH19" s="4" t="s">
        <v>91</v>
      </c>
      <c r="AI19" s="5">
        <v>24000</v>
      </c>
      <c r="AJ19" s="4" t="s">
        <v>79</v>
      </c>
      <c r="AK19" s="4" t="s">
        <v>79</v>
      </c>
      <c r="AL19" s="5">
        <v>24000</v>
      </c>
      <c r="AM19" s="4" t="s">
        <v>87</v>
      </c>
      <c r="AN19" s="4" t="s">
        <v>85</v>
      </c>
      <c r="AO19" s="4" t="s">
        <v>85</v>
      </c>
      <c r="AP19" s="4" t="s">
        <v>107</v>
      </c>
      <c r="AQ19" s="4" t="s">
        <v>85</v>
      </c>
      <c r="AR19" s="4" t="s">
        <v>85</v>
      </c>
      <c r="AS19" s="6">
        <v>0</v>
      </c>
      <c r="AT19" s="6">
        <v>0</v>
      </c>
      <c r="AU19" s="4" t="s">
        <v>91</v>
      </c>
      <c r="AV19" s="4" t="s">
        <v>85</v>
      </c>
      <c r="AW19" s="4" t="s">
        <v>91</v>
      </c>
      <c r="AX19" s="4" t="s">
        <v>91</v>
      </c>
      <c r="AY19" s="4" t="s">
        <v>85</v>
      </c>
      <c r="AZ19" s="4" t="s">
        <v>93</v>
      </c>
      <c r="BA19" s="4" t="s">
        <v>85</v>
      </c>
      <c r="BB19" s="4" t="s">
        <v>85</v>
      </c>
      <c r="BC19" s="4" t="s">
        <v>91</v>
      </c>
      <c r="BD19" s="4" t="s">
        <v>79</v>
      </c>
      <c r="BE19" s="4" t="s">
        <v>94</v>
      </c>
      <c r="BF19" s="4" t="s">
        <v>85</v>
      </c>
      <c r="BG19" s="4" t="s">
        <v>85</v>
      </c>
      <c r="BH19" s="4" t="s">
        <v>85</v>
      </c>
      <c r="BI19" s="4" t="s">
        <v>91</v>
      </c>
      <c r="BJ19" s="4" t="s">
        <v>91</v>
      </c>
      <c r="BK19" s="4" t="s">
        <v>85</v>
      </c>
      <c r="BL19" s="4" t="s">
        <v>85</v>
      </c>
      <c r="BM19" s="4" t="s">
        <v>95</v>
      </c>
      <c r="BN19" s="4" t="s">
        <v>96</v>
      </c>
      <c r="BO19" s="6">
        <v>0</v>
      </c>
      <c r="BP19" s="4" t="s">
        <v>85</v>
      </c>
      <c r="BQ19" s="4" t="s">
        <v>85</v>
      </c>
      <c r="BR19" s="4" t="s">
        <v>91</v>
      </c>
      <c r="BS19" s="4" t="s">
        <v>85</v>
      </c>
      <c r="BT19" s="26" t="s">
        <v>388</v>
      </c>
      <c r="BU19" s="26" t="s">
        <v>1236</v>
      </c>
      <c r="BV19" s="26" t="s">
        <v>1226</v>
      </c>
      <c r="BW19" s="19" t="s">
        <v>1237</v>
      </c>
      <c r="BX19" s="19" t="s">
        <v>1225</v>
      </c>
      <c r="BY19" s="19"/>
    </row>
    <row r="20" spans="1:78">
      <c r="A20" s="24">
        <v>45866</v>
      </c>
      <c r="B20" s="24">
        <v>45866</v>
      </c>
      <c r="C20" s="3">
        <v>0.56314814814814995</v>
      </c>
      <c r="D20" s="4" t="s">
        <v>165</v>
      </c>
      <c r="E20" s="24">
        <v>45866</v>
      </c>
      <c r="F20" s="26" t="s">
        <v>156</v>
      </c>
      <c r="G20" s="26" t="s">
        <v>157</v>
      </c>
      <c r="H20" s="26" t="s">
        <v>76</v>
      </c>
      <c r="I20" s="4" t="s">
        <v>158</v>
      </c>
      <c r="J20" s="26">
        <v>1219000833</v>
      </c>
      <c r="K20" s="26" t="str">
        <f>VLOOKUP(J:J,'[2]Inventory Codes'!$B:$D,3,0)</f>
        <v>CC</v>
      </c>
      <c r="L20" s="26" t="s">
        <v>166</v>
      </c>
      <c r="M20" s="27">
        <v>10200</v>
      </c>
      <c r="N20" s="26" t="s">
        <v>79</v>
      </c>
      <c r="O20" s="26" t="s">
        <v>167</v>
      </c>
      <c r="P20" s="26" t="s">
        <v>85</v>
      </c>
      <c r="Q20" s="5">
        <v>10200</v>
      </c>
      <c r="R20" s="4" t="s">
        <v>161</v>
      </c>
      <c r="S20" s="4" t="s">
        <v>122</v>
      </c>
      <c r="T20" s="83" t="s">
        <v>106</v>
      </c>
      <c r="U20" s="6">
        <v>930036</v>
      </c>
      <c r="V20" s="4" t="s">
        <v>85</v>
      </c>
      <c r="W20" s="4" t="s">
        <v>85</v>
      </c>
      <c r="X20" s="4" t="s">
        <v>86</v>
      </c>
      <c r="Y20" s="4" t="s">
        <v>87</v>
      </c>
      <c r="Z20" s="4" t="s">
        <v>88</v>
      </c>
      <c r="AA20" s="4" t="s">
        <v>89</v>
      </c>
      <c r="AB20" s="4" t="s">
        <v>85</v>
      </c>
      <c r="AC20" s="4" t="s">
        <v>112</v>
      </c>
      <c r="AD20" s="4" t="s">
        <v>85</v>
      </c>
      <c r="AE20" s="4" t="s">
        <v>85</v>
      </c>
      <c r="AF20" s="4" t="s">
        <v>91</v>
      </c>
      <c r="AG20" s="4" t="s">
        <v>85</v>
      </c>
      <c r="AH20" s="4" t="s">
        <v>91</v>
      </c>
      <c r="AI20" s="5">
        <v>10200</v>
      </c>
      <c r="AJ20" s="4" t="s">
        <v>79</v>
      </c>
      <c r="AK20" s="4" t="s">
        <v>79</v>
      </c>
      <c r="AL20" s="5">
        <v>10200</v>
      </c>
      <c r="AM20" s="4" t="s">
        <v>87</v>
      </c>
      <c r="AN20" s="4" t="s">
        <v>85</v>
      </c>
      <c r="AO20" s="4" t="s">
        <v>85</v>
      </c>
      <c r="AP20" s="4" t="s">
        <v>92</v>
      </c>
      <c r="AQ20" s="4" t="s">
        <v>85</v>
      </c>
      <c r="AR20" s="4" t="s">
        <v>85</v>
      </c>
      <c r="AS20" s="6">
        <v>0</v>
      </c>
      <c r="AT20" s="6">
        <v>0</v>
      </c>
      <c r="AU20" s="4" t="s">
        <v>91</v>
      </c>
      <c r="AV20" s="4" t="s">
        <v>85</v>
      </c>
      <c r="AW20" s="4" t="s">
        <v>91</v>
      </c>
      <c r="AX20" s="4" t="s">
        <v>91</v>
      </c>
      <c r="AY20" s="4" t="s">
        <v>85</v>
      </c>
      <c r="AZ20" s="4" t="s">
        <v>93</v>
      </c>
      <c r="BA20" s="4" t="s">
        <v>85</v>
      </c>
      <c r="BB20" s="4" t="s">
        <v>85</v>
      </c>
      <c r="BC20" s="4" t="s">
        <v>91</v>
      </c>
      <c r="BD20" s="4" t="s">
        <v>79</v>
      </c>
      <c r="BE20" s="4" t="s">
        <v>94</v>
      </c>
      <c r="BF20" s="4" t="s">
        <v>85</v>
      </c>
      <c r="BG20" s="4" t="s">
        <v>85</v>
      </c>
      <c r="BH20" s="4" t="s">
        <v>85</v>
      </c>
      <c r="BI20" s="4" t="s">
        <v>91</v>
      </c>
      <c r="BJ20" s="4" t="s">
        <v>91</v>
      </c>
      <c r="BK20" s="4" t="s">
        <v>85</v>
      </c>
      <c r="BL20" s="4" t="s">
        <v>85</v>
      </c>
      <c r="BM20" s="4" t="s">
        <v>95</v>
      </c>
      <c r="BN20" s="4" t="s">
        <v>96</v>
      </c>
      <c r="BO20" s="6">
        <v>0</v>
      </c>
      <c r="BP20" s="4" t="s">
        <v>85</v>
      </c>
      <c r="BQ20" s="4" t="s">
        <v>85</v>
      </c>
      <c r="BR20" s="4" t="s">
        <v>91</v>
      </c>
      <c r="BS20" s="4" t="s">
        <v>85</v>
      </c>
      <c r="BT20" s="26" t="s">
        <v>388</v>
      </c>
      <c r="BU20" s="26" t="s">
        <v>1236</v>
      </c>
      <c r="BV20" s="26" t="s">
        <v>1226</v>
      </c>
      <c r="BW20" s="19" t="s">
        <v>1237</v>
      </c>
      <c r="BX20" s="19" t="s">
        <v>1225</v>
      </c>
      <c r="BY20" s="19"/>
    </row>
    <row r="21" spans="1:78">
      <c r="A21" s="24">
        <v>45869</v>
      </c>
      <c r="B21" s="24">
        <v>45869</v>
      </c>
      <c r="C21" s="3">
        <v>0.73583333333333001</v>
      </c>
      <c r="D21" s="4" t="s">
        <v>168</v>
      </c>
      <c r="E21" s="24">
        <v>45869</v>
      </c>
      <c r="F21" s="26" t="s">
        <v>169</v>
      </c>
      <c r="G21" s="26" t="s">
        <v>101</v>
      </c>
      <c r="H21" s="26" t="s">
        <v>76</v>
      </c>
      <c r="I21" s="4" t="s">
        <v>170</v>
      </c>
      <c r="J21" s="26">
        <v>1219000509</v>
      </c>
      <c r="K21" s="26" t="str">
        <f>VLOOKUP(J:J,'[2]Inventory Codes'!$B:$D,3,0)</f>
        <v>MDD</v>
      </c>
      <c r="L21" s="26" t="s">
        <v>171</v>
      </c>
      <c r="M21" s="27">
        <v>20000</v>
      </c>
      <c r="N21" s="26" t="s">
        <v>79</v>
      </c>
      <c r="O21" s="26" t="s">
        <v>172</v>
      </c>
      <c r="P21" s="26" t="s">
        <v>85</v>
      </c>
      <c r="Q21" s="5">
        <v>20000</v>
      </c>
      <c r="R21" s="4" t="s">
        <v>173</v>
      </c>
      <c r="S21" s="4" t="s">
        <v>122</v>
      </c>
      <c r="T21" s="83" t="s">
        <v>84</v>
      </c>
      <c r="U21" s="6">
        <v>4339000</v>
      </c>
      <c r="V21" s="4" t="s">
        <v>85</v>
      </c>
      <c r="W21" s="4" t="s">
        <v>85</v>
      </c>
      <c r="X21" s="4" t="s">
        <v>86</v>
      </c>
      <c r="Y21" s="4" t="s">
        <v>87</v>
      </c>
      <c r="Z21" s="4" t="s">
        <v>88</v>
      </c>
      <c r="AA21" s="4" t="s">
        <v>89</v>
      </c>
      <c r="AB21" s="4" t="s">
        <v>85</v>
      </c>
      <c r="AC21" s="4" t="s">
        <v>98</v>
      </c>
      <c r="AD21" s="4" t="s">
        <v>85</v>
      </c>
      <c r="AE21" s="4" t="s">
        <v>85</v>
      </c>
      <c r="AF21" s="4" t="s">
        <v>91</v>
      </c>
      <c r="AG21" s="4" t="s">
        <v>85</v>
      </c>
      <c r="AH21" s="4" t="s">
        <v>91</v>
      </c>
      <c r="AI21" s="5">
        <v>20000</v>
      </c>
      <c r="AJ21" s="4" t="s">
        <v>79</v>
      </c>
      <c r="AK21" s="4" t="s">
        <v>79</v>
      </c>
      <c r="AL21" s="5">
        <v>20000</v>
      </c>
      <c r="AM21" s="4" t="s">
        <v>87</v>
      </c>
      <c r="AN21" s="4" t="s">
        <v>85</v>
      </c>
      <c r="AO21" s="4" t="s">
        <v>85</v>
      </c>
      <c r="AP21" s="4" t="s">
        <v>118</v>
      </c>
      <c r="AQ21" s="4" t="s">
        <v>85</v>
      </c>
      <c r="AR21" s="4" t="s">
        <v>85</v>
      </c>
      <c r="AS21" s="6">
        <v>0</v>
      </c>
      <c r="AT21" s="6">
        <v>0</v>
      </c>
      <c r="AU21" s="4" t="s">
        <v>91</v>
      </c>
      <c r="AV21" s="4" t="s">
        <v>85</v>
      </c>
      <c r="AW21" s="4" t="s">
        <v>91</v>
      </c>
      <c r="AX21" s="4" t="s">
        <v>91</v>
      </c>
      <c r="AY21" s="4" t="s">
        <v>85</v>
      </c>
      <c r="AZ21" s="4" t="s">
        <v>93</v>
      </c>
      <c r="BA21" s="4" t="s">
        <v>85</v>
      </c>
      <c r="BB21" s="4" t="s">
        <v>85</v>
      </c>
      <c r="BC21" s="4" t="s">
        <v>91</v>
      </c>
      <c r="BD21" s="4" t="s">
        <v>79</v>
      </c>
      <c r="BE21" s="4" t="s">
        <v>94</v>
      </c>
      <c r="BF21" s="4" t="s">
        <v>85</v>
      </c>
      <c r="BG21" s="4" t="s">
        <v>85</v>
      </c>
      <c r="BH21" s="4" t="s">
        <v>85</v>
      </c>
      <c r="BI21" s="4" t="s">
        <v>91</v>
      </c>
      <c r="BJ21" s="4" t="s">
        <v>91</v>
      </c>
      <c r="BK21" s="4" t="s">
        <v>85</v>
      </c>
      <c r="BL21" s="4" t="s">
        <v>85</v>
      </c>
      <c r="BM21" s="4" t="s">
        <v>95</v>
      </c>
      <c r="BN21" s="4" t="s">
        <v>96</v>
      </c>
      <c r="BO21" s="6">
        <v>0</v>
      </c>
      <c r="BP21" s="4" t="s">
        <v>85</v>
      </c>
      <c r="BQ21" s="4" t="s">
        <v>85</v>
      </c>
      <c r="BR21" s="4" t="s">
        <v>91</v>
      </c>
      <c r="BS21" s="4" t="s">
        <v>85</v>
      </c>
      <c r="BT21" s="26" t="s">
        <v>388</v>
      </c>
      <c r="BU21" s="26" t="s">
        <v>1221</v>
      </c>
      <c r="BV21" s="26" t="s">
        <v>1226</v>
      </c>
      <c r="BW21" s="19" t="s">
        <v>1238</v>
      </c>
      <c r="BX21" s="19" t="s">
        <v>1225</v>
      </c>
      <c r="BY21" s="19"/>
    </row>
    <row r="22" spans="1:78">
      <c r="A22" s="24">
        <v>45869</v>
      </c>
      <c r="B22" s="24">
        <v>45869</v>
      </c>
      <c r="C22" s="3">
        <v>0.73583333333333001</v>
      </c>
      <c r="D22" s="4" t="s">
        <v>109</v>
      </c>
      <c r="E22" s="24">
        <v>45869</v>
      </c>
      <c r="F22" s="26" t="s">
        <v>169</v>
      </c>
      <c r="G22" s="26" t="s">
        <v>101</v>
      </c>
      <c r="H22" s="26" t="s">
        <v>76</v>
      </c>
      <c r="I22" s="4" t="s">
        <v>170</v>
      </c>
      <c r="J22" s="26">
        <v>1219000660</v>
      </c>
      <c r="K22" s="26" t="str">
        <f>VLOOKUP(J:J,'[2]Inventory Codes'!$B:$D,3,0)</f>
        <v>MDD</v>
      </c>
      <c r="L22" s="26" t="s">
        <v>110</v>
      </c>
      <c r="M22" s="27">
        <v>20000</v>
      </c>
      <c r="N22" s="26" t="s">
        <v>79</v>
      </c>
      <c r="O22" s="26" t="s">
        <v>174</v>
      </c>
      <c r="P22" s="26" t="s">
        <v>85</v>
      </c>
      <c r="Q22" s="5">
        <v>20000</v>
      </c>
      <c r="R22" s="4" t="s">
        <v>173</v>
      </c>
      <c r="S22" s="4" t="s">
        <v>122</v>
      </c>
      <c r="T22" s="83" t="s">
        <v>84</v>
      </c>
      <c r="U22" s="6">
        <v>1759200</v>
      </c>
      <c r="V22" s="4" t="s">
        <v>85</v>
      </c>
      <c r="W22" s="4" t="s">
        <v>85</v>
      </c>
      <c r="X22" s="4" t="s">
        <v>86</v>
      </c>
      <c r="Y22" s="4" t="s">
        <v>87</v>
      </c>
      <c r="Z22" s="4" t="s">
        <v>88</v>
      </c>
      <c r="AA22" s="4" t="s">
        <v>89</v>
      </c>
      <c r="AB22" s="4" t="s">
        <v>85</v>
      </c>
      <c r="AC22" s="4" t="s">
        <v>90</v>
      </c>
      <c r="AD22" s="4" t="s">
        <v>85</v>
      </c>
      <c r="AE22" s="4" t="s">
        <v>85</v>
      </c>
      <c r="AF22" s="4" t="s">
        <v>91</v>
      </c>
      <c r="AG22" s="4" t="s">
        <v>85</v>
      </c>
      <c r="AH22" s="4" t="s">
        <v>91</v>
      </c>
      <c r="AI22" s="5">
        <v>20000</v>
      </c>
      <c r="AJ22" s="4" t="s">
        <v>79</v>
      </c>
      <c r="AK22" s="4" t="s">
        <v>79</v>
      </c>
      <c r="AL22" s="5">
        <v>20000</v>
      </c>
      <c r="AM22" s="4" t="s">
        <v>87</v>
      </c>
      <c r="AN22" s="4" t="s">
        <v>85</v>
      </c>
      <c r="AO22" s="4" t="s">
        <v>85</v>
      </c>
      <c r="AP22" s="4" t="s">
        <v>135</v>
      </c>
      <c r="AQ22" s="4" t="s">
        <v>85</v>
      </c>
      <c r="AR22" s="4" t="s">
        <v>85</v>
      </c>
      <c r="AS22" s="6">
        <v>0</v>
      </c>
      <c r="AT22" s="6">
        <v>0</v>
      </c>
      <c r="AU22" s="4" t="s">
        <v>91</v>
      </c>
      <c r="AV22" s="4" t="s">
        <v>85</v>
      </c>
      <c r="AW22" s="4" t="s">
        <v>91</v>
      </c>
      <c r="AX22" s="4" t="s">
        <v>91</v>
      </c>
      <c r="AY22" s="4" t="s">
        <v>85</v>
      </c>
      <c r="AZ22" s="4" t="s">
        <v>93</v>
      </c>
      <c r="BA22" s="4" t="s">
        <v>85</v>
      </c>
      <c r="BB22" s="4" t="s">
        <v>85</v>
      </c>
      <c r="BC22" s="4" t="s">
        <v>91</v>
      </c>
      <c r="BD22" s="4" t="s">
        <v>79</v>
      </c>
      <c r="BE22" s="4" t="s">
        <v>94</v>
      </c>
      <c r="BF22" s="4" t="s">
        <v>85</v>
      </c>
      <c r="BG22" s="4" t="s">
        <v>85</v>
      </c>
      <c r="BH22" s="4" t="s">
        <v>85</v>
      </c>
      <c r="BI22" s="4" t="s">
        <v>91</v>
      </c>
      <c r="BJ22" s="4" t="s">
        <v>91</v>
      </c>
      <c r="BK22" s="4" t="s">
        <v>85</v>
      </c>
      <c r="BL22" s="4" t="s">
        <v>85</v>
      </c>
      <c r="BM22" s="4" t="s">
        <v>95</v>
      </c>
      <c r="BN22" s="4" t="s">
        <v>96</v>
      </c>
      <c r="BO22" s="6">
        <v>0</v>
      </c>
      <c r="BP22" s="4" t="s">
        <v>85</v>
      </c>
      <c r="BQ22" s="4" t="s">
        <v>85</v>
      </c>
      <c r="BR22" s="4" t="s">
        <v>91</v>
      </c>
      <c r="BS22" s="4" t="s">
        <v>85</v>
      </c>
      <c r="BT22" s="26" t="s">
        <v>388</v>
      </c>
      <c r="BU22" s="26" t="s">
        <v>1221</v>
      </c>
      <c r="BV22" s="26" t="s">
        <v>1226</v>
      </c>
      <c r="BW22" s="19" t="s">
        <v>1238</v>
      </c>
      <c r="BX22" s="19" t="s">
        <v>1225</v>
      </c>
      <c r="BY22" s="19"/>
    </row>
    <row r="23" spans="1:78">
      <c r="A23" s="24">
        <v>45874</v>
      </c>
      <c r="B23" s="24">
        <v>45874</v>
      </c>
      <c r="C23" s="3">
        <v>0.67046296296296004</v>
      </c>
      <c r="D23" s="4" t="s">
        <v>168</v>
      </c>
      <c r="E23" s="24">
        <v>45874</v>
      </c>
      <c r="F23" s="26" t="s">
        <v>169</v>
      </c>
      <c r="G23" s="26" t="s">
        <v>101</v>
      </c>
      <c r="H23" s="26" t="s">
        <v>76</v>
      </c>
      <c r="I23" s="4" t="s">
        <v>175</v>
      </c>
      <c r="J23" s="26">
        <v>1219000509</v>
      </c>
      <c r="K23" s="26" t="str">
        <f>VLOOKUP(J:J,'[2]Inventory Codes'!$B:$D,3,0)</f>
        <v>MDD</v>
      </c>
      <c r="L23" s="26" t="s">
        <v>171</v>
      </c>
      <c r="M23" s="27">
        <v>20000</v>
      </c>
      <c r="N23" s="26" t="s">
        <v>79</v>
      </c>
      <c r="O23" s="26" t="s">
        <v>172</v>
      </c>
      <c r="P23" s="26" t="s">
        <v>85</v>
      </c>
      <c r="Q23" s="5">
        <v>20000</v>
      </c>
      <c r="R23" s="4" t="s">
        <v>173</v>
      </c>
      <c r="S23" s="4" t="s">
        <v>122</v>
      </c>
      <c r="T23" s="83" t="s">
        <v>84</v>
      </c>
      <c r="U23" s="6">
        <v>4272800</v>
      </c>
      <c r="V23" s="4" t="s">
        <v>85</v>
      </c>
      <c r="W23" s="4" t="s">
        <v>85</v>
      </c>
      <c r="X23" s="4" t="s">
        <v>86</v>
      </c>
      <c r="Y23" s="4" t="s">
        <v>87</v>
      </c>
      <c r="Z23" s="4" t="s">
        <v>88</v>
      </c>
      <c r="AA23" s="4" t="s">
        <v>89</v>
      </c>
      <c r="AB23" s="4" t="s">
        <v>85</v>
      </c>
      <c r="AC23" s="4" t="s">
        <v>98</v>
      </c>
      <c r="AD23" s="4" t="s">
        <v>85</v>
      </c>
      <c r="AE23" s="4" t="s">
        <v>85</v>
      </c>
      <c r="AF23" s="4" t="s">
        <v>91</v>
      </c>
      <c r="AG23" s="4" t="s">
        <v>85</v>
      </c>
      <c r="AH23" s="4" t="s">
        <v>91</v>
      </c>
      <c r="AI23" s="5">
        <v>20000</v>
      </c>
      <c r="AJ23" s="4" t="s">
        <v>79</v>
      </c>
      <c r="AK23" s="4" t="s">
        <v>79</v>
      </c>
      <c r="AL23" s="5">
        <v>20000</v>
      </c>
      <c r="AM23" s="4" t="s">
        <v>87</v>
      </c>
      <c r="AN23" s="4" t="s">
        <v>85</v>
      </c>
      <c r="AO23" s="4" t="s">
        <v>85</v>
      </c>
      <c r="AP23" s="4" t="s">
        <v>118</v>
      </c>
      <c r="AQ23" s="4" t="s">
        <v>85</v>
      </c>
      <c r="AR23" s="4" t="s">
        <v>85</v>
      </c>
      <c r="AS23" s="6">
        <v>0</v>
      </c>
      <c r="AT23" s="6">
        <v>0</v>
      </c>
      <c r="AU23" s="4" t="s">
        <v>91</v>
      </c>
      <c r="AV23" s="4" t="s">
        <v>85</v>
      </c>
      <c r="AW23" s="4" t="s">
        <v>91</v>
      </c>
      <c r="AX23" s="4" t="s">
        <v>91</v>
      </c>
      <c r="AY23" s="4" t="s">
        <v>85</v>
      </c>
      <c r="AZ23" s="4" t="s">
        <v>93</v>
      </c>
      <c r="BA23" s="4" t="s">
        <v>85</v>
      </c>
      <c r="BB23" s="4" t="s">
        <v>85</v>
      </c>
      <c r="BC23" s="4" t="s">
        <v>91</v>
      </c>
      <c r="BD23" s="4" t="s">
        <v>79</v>
      </c>
      <c r="BE23" s="4" t="s">
        <v>94</v>
      </c>
      <c r="BF23" s="4" t="s">
        <v>85</v>
      </c>
      <c r="BG23" s="4" t="s">
        <v>85</v>
      </c>
      <c r="BH23" s="4" t="s">
        <v>85</v>
      </c>
      <c r="BI23" s="4" t="s">
        <v>91</v>
      </c>
      <c r="BJ23" s="4" t="s">
        <v>91</v>
      </c>
      <c r="BK23" s="4" t="s">
        <v>85</v>
      </c>
      <c r="BL23" s="4" t="s">
        <v>85</v>
      </c>
      <c r="BM23" s="4" t="s">
        <v>95</v>
      </c>
      <c r="BN23" s="4" t="s">
        <v>96</v>
      </c>
      <c r="BO23" s="6">
        <v>0</v>
      </c>
      <c r="BP23" s="4" t="s">
        <v>85</v>
      </c>
      <c r="BQ23" s="4" t="s">
        <v>85</v>
      </c>
      <c r="BR23" s="4" t="s">
        <v>91</v>
      </c>
      <c r="BS23" s="4" t="s">
        <v>85</v>
      </c>
      <c r="BT23" s="26" t="s">
        <v>388</v>
      </c>
      <c r="BU23" s="26" t="s">
        <v>1221</v>
      </c>
      <c r="BV23" s="26" t="s">
        <v>1226</v>
      </c>
      <c r="BW23" s="19" t="s">
        <v>1239</v>
      </c>
      <c r="BX23" s="19" t="s">
        <v>1225</v>
      </c>
      <c r="BY23" s="19"/>
    </row>
    <row r="24" spans="1:78">
      <c r="A24" s="24">
        <v>45874</v>
      </c>
      <c r="B24" s="24">
        <v>45874</v>
      </c>
      <c r="C24" s="3">
        <v>0.67046296296296004</v>
      </c>
      <c r="D24" s="4" t="s">
        <v>99</v>
      </c>
      <c r="E24" s="24">
        <v>45874</v>
      </c>
      <c r="F24" s="26" t="s">
        <v>169</v>
      </c>
      <c r="G24" s="26" t="s">
        <v>101</v>
      </c>
      <c r="H24" s="26" t="s">
        <v>76</v>
      </c>
      <c r="I24" s="4" t="s">
        <v>175</v>
      </c>
      <c r="J24" s="26">
        <v>1219000510</v>
      </c>
      <c r="K24" s="26" t="str">
        <f>VLOOKUP(J:J,'[2]Inventory Codes'!$B:$D,3,0)</f>
        <v>MDD</v>
      </c>
      <c r="L24" s="26" t="s">
        <v>103</v>
      </c>
      <c r="M24" s="27">
        <v>6000</v>
      </c>
      <c r="N24" s="26" t="s">
        <v>79</v>
      </c>
      <c r="O24" s="26" t="s">
        <v>176</v>
      </c>
      <c r="P24" s="26" t="s">
        <v>85</v>
      </c>
      <c r="Q24" s="5">
        <v>6000</v>
      </c>
      <c r="R24" s="4" t="s">
        <v>173</v>
      </c>
      <c r="S24" s="4" t="s">
        <v>122</v>
      </c>
      <c r="T24" s="83" t="s">
        <v>84</v>
      </c>
      <c r="U24" s="6">
        <v>2206080</v>
      </c>
      <c r="V24" s="4" t="s">
        <v>85</v>
      </c>
      <c r="W24" s="4" t="s">
        <v>85</v>
      </c>
      <c r="X24" s="4" t="s">
        <v>86</v>
      </c>
      <c r="Y24" s="4" t="s">
        <v>87</v>
      </c>
      <c r="Z24" s="4" t="s">
        <v>88</v>
      </c>
      <c r="AA24" s="4" t="s">
        <v>89</v>
      </c>
      <c r="AB24" s="4" t="s">
        <v>85</v>
      </c>
      <c r="AC24" s="4" t="s">
        <v>90</v>
      </c>
      <c r="AD24" s="4" t="s">
        <v>85</v>
      </c>
      <c r="AE24" s="4" t="s">
        <v>85</v>
      </c>
      <c r="AF24" s="4" t="s">
        <v>91</v>
      </c>
      <c r="AG24" s="4" t="s">
        <v>85</v>
      </c>
      <c r="AH24" s="4" t="s">
        <v>91</v>
      </c>
      <c r="AI24" s="5">
        <v>6000</v>
      </c>
      <c r="AJ24" s="4" t="s">
        <v>79</v>
      </c>
      <c r="AK24" s="4" t="s">
        <v>79</v>
      </c>
      <c r="AL24" s="5">
        <v>6000</v>
      </c>
      <c r="AM24" s="4" t="s">
        <v>87</v>
      </c>
      <c r="AN24" s="4" t="s">
        <v>85</v>
      </c>
      <c r="AO24" s="4" t="s">
        <v>85</v>
      </c>
      <c r="AP24" s="4" t="s">
        <v>127</v>
      </c>
      <c r="AQ24" s="4" t="s">
        <v>85</v>
      </c>
      <c r="AR24" s="4" t="s">
        <v>85</v>
      </c>
      <c r="AS24" s="6">
        <v>0</v>
      </c>
      <c r="AT24" s="6">
        <v>0</v>
      </c>
      <c r="AU24" s="4" t="s">
        <v>91</v>
      </c>
      <c r="AV24" s="4" t="s">
        <v>85</v>
      </c>
      <c r="AW24" s="4" t="s">
        <v>91</v>
      </c>
      <c r="AX24" s="4" t="s">
        <v>91</v>
      </c>
      <c r="AY24" s="4" t="s">
        <v>85</v>
      </c>
      <c r="AZ24" s="4" t="s">
        <v>93</v>
      </c>
      <c r="BA24" s="4" t="s">
        <v>85</v>
      </c>
      <c r="BB24" s="4" t="s">
        <v>85</v>
      </c>
      <c r="BC24" s="4" t="s">
        <v>91</v>
      </c>
      <c r="BD24" s="4" t="s">
        <v>79</v>
      </c>
      <c r="BE24" s="4" t="s">
        <v>94</v>
      </c>
      <c r="BF24" s="4" t="s">
        <v>85</v>
      </c>
      <c r="BG24" s="4" t="s">
        <v>85</v>
      </c>
      <c r="BH24" s="4" t="s">
        <v>85</v>
      </c>
      <c r="BI24" s="4" t="s">
        <v>91</v>
      </c>
      <c r="BJ24" s="4" t="s">
        <v>91</v>
      </c>
      <c r="BK24" s="4" t="s">
        <v>85</v>
      </c>
      <c r="BL24" s="4" t="s">
        <v>85</v>
      </c>
      <c r="BM24" s="4" t="s">
        <v>95</v>
      </c>
      <c r="BN24" s="4" t="s">
        <v>96</v>
      </c>
      <c r="BO24" s="6">
        <v>0</v>
      </c>
      <c r="BP24" s="4" t="s">
        <v>85</v>
      </c>
      <c r="BQ24" s="4" t="s">
        <v>85</v>
      </c>
      <c r="BR24" s="4" t="s">
        <v>91</v>
      </c>
      <c r="BS24" s="4" t="s">
        <v>85</v>
      </c>
      <c r="BT24" s="26" t="s">
        <v>388</v>
      </c>
      <c r="BU24" s="26" t="s">
        <v>1221</v>
      </c>
      <c r="BV24" s="26" t="s">
        <v>1226</v>
      </c>
      <c r="BW24" s="19" t="s">
        <v>1239</v>
      </c>
      <c r="BX24" s="19" t="s">
        <v>1225</v>
      </c>
      <c r="BY24" s="19"/>
    </row>
    <row r="25" spans="1:78">
      <c r="A25" s="24">
        <v>45876</v>
      </c>
      <c r="B25" s="24">
        <v>45876</v>
      </c>
      <c r="C25" s="3">
        <v>0.57796296296296001</v>
      </c>
      <c r="D25" s="4" t="s">
        <v>99</v>
      </c>
      <c r="E25" s="24">
        <v>45876</v>
      </c>
      <c r="F25" s="26" t="s">
        <v>169</v>
      </c>
      <c r="G25" s="26" t="s">
        <v>101</v>
      </c>
      <c r="H25" s="26" t="s">
        <v>76</v>
      </c>
      <c r="I25" s="4" t="s">
        <v>177</v>
      </c>
      <c r="J25" s="26">
        <v>1219000510</v>
      </c>
      <c r="K25" s="26" t="str">
        <f>VLOOKUP(J:J,'[2]Inventory Codes'!$B:$D,3,0)</f>
        <v>MDD</v>
      </c>
      <c r="L25" s="26" t="s">
        <v>103</v>
      </c>
      <c r="M25" s="27">
        <v>12000</v>
      </c>
      <c r="N25" s="26" t="s">
        <v>79</v>
      </c>
      <c r="O25" s="26" t="s">
        <v>176</v>
      </c>
      <c r="P25" s="26" t="s">
        <v>85</v>
      </c>
      <c r="Q25" s="5">
        <v>12000</v>
      </c>
      <c r="R25" s="4" t="s">
        <v>173</v>
      </c>
      <c r="S25" s="4" t="s">
        <v>122</v>
      </c>
      <c r="T25" s="83" t="s">
        <v>84</v>
      </c>
      <c r="U25" s="6">
        <v>4412160</v>
      </c>
      <c r="V25" s="4" t="s">
        <v>85</v>
      </c>
      <c r="W25" s="4" t="s">
        <v>85</v>
      </c>
      <c r="X25" s="4" t="s">
        <v>86</v>
      </c>
      <c r="Y25" s="4" t="s">
        <v>87</v>
      </c>
      <c r="Z25" s="4" t="s">
        <v>88</v>
      </c>
      <c r="AA25" s="4" t="s">
        <v>89</v>
      </c>
      <c r="AB25" s="4" t="s">
        <v>85</v>
      </c>
      <c r="AC25" s="4" t="s">
        <v>90</v>
      </c>
      <c r="AD25" s="4" t="s">
        <v>85</v>
      </c>
      <c r="AE25" s="4" t="s">
        <v>85</v>
      </c>
      <c r="AF25" s="4" t="s">
        <v>91</v>
      </c>
      <c r="AG25" s="4" t="s">
        <v>85</v>
      </c>
      <c r="AH25" s="4" t="s">
        <v>91</v>
      </c>
      <c r="AI25" s="5">
        <v>12000</v>
      </c>
      <c r="AJ25" s="4" t="s">
        <v>79</v>
      </c>
      <c r="AK25" s="4" t="s">
        <v>79</v>
      </c>
      <c r="AL25" s="5">
        <v>12000</v>
      </c>
      <c r="AM25" s="4" t="s">
        <v>87</v>
      </c>
      <c r="AN25" s="4" t="s">
        <v>85</v>
      </c>
      <c r="AO25" s="4" t="s">
        <v>85</v>
      </c>
      <c r="AP25" s="4" t="s">
        <v>127</v>
      </c>
      <c r="AQ25" s="4" t="s">
        <v>85</v>
      </c>
      <c r="AR25" s="4" t="s">
        <v>85</v>
      </c>
      <c r="AS25" s="6">
        <v>0</v>
      </c>
      <c r="AT25" s="6">
        <v>0</v>
      </c>
      <c r="AU25" s="4" t="s">
        <v>91</v>
      </c>
      <c r="AV25" s="4" t="s">
        <v>85</v>
      </c>
      <c r="AW25" s="4" t="s">
        <v>91</v>
      </c>
      <c r="AX25" s="4" t="s">
        <v>91</v>
      </c>
      <c r="AY25" s="4" t="s">
        <v>85</v>
      </c>
      <c r="AZ25" s="4" t="s">
        <v>93</v>
      </c>
      <c r="BA25" s="4" t="s">
        <v>85</v>
      </c>
      <c r="BB25" s="4" t="s">
        <v>85</v>
      </c>
      <c r="BC25" s="4" t="s">
        <v>91</v>
      </c>
      <c r="BD25" s="4" t="s">
        <v>79</v>
      </c>
      <c r="BE25" s="4" t="s">
        <v>94</v>
      </c>
      <c r="BF25" s="4" t="s">
        <v>85</v>
      </c>
      <c r="BG25" s="4" t="s">
        <v>85</v>
      </c>
      <c r="BH25" s="4" t="s">
        <v>85</v>
      </c>
      <c r="BI25" s="4" t="s">
        <v>91</v>
      </c>
      <c r="BJ25" s="4" t="s">
        <v>91</v>
      </c>
      <c r="BK25" s="4" t="s">
        <v>85</v>
      </c>
      <c r="BL25" s="4" t="s">
        <v>85</v>
      </c>
      <c r="BM25" s="4" t="s">
        <v>95</v>
      </c>
      <c r="BN25" s="4" t="s">
        <v>96</v>
      </c>
      <c r="BO25" s="6">
        <v>0</v>
      </c>
      <c r="BP25" s="4" t="s">
        <v>85</v>
      </c>
      <c r="BQ25" s="4" t="s">
        <v>85</v>
      </c>
      <c r="BR25" s="4" t="s">
        <v>91</v>
      </c>
      <c r="BS25" s="4" t="s">
        <v>85</v>
      </c>
      <c r="BT25" s="26" t="s">
        <v>388</v>
      </c>
      <c r="BU25" s="26" t="s">
        <v>1221</v>
      </c>
      <c r="BV25" s="26" t="s">
        <v>1226</v>
      </c>
      <c r="BW25" s="19" t="s">
        <v>1241</v>
      </c>
      <c r="BX25" s="19" t="s">
        <v>1225</v>
      </c>
      <c r="BY25" s="19"/>
    </row>
    <row r="26" spans="1:78">
      <c r="A26" s="24">
        <v>45876</v>
      </c>
      <c r="B26" s="24">
        <v>45876</v>
      </c>
      <c r="C26" s="3">
        <v>0.57796296296296001</v>
      </c>
      <c r="D26" s="4" t="s">
        <v>113</v>
      </c>
      <c r="E26" s="24">
        <v>45876</v>
      </c>
      <c r="F26" s="26" t="s">
        <v>169</v>
      </c>
      <c r="G26" s="26" t="s">
        <v>101</v>
      </c>
      <c r="H26" s="26" t="s">
        <v>76</v>
      </c>
      <c r="I26" s="4" t="s">
        <v>177</v>
      </c>
      <c r="J26" s="26">
        <v>1219000780</v>
      </c>
      <c r="K26" s="26" t="str">
        <f>VLOOKUP(J:J,'[2]Inventory Codes'!$B:$D,3,0)</f>
        <v>MDD</v>
      </c>
      <c r="L26" s="26" t="s">
        <v>115</v>
      </c>
      <c r="M26" s="27">
        <v>24000</v>
      </c>
      <c r="N26" s="26" t="s">
        <v>79</v>
      </c>
      <c r="O26" s="26" t="s">
        <v>178</v>
      </c>
      <c r="P26" s="26" t="s">
        <v>85</v>
      </c>
      <c r="Q26" s="5">
        <v>24000</v>
      </c>
      <c r="R26" s="4" t="s">
        <v>173</v>
      </c>
      <c r="S26" s="4" t="s">
        <v>122</v>
      </c>
      <c r="T26" s="83" t="s">
        <v>84</v>
      </c>
      <c r="U26" s="6">
        <v>11210400</v>
      </c>
      <c r="V26" s="4" t="s">
        <v>85</v>
      </c>
      <c r="W26" s="4" t="s">
        <v>85</v>
      </c>
      <c r="X26" s="4" t="s">
        <v>86</v>
      </c>
      <c r="Y26" s="4" t="s">
        <v>87</v>
      </c>
      <c r="Z26" s="4" t="s">
        <v>88</v>
      </c>
      <c r="AA26" s="4" t="s">
        <v>89</v>
      </c>
      <c r="AB26" s="4" t="s">
        <v>85</v>
      </c>
      <c r="AC26" s="4" t="s">
        <v>98</v>
      </c>
      <c r="AD26" s="4" t="s">
        <v>85</v>
      </c>
      <c r="AE26" s="4" t="s">
        <v>85</v>
      </c>
      <c r="AF26" s="4" t="s">
        <v>91</v>
      </c>
      <c r="AG26" s="4" t="s">
        <v>85</v>
      </c>
      <c r="AH26" s="4" t="s">
        <v>91</v>
      </c>
      <c r="AI26" s="5">
        <v>24000</v>
      </c>
      <c r="AJ26" s="4" t="s">
        <v>79</v>
      </c>
      <c r="AK26" s="4" t="s">
        <v>79</v>
      </c>
      <c r="AL26" s="5">
        <v>24000</v>
      </c>
      <c r="AM26" s="4" t="s">
        <v>87</v>
      </c>
      <c r="AN26" s="4" t="s">
        <v>85</v>
      </c>
      <c r="AO26" s="4" t="s">
        <v>85</v>
      </c>
      <c r="AP26" s="4" t="s">
        <v>92</v>
      </c>
      <c r="AQ26" s="4" t="s">
        <v>85</v>
      </c>
      <c r="AR26" s="4" t="s">
        <v>85</v>
      </c>
      <c r="AS26" s="6">
        <v>0</v>
      </c>
      <c r="AT26" s="6">
        <v>0</v>
      </c>
      <c r="AU26" s="4" t="s">
        <v>91</v>
      </c>
      <c r="AV26" s="4" t="s">
        <v>85</v>
      </c>
      <c r="AW26" s="4" t="s">
        <v>91</v>
      </c>
      <c r="AX26" s="4" t="s">
        <v>91</v>
      </c>
      <c r="AY26" s="4" t="s">
        <v>85</v>
      </c>
      <c r="AZ26" s="4" t="s">
        <v>93</v>
      </c>
      <c r="BA26" s="4" t="s">
        <v>85</v>
      </c>
      <c r="BB26" s="4" t="s">
        <v>85</v>
      </c>
      <c r="BC26" s="4" t="s">
        <v>91</v>
      </c>
      <c r="BD26" s="4" t="s">
        <v>79</v>
      </c>
      <c r="BE26" s="4" t="s">
        <v>94</v>
      </c>
      <c r="BF26" s="4" t="s">
        <v>85</v>
      </c>
      <c r="BG26" s="4" t="s">
        <v>85</v>
      </c>
      <c r="BH26" s="4" t="s">
        <v>85</v>
      </c>
      <c r="BI26" s="4" t="s">
        <v>91</v>
      </c>
      <c r="BJ26" s="4" t="s">
        <v>91</v>
      </c>
      <c r="BK26" s="4" t="s">
        <v>85</v>
      </c>
      <c r="BL26" s="4" t="s">
        <v>85</v>
      </c>
      <c r="BM26" s="4" t="s">
        <v>95</v>
      </c>
      <c r="BN26" s="4" t="s">
        <v>96</v>
      </c>
      <c r="BO26" s="6">
        <v>0</v>
      </c>
      <c r="BP26" s="4" t="s">
        <v>85</v>
      </c>
      <c r="BQ26" s="4" t="s">
        <v>85</v>
      </c>
      <c r="BR26" s="4" t="s">
        <v>91</v>
      </c>
      <c r="BS26" s="4" t="s">
        <v>85</v>
      </c>
      <c r="BT26" s="26" t="s">
        <v>388</v>
      </c>
      <c r="BU26" s="26" t="s">
        <v>1221</v>
      </c>
      <c r="BV26" s="26" t="s">
        <v>1226</v>
      </c>
      <c r="BW26" s="19" t="s">
        <v>1241</v>
      </c>
      <c r="BX26" s="19" t="s">
        <v>1225</v>
      </c>
      <c r="BY26" s="19"/>
    </row>
    <row r="27" spans="1:78">
      <c r="A27" s="24">
        <v>45882</v>
      </c>
      <c r="B27" s="24">
        <v>45882</v>
      </c>
      <c r="C27" s="3">
        <v>0.55540509259258997</v>
      </c>
      <c r="D27" s="4" t="s">
        <v>179</v>
      </c>
      <c r="E27" s="24">
        <v>45882</v>
      </c>
      <c r="F27" s="26" t="s">
        <v>169</v>
      </c>
      <c r="G27" s="26" t="s">
        <v>101</v>
      </c>
      <c r="H27" s="26" t="s">
        <v>76</v>
      </c>
      <c r="I27" s="4" t="s">
        <v>180</v>
      </c>
      <c r="J27" s="26">
        <v>1219000797</v>
      </c>
      <c r="K27" s="26" t="str">
        <f>VLOOKUP(J:J,'[2]Inventory Codes'!$B:$D,3,0)</f>
        <v>MDD</v>
      </c>
      <c r="L27" s="26" t="s">
        <v>181</v>
      </c>
      <c r="M27" s="27">
        <v>25000</v>
      </c>
      <c r="N27" s="26" t="s">
        <v>79</v>
      </c>
      <c r="O27" s="26" t="s">
        <v>182</v>
      </c>
      <c r="P27" s="26" t="s">
        <v>85</v>
      </c>
      <c r="Q27" s="5">
        <v>25000</v>
      </c>
      <c r="R27" s="4" t="s">
        <v>173</v>
      </c>
      <c r="S27" s="4" t="s">
        <v>122</v>
      </c>
      <c r="T27" s="83" t="s">
        <v>84</v>
      </c>
      <c r="U27" s="6">
        <v>3252000</v>
      </c>
      <c r="V27" s="4" t="s">
        <v>85</v>
      </c>
      <c r="W27" s="4" t="s">
        <v>85</v>
      </c>
      <c r="X27" s="4" t="s">
        <v>86</v>
      </c>
      <c r="Y27" s="4" t="s">
        <v>87</v>
      </c>
      <c r="Z27" s="4" t="s">
        <v>88</v>
      </c>
      <c r="AA27" s="4" t="s">
        <v>89</v>
      </c>
      <c r="AB27" s="4" t="s">
        <v>85</v>
      </c>
      <c r="AC27" s="4" t="s">
        <v>98</v>
      </c>
      <c r="AD27" s="4" t="s">
        <v>85</v>
      </c>
      <c r="AE27" s="4" t="s">
        <v>85</v>
      </c>
      <c r="AF27" s="4" t="s">
        <v>91</v>
      </c>
      <c r="AG27" s="4" t="s">
        <v>85</v>
      </c>
      <c r="AH27" s="4" t="s">
        <v>91</v>
      </c>
      <c r="AI27" s="5">
        <v>25000</v>
      </c>
      <c r="AJ27" s="4" t="s">
        <v>79</v>
      </c>
      <c r="AK27" s="4" t="s">
        <v>79</v>
      </c>
      <c r="AL27" s="5">
        <v>25000</v>
      </c>
      <c r="AM27" s="4" t="s">
        <v>87</v>
      </c>
      <c r="AN27" s="4" t="s">
        <v>85</v>
      </c>
      <c r="AO27" s="4" t="s">
        <v>85</v>
      </c>
      <c r="AP27" s="4" t="s">
        <v>132</v>
      </c>
      <c r="AQ27" s="4" t="s">
        <v>85</v>
      </c>
      <c r="AR27" s="4" t="s">
        <v>85</v>
      </c>
      <c r="AS27" s="6">
        <v>0</v>
      </c>
      <c r="AT27" s="6">
        <v>0</v>
      </c>
      <c r="AU27" s="4" t="s">
        <v>91</v>
      </c>
      <c r="AV27" s="4" t="s">
        <v>85</v>
      </c>
      <c r="AW27" s="4" t="s">
        <v>91</v>
      </c>
      <c r="AX27" s="4" t="s">
        <v>91</v>
      </c>
      <c r="AY27" s="4" t="s">
        <v>85</v>
      </c>
      <c r="AZ27" s="4" t="s">
        <v>93</v>
      </c>
      <c r="BA27" s="4" t="s">
        <v>85</v>
      </c>
      <c r="BB27" s="4" t="s">
        <v>85</v>
      </c>
      <c r="BC27" s="4" t="s">
        <v>91</v>
      </c>
      <c r="BD27" s="4" t="s">
        <v>79</v>
      </c>
      <c r="BE27" s="4" t="s">
        <v>94</v>
      </c>
      <c r="BF27" s="4" t="s">
        <v>85</v>
      </c>
      <c r="BG27" s="4" t="s">
        <v>85</v>
      </c>
      <c r="BH27" s="4" t="s">
        <v>85</v>
      </c>
      <c r="BI27" s="4" t="s">
        <v>91</v>
      </c>
      <c r="BJ27" s="4" t="s">
        <v>91</v>
      </c>
      <c r="BK27" s="4" t="s">
        <v>85</v>
      </c>
      <c r="BL27" s="4" t="s">
        <v>85</v>
      </c>
      <c r="BM27" s="4" t="s">
        <v>95</v>
      </c>
      <c r="BN27" s="4" t="s">
        <v>96</v>
      </c>
      <c r="BO27" s="6">
        <v>0</v>
      </c>
      <c r="BP27" s="4" t="s">
        <v>85</v>
      </c>
      <c r="BQ27" s="4" t="s">
        <v>85</v>
      </c>
      <c r="BR27" s="4" t="s">
        <v>91</v>
      </c>
      <c r="BS27" s="4" t="s">
        <v>85</v>
      </c>
      <c r="BT27" s="26" t="s">
        <v>388</v>
      </c>
      <c r="BU27" s="26" t="s">
        <v>1221</v>
      </c>
      <c r="BV27" s="26" t="s">
        <v>1226</v>
      </c>
      <c r="BW27" s="19" t="s">
        <v>1240</v>
      </c>
      <c r="BX27" s="19" t="s">
        <v>1225</v>
      </c>
      <c r="BY27" s="19"/>
    </row>
    <row r="28" spans="1:78">
      <c r="A28" s="32">
        <v>45896</v>
      </c>
      <c r="B28" s="32">
        <v>45896</v>
      </c>
      <c r="C28" s="33">
        <v>0.39738425925926002</v>
      </c>
      <c r="D28" s="34" t="s">
        <v>183</v>
      </c>
      <c r="E28" s="32">
        <v>45896</v>
      </c>
      <c r="F28" s="34" t="s">
        <v>184</v>
      </c>
      <c r="G28" s="34" t="s">
        <v>185</v>
      </c>
      <c r="H28" s="34" t="s">
        <v>76</v>
      </c>
      <c r="I28" s="34" t="s">
        <v>186</v>
      </c>
      <c r="J28" s="34">
        <v>1219001002</v>
      </c>
      <c r="K28" s="34" t="str">
        <f>VLOOKUP(J:J,'[2]Inventory Codes'!$B:$D,3,0)</f>
        <v>CC</v>
      </c>
      <c r="L28" s="34" t="s">
        <v>187</v>
      </c>
      <c r="M28" s="35">
        <v>10000</v>
      </c>
      <c r="N28" s="34" t="s">
        <v>79</v>
      </c>
      <c r="O28" s="34" t="s">
        <v>188</v>
      </c>
      <c r="P28" s="34" t="s">
        <v>85</v>
      </c>
      <c r="Q28" s="35">
        <v>10000</v>
      </c>
      <c r="R28" s="34" t="s">
        <v>85</v>
      </c>
      <c r="S28" s="34" t="s">
        <v>122</v>
      </c>
      <c r="T28" s="84" t="s">
        <v>84</v>
      </c>
      <c r="U28" s="36">
        <v>1900000</v>
      </c>
      <c r="V28" s="34" t="s">
        <v>85</v>
      </c>
      <c r="W28" s="34" t="s">
        <v>85</v>
      </c>
      <c r="X28" s="34" t="s">
        <v>86</v>
      </c>
      <c r="Y28" s="34" t="s">
        <v>87</v>
      </c>
      <c r="Z28" s="34" t="s">
        <v>88</v>
      </c>
      <c r="AA28" s="34" t="s">
        <v>89</v>
      </c>
      <c r="AB28" s="34" t="s">
        <v>85</v>
      </c>
      <c r="AC28" s="34" t="s">
        <v>98</v>
      </c>
      <c r="AD28" s="34" t="s">
        <v>85</v>
      </c>
      <c r="AE28" s="34" t="s">
        <v>85</v>
      </c>
      <c r="AF28" s="34" t="s">
        <v>91</v>
      </c>
      <c r="AG28" s="34" t="s">
        <v>85</v>
      </c>
      <c r="AH28" s="34" t="s">
        <v>91</v>
      </c>
      <c r="AI28" s="35">
        <v>10000</v>
      </c>
      <c r="AJ28" s="34" t="s">
        <v>79</v>
      </c>
      <c r="AK28" s="34" t="s">
        <v>79</v>
      </c>
      <c r="AL28" s="35">
        <v>10000</v>
      </c>
      <c r="AM28" s="34" t="s">
        <v>87</v>
      </c>
      <c r="AN28" s="34" t="s">
        <v>85</v>
      </c>
      <c r="AO28" s="34" t="s">
        <v>85</v>
      </c>
      <c r="AP28" s="34" t="s">
        <v>118</v>
      </c>
      <c r="AQ28" s="34" t="s">
        <v>85</v>
      </c>
      <c r="AR28" s="34" t="s">
        <v>85</v>
      </c>
      <c r="AS28" s="36">
        <v>0</v>
      </c>
      <c r="AT28" s="36">
        <v>0</v>
      </c>
      <c r="AU28" s="34" t="s">
        <v>91</v>
      </c>
      <c r="AV28" s="34" t="s">
        <v>85</v>
      </c>
      <c r="AW28" s="34" t="s">
        <v>91</v>
      </c>
      <c r="AX28" s="34" t="s">
        <v>91</v>
      </c>
      <c r="AY28" s="34" t="s">
        <v>85</v>
      </c>
      <c r="AZ28" s="34" t="s">
        <v>93</v>
      </c>
      <c r="BA28" s="34" t="s">
        <v>85</v>
      </c>
      <c r="BB28" s="34" t="s">
        <v>85</v>
      </c>
      <c r="BC28" s="34" t="s">
        <v>91</v>
      </c>
      <c r="BD28" s="34" t="s">
        <v>79</v>
      </c>
      <c r="BE28" s="34" t="s">
        <v>94</v>
      </c>
      <c r="BF28" s="34" t="s">
        <v>85</v>
      </c>
      <c r="BG28" s="34" t="s">
        <v>85</v>
      </c>
      <c r="BH28" s="34" t="s">
        <v>85</v>
      </c>
      <c r="BI28" s="34" t="s">
        <v>91</v>
      </c>
      <c r="BJ28" s="34" t="s">
        <v>91</v>
      </c>
      <c r="BK28" s="34" t="s">
        <v>85</v>
      </c>
      <c r="BL28" s="34" t="s">
        <v>85</v>
      </c>
      <c r="BM28" s="34" t="s">
        <v>95</v>
      </c>
      <c r="BN28" s="34" t="s">
        <v>96</v>
      </c>
      <c r="BO28" s="36">
        <v>0</v>
      </c>
      <c r="BP28" s="34" t="s">
        <v>85</v>
      </c>
      <c r="BQ28" s="34" t="s">
        <v>85</v>
      </c>
      <c r="BR28" s="34" t="s">
        <v>91</v>
      </c>
      <c r="BS28" s="34" t="s">
        <v>85</v>
      </c>
      <c r="BT28" s="34"/>
      <c r="BU28" s="34"/>
      <c r="BV28" s="34"/>
      <c r="BW28" s="37"/>
      <c r="BX28" s="37"/>
      <c r="BY28" s="37"/>
      <c r="BZ28" t="s">
        <v>1248</v>
      </c>
    </row>
    <row r="29" spans="1:78">
      <c r="A29" s="24">
        <v>45903</v>
      </c>
      <c r="B29" s="24">
        <v>45903</v>
      </c>
      <c r="C29" s="3">
        <v>0.4</v>
      </c>
      <c r="D29" s="4" t="s">
        <v>189</v>
      </c>
      <c r="E29" s="24">
        <v>45903</v>
      </c>
      <c r="F29" s="26" t="s">
        <v>190</v>
      </c>
      <c r="G29" s="26" t="s">
        <v>191</v>
      </c>
      <c r="H29" s="26" t="s">
        <v>76</v>
      </c>
      <c r="I29" s="4" t="s">
        <v>192</v>
      </c>
      <c r="J29" s="26">
        <v>1219000125</v>
      </c>
      <c r="K29" s="26" t="str">
        <f>VLOOKUP(J:J,'[2]Inventory Codes'!$B:$D,3,0)</f>
        <v>MDD</v>
      </c>
      <c r="L29" s="26" t="s">
        <v>193</v>
      </c>
      <c r="M29" s="27">
        <v>9100</v>
      </c>
      <c r="N29" s="26" t="s">
        <v>79</v>
      </c>
      <c r="O29" s="26" t="s">
        <v>194</v>
      </c>
      <c r="P29" s="26" t="s">
        <v>85</v>
      </c>
      <c r="Q29" s="5">
        <v>9100</v>
      </c>
      <c r="R29" s="4" t="s">
        <v>195</v>
      </c>
      <c r="S29" s="4" t="s">
        <v>122</v>
      </c>
      <c r="T29" s="83" t="s">
        <v>84</v>
      </c>
      <c r="U29" s="6">
        <v>1273727</v>
      </c>
      <c r="V29" s="4" t="s">
        <v>85</v>
      </c>
      <c r="W29" s="4" t="s">
        <v>85</v>
      </c>
      <c r="X29" s="4" t="s">
        <v>86</v>
      </c>
      <c r="Y29" s="4" t="s">
        <v>87</v>
      </c>
      <c r="Z29" s="4" t="s">
        <v>88</v>
      </c>
      <c r="AA29" s="4" t="s">
        <v>89</v>
      </c>
      <c r="AB29" s="4" t="s">
        <v>85</v>
      </c>
      <c r="AC29" s="4" t="s">
        <v>98</v>
      </c>
      <c r="AD29" s="4" t="s">
        <v>85</v>
      </c>
      <c r="AE29" s="4" t="s">
        <v>85</v>
      </c>
      <c r="AF29" s="4" t="s">
        <v>91</v>
      </c>
      <c r="AG29" s="4" t="s">
        <v>85</v>
      </c>
      <c r="AH29" s="4" t="s">
        <v>91</v>
      </c>
      <c r="AI29" s="5">
        <v>9100</v>
      </c>
      <c r="AJ29" s="4" t="s">
        <v>79</v>
      </c>
      <c r="AK29" s="4" t="s">
        <v>79</v>
      </c>
      <c r="AL29" s="5">
        <v>9100</v>
      </c>
      <c r="AM29" s="4" t="s">
        <v>87</v>
      </c>
      <c r="AN29" s="4" t="s">
        <v>85</v>
      </c>
      <c r="AO29" s="4" t="s">
        <v>85</v>
      </c>
      <c r="AP29" s="4" t="s">
        <v>118</v>
      </c>
      <c r="AQ29" s="4" t="s">
        <v>85</v>
      </c>
      <c r="AR29" s="4" t="s">
        <v>85</v>
      </c>
      <c r="AS29" s="6">
        <v>0</v>
      </c>
      <c r="AT29" s="6">
        <v>0</v>
      </c>
      <c r="AU29" s="4" t="s">
        <v>91</v>
      </c>
      <c r="AV29" s="4" t="s">
        <v>85</v>
      </c>
      <c r="AW29" s="4" t="s">
        <v>91</v>
      </c>
      <c r="AX29" s="4" t="s">
        <v>91</v>
      </c>
      <c r="AY29" s="4" t="s">
        <v>85</v>
      </c>
      <c r="AZ29" s="4" t="s">
        <v>93</v>
      </c>
      <c r="BA29" s="4" t="s">
        <v>85</v>
      </c>
      <c r="BB29" s="4" t="s">
        <v>85</v>
      </c>
      <c r="BC29" s="4" t="s">
        <v>91</v>
      </c>
      <c r="BD29" s="4" t="s">
        <v>79</v>
      </c>
      <c r="BE29" s="4" t="s">
        <v>94</v>
      </c>
      <c r="BF29" s="4" t="s">
        <v>85</v>
      </c>
      <c r="BG29" s="4" t="s">
        <v>85</v>
      </c>
      <c r="BH29" s="4" t="s">
        <v>85</v>
      </c>
      <c r="BI29" s="4" t="s">
        <v>91</v>
      </c>
      <c r="BJ29" s="4" t="s">
        <v>91</v>
      </c>
      <c r="BK29" s="4" t="s">
        <v>85</v>
      </c>
      <c r="BL29" s="4" t="s">
        <v>85</v>
      </c>
      <c r="BM29" s="4" t="s">
        <v>95</v>
      </c>
      <c r="BN29" s="4" t="s">
        <v>96</v>
      </c>
      <c r="BO29" s="6">
        <v>0</v>
      </c>
      <c r="BP29" s="4" t="s">
        <v>85</v>
      </c>
      <c r="BQ29" s="4" t="s">
        <v>85</v>
      </c>
      <c r="BR29" s="4" t="s">
        <v>91</v>
      </c>
      <c r="BS29" s="4" t="s">
        <v>85</v>
      </c>
      <c r="BT29" s="26" t="s">
        <v>388</v>
      </c>
      <c r="BU29" s="26" t="s">
        <v>1221</v>
      </c>
      <c r="BV29" s="26" t="s">
        <v>1243</v>
      </c>
      <c r="BW29" s="19" t="s">
        <v>1244</v>
      </c>
      <c r="BX29" s="19" t="s">
        <v>1225</v>
      </c>
      <c r="BY29" s="19" t="s">
        <v>1242</v>
      </c>
    </row>
    <row r="30" spans="1:78">
      <c r="A30" s="24">
        <v>45903</v>
      </c>
      <c r="B30" s="24">
        <v>45903</v>
      </c>
      <c r="C30" s="3">
        <v>0.4</v>
      </c>
      <c r="D30" s="4" t="s">
        <v>196</v>
      </c>
      <c r="E30" s="24">
        <v>45903</v>
      </c>
      <c r="F30" s="26" t="s">
        <v>190</v>
      </c>
      <c r="G30" s="26" t="s">
        <v>191</v>
      </c>
      <c r="H30" s="26" t="s">
        <v>76</v>
      </c>
      <c r="I30" s="4" t="s">
        <v>192</v>
      </c>
      <c r="J30" s="26">
        <v>1219000126</v>
      </c>
      <c r="K30" s="26" t="str">
        <f>VLOOKUP(J:J,'[2]Inventory Codes'!$B:$D,3,0)</f>
        <v>MDD</v>
      </c>
      <c r="L30" s="26" t="s">
        <v>197</v>
      </c>
      <c r="M30" s="27">
        <v>8000</v>
      </c>
      <c r="N30" s="26" t="s">
        <v>79</v>
      </c>
      <c r="O30" s="26" t="s">
        <v>194</v>
      </c>
      <c r="P30" s="26" t="s">
        <v>85</v>
      </c>
      <c r="Q30" s="5">
        <v>8000</v>
      </c>
      <c r="R30" s="4" t="s">
        <v>195</v>
      </c>
      <c r="S30" s="4" t="s">
        <v>122</v>
      </c>
      <c r="T30" s="83" t="s">
        <v>84</v>
      </c>
      <c r="U30" s="6">
        <v>655440</v>
      </c>
      <c r="V30" s="4" t="s">
        <v>85</v>
      </c>
      <c r="W30" s="4" t="s">
        <v>85</v>
      </c>
      <c r="X30" s="4" t="s">
        <v>86</v>
      </c>
      <c r="Y30" s="4" t="s">
        <v>87</v>
      </c>
      <c r="Z30" s="4" t="s">
        <v>88</v>
      </c>
      <c r="AA30" s="4" t="s">
        <v>89</v>
      </c>
      <c r="AB30" s="4" t="s">
        <v>85</v>
      </c>
      <c r="AC30" s="4" t="s">
        <v>90</v>
      </c>
      <c r="AD30" s="4" t="s">
        <v>85</v>
      </c>
      <c r="AE30" s="4" t="s">
        <v>85</v>
      </c>
      <c r="AF30" s="4" t="s">
        <v>91</v>
      </c>
      <c r="AG30" s="4" t="s">
        <v>85</v>
      </c>
      <c r="AH30" s="4" t="s">
        <v>91</v>
      </c>
      <c r="AI30" s="5">
        <v>8000</v>
      </c>
      <c r="AJ30" s="4" t="s">
        <v>79</v>
      </c>
      <c r="AK30" s="4" t="s">
        <v>79</v>
      </c>
      <c r="AL30" s="5">
        <v>8000</v>
      </c>
      <c r="AM30" s="4" t="s">
        <v>87</v>
      </c>
      <c r="AN30" s="4" t="s">
        <v>85</v>
      </c>
      <c r="AO30" s="4" t="s">
        <v>85</v>
      </c>
      <c r="AP30" s="4" t="s">
        <v>107</v>
      </c>
      <c r="AQ30" s="4" t="s">
        <v>85</v>
      </c>
      <c r="AR30" s="4" t="s">
        <v>85</v>
      </c>
      <c r="AS30" s="6">
        <v>0</v>
      </c>
      <c r="AT30" s="6">
        <v>0</v>
      </c>
      <c r="AU30" s="4" t="s">
        <v>91</v>
      </c>
      <c r="AV30" s="4" t="s">
        <v>85</v>
      </c>
      <c r="AW30" s="4" t="s">
        <v>91</v>
      </c>
      <c r="AX30" s="4" t="s">
        <v>91</v>
      </c>
      <c r="AY30" s="4" t="s">
        <v>85</v>
      </c>
      <c r="AZ30" s="4" t="s">
        <v>93</v>
      </c>
      <c r="BA30" s="4" t="s">
        <v>85</v>
      </c>
      <c r="BB30" s="4" t="s">
        <v>85</v>
      </c>
      <c r="BC30" s="4" t="s">
        <v>91</v>
      </c>
      <c r="BD30" s="4" t="s">
        <v>79</v>
      </c>
      <c r="BE30" s="4" t="s">
        <v>94</v>
      </c>
      <c r="BF30" s="4" t="s">
        <v>85</v>
      </c>
      <c r="BG30" s="4" t="s">
        <v>85</v>
      </c>
      <c r="BH30" s="4" t="s">
        <v>85</v>
      </c>
      <c r="BI30" s="4" t="s">
        <v>91</v>
      </c>
      <c r="BJ30" s="4" t="s">
        <v>91</v>
      </c>
      <c r="BK30" s="4" t="s">
        <v>85</v>
      </c>
      <c r="BL30" s="4" t="s">
        <v>85</v>
      </c>
      <c r="BM30" s="4" t="s">
        <v>95</v>
      </c>
      <c r="BN30" s="4" t="s">
        <v>96</v>
      </c>
      <c r="BO30" s="6">
        <v>0</v>
      </c>
      <c r="BP30" s="4" t="s">
        <v>85</v>
      </c>
      <c r="BQ30" s="4" t="s">
        <v>85</v>
      </c>
      <c r="BR30" s="4" t="s">
        <v>91</v>
      </c>
      <c r="BS30" s="4" t="s">
        <v>85</v>
      </c>
      <c r="BT30" s="26" t="s">
        <v>388</v>
      </c>
      <c r="BU30" s="26" t="s">
        <v>1221</v>
      </c>
      <c r="BV30" s="26" t="s">
        <v>1243</v>
      </c>
      <c r="BW30" s="19" t="s">
        <v>1244</v>
      </c>
      <c r="BX30" s="19" t="s">
        <v>1225</v>
      </c>
      <c r="BY30" s="19" t="s">
        <v>1242</v>
      </c>
    </row>
    <row r="31" spans="1:78">
      <c r="A31" s="24">
        <v>45903</v>
      </c>
      <c r="B31" s="24">
        <v>45903</v>
      </c>
      <c r="C31" s="3">
        <v>0.4</v>
      </c>
      <c r="D31" s="4" t="s">
        <v>198</v>
      </c>
      <c r="E31" s="24">
        <v>45903</v>
      </c>
      <c r="F31" s="26" t="s">
        <v>190</v>
      </c>
      <c r="G31" s="26" t="s">
        <v>191</v>
      </c>
      <c r="H31" s="26" t="s">
        <v>76</v>
      </c>
      <c r="I31" s="4" t="s">
        <v>192</v>
      </c>
      <c r="J31" s="26">
        <v>1219000127</v>
      </c>
      <c r="K31" s="26" t="str">
        <f>VLOOKUP(J:J,'[2]Inventory Codes'!$B:$D,3,0)</f>
        <v>MDD</v>
      </c>
      <c r="L31" s="26" t="s">
        <v>199</v>
      </c>
      <c r="M31" s="27">
        <v>12000</v>
      </c>
      <c r="N31" s="26" t="s">
        <v>79</v>
      </c>
      <c r="O31" s="26" t="s">
        <v>200</v>
      </c>
      <c r="P31" s="26" t="s">
        <v>85</v>
      </c>
      <c r="Q31" s="5">
        <v>12000</v>
      </c>
      <c r="R31" s="4" t="s">
        <v>195</v>
      </c>
      <c r="S31" s="4" t="s">
        <v>122</v>
      </c>
      <c r="T31" s="83" t="s">
        <v>84</v>
      </c>
      <c r="U31" s="6">
        <v>578880</v>
      </c>
      <c r="V31" s="4" t="s">
        <v>85</v>
      </c>
      <c r="W31" s="4" t="s">
        <v>85</v>
      </c>
      <c r="X31" s="4" t="s">
        <v>86</v>
      </c>
      <c r="Y31" s="4" t="s">
        <v>87</v>
      </c>
      <c r="Z31" s="4" t="s">
        <v>88</v>
      </c>
      <c r="AA31" s="4" t="s">
        <v>89</v>
      </c>
      <c r="AB31" s="4" t="s">
        <v>85</v>
      </c>
      <c r="AC31" s="4" t="s">
        <v>112</v>
      </c>
      <c r="AD31" s="4" t="s">
        <v>85</v>
      </c>
      <c r="AE31" s="4" t="s">
        <v>85</v>
      </c>
      <c r="AF31" s="4" t="s">
        <v>91</v>
      </c>
      <c r="AG31" s="4" t="s">
        <v>85</v>
      </c>
      <c r="AH31" s="4" t="s">
        <v>91</v>
      </c>
      <c r="AI31" s="5">
        <v>12000</v>
      </c>
      <c r="AJ31" s="4" t="s">
        <v>79</v>
      </c>
      <c r="AK31" s="4" t="s">
        <v>79</v>
      </c>
      <c r="AL31" s="5">
        <v>12000</v>
      </c>
      <c r="AM31" s="4" t="s">
        <v>87</v>
      </c>
      <c r="AN31" s="4" t="s">
        <v>85</v>
      </c>
      <c r="AO31" s="4" t="s">
        <v>85</v>
      </c>
      <c r="AP31" s="4" t="s">
        <v>92</v>
      </c>
      <c r="AQ31" s="4" t="s">
        <v>85</v>
      </c>
      <c r="AR31" s="4" t="s">
        <v>85</v>
      </c>
      <c r="AS31" s="6">
        <v>0</v>
      </c>
      <c r="AT31" s="6">
        <v>0</v>
      </c>
      <c r="AU31" s="4" t="s">
        <v>91</v>
      </c>
      <c r="AV31" s="4" t="s">
        <v>85</v>
      </c>
      <c r="AW31" s="4" t="s">
        <v>91</v>
      </c>
      <c r="AX31" s="4" t="s">
        <v>91</v>
      </c>
      <c r="AY31" s="4" t="s">
        <v>85</v>
      </c>
      <c r="AZ31" s="4" t="s">
        <v>93</v>
      </c>
      <c r="BA31" s="4" t="s">
        <v>85</v>
      </c>
      <c r="BB31" s="4" t="s">
        <v>85</v>
      </c>
      <c r="BC31" s="4" t="s">
        <v>91</v>
      </c>
      <c r="BD31" s="4" t="s">
        <v>79</v>
      </c>
      <c r="BE31" s="4" t="s">
        <v>94</v>
      </c>
      <c r="BF31" s="4" t="s">
        <v>85</v>
      </c>
      <c r="BG31" s="4" t="s">
        <v>85</v>
      </c>
      <c r="BH31" s="4" t="s">
        <v>85</v>
      </c>
      <c r="BI31" s="4" t="s">
        <v>91</v>
      </c>
      <c r="BJ31" s="4" t="s">
        <v>91</v>
      </c>
      <c r="BK31" s="4" t="s">
        <v>85</v>
      </c>
      <c r="BL31" s="4" t="s">
        <v>85</v>
      </c>
      <c r="BM31" s="4" t="s">
        <v>95</v>
      </c>
      <c r="BN31" s="4" t="s">
        <v>96</v>
      </c>
      <c r="BO31" s="6">
        <v>0</v>
      </c>
      <c r="BP31" s="4" t="s">
        <v>85</v>
      </c>
      <c r="BQ31" s="4" t="s">
        <v>85</v>
      </c>
      <c r="BR31" s="4" t="s">
        <v>91</v>
      </c>
      <c r="BS31" s="4" t="s">
        <v>85</v>
      </c>
      <c r="BT31" s="26" t="s">
        <v>388</v>
      </c>
      <c r="BU31" s="26" t="s">
        <v>1221</v>
      </c>
      <c r="BV31" s="26" t="s">
        <v>1243</v>
      </c>
      <c r="BW31" s="19" t="s">
        <v>1244</v>
      </c>
      <c r="BX31" s="19" t="s">
        <v>1225</v>
      </c>
      <c r="BY31" s="19" t="s">
        <v>1242</v>
      </c>
    </row>
    <row r="32" spans="1:78">
      <c r="A32" s="24">
        <v>45903</v>
      </c>
      <c r="B32" s="24">
        <v>45903</v>
      </c>
      <c r="C32" s="3">
        <v>0.4</v>
      </c>
      <c r="D32" s="4" t="s">
        <v>201</v>
      </c>
      <c r="E32" s="24">
        <v>45903</v>
      </c>
      <c r="F32" s="26" t="s">
        <v>190</v>
      </c>
      <c r="G32" s="26" t="s">
        <v>191</v>
      </c>
      <c r="H32" s="26" t="s">
        <v>76</v>
      </c>
      <c r="I32" s="4" t="s">
        <v>192</v>
      </c>
      <c r="J32" s="26">
        <v>1219000128</v>
      </c>
      <c r="K32" s="26" t="str">
        <f>VLOOKUP(J:J,'[2]Inventory Codes'!$B:$D,3,0)</f>
        <v>MDD</v>
      </c>
      <c r="L32" s="26" t="s">
        <v>202</v>
      </c>
      <c r="M32" s="27">
        <v>25000</v>
      </c>
      <c r="N32" s="26" t="s">
        <v>79</v>
      </c>
      <c r="O32" s="26" t="s">
        <v>203</v>
      </c>
      <c r="P32" s="26" t="s">
        <v>85</v>
      </c>
      <c r="Q32" s="5">
        <v>25000</v>
      </c>
      <c r="R32" s="4" t="s">
        <v>195</v>
      </c>
      <c r="S32" s="4" t="s">
        <v>122</v>
      </c>
      <c r="T32" s="83" t="s">
        <v>84</v>
      </c>
      <c r="U32" s="6">
        <v>1198000</v>
      </c>
      <c r="V32" s="4" t="s">
        <v>85</v>
      </c>
      <c r="W32" s="4" t="s">
        <v>85</v>
      </c>
      <c r="X32" s="4" t="s">
        <v>86</v>
      </c>
      <c r="Y32" s="4" t="s">
        <v>87</v>
      </c>
      <c r="Z32" s="4" t="s">
        <v>88</v>
      </c>
      <c r="AA32" s="4" t="s">
        <v>89</v>
      </c>
      <c r="AB32" s="4" t="s">
        <v>85</v>
      </c>
      <c r="AC32" s="4" t="s">
        <v>134</v>
      </c>
      <c r="AD32" s="4" t="s">
        <v>85</v>
      </c>
      <c r="AE32" s="4" t="s">
        <v>85</v>
      </c>
      <c r="AF32" s="4" t="s">
        <v>91</v>
      </c>
      <c r="AG32" s="4" t="s">
        <v>85</v>
      </c>
      <c r="AH32" s="4" t="s">
        <v>91</v>
      </c>
      <c r="AI32" s="5">
        <v>25000</v>
      </c>
      <c r="AJ32" s="4" t="s">
        <v>79</v>
      </c>
      <c r="AK32" s="4" t="s">
        <v>79</v>
      </c>
      <c r="AL32" s="5">
        <v>25000</v>
      </c>
      <c r="AM32" s="4" t="s">
        <v>87</v>
      </c>
      <c r="AN32" s="4" t="s">
        <v>85</v>
      </c>
      <c r="AO32" s="4" t="s">
        <v>85</v>
      </c>
      <c r="AP32" s="4" t="s">
        <v>135</v>
      </c>
      <c r="AQ32" s="4" t="s">
        <v>85</v>
      </c>
      <c r="AR32" s="4" t="s">
        <v>85</v>
      </c>
      <c r="AS32" s="6">
        <v>0</v>
      </c>
      <c r="AT32" s="6">
        <v>0</v>
      </c>
      <c r="AU32" s="4" t="s">
        <v>91</v>
      </c>
      <c r="AV32" s="4" t="s">
        <v>85</v>
      </c>
      <c r="AW32" s="4" t="s">
        <v>91</v>
      </c>
      <c r="AX32" s="4" t="s">
        <v>91</v>
      </c>
      <c r="AY32" s="4" t="s">
        <v>85</v>
      </c>
      <c r="AZ32" s="4" t="s">
        <v>93</v>
      </c>
      <c r="BA32" s="4" t="s">
        <v>85</v>
      </c>
      <c r="BB32" s="4" t="s">
        <v>85</v>
      </c>
      <c r="BC32" s="4" t="s">
        <v>91</v>
      </c>
      <c r="BD32" s="4" t="s">
        <v>79</v>
      </c>
      <c r="BE32" s="4" t="s">
        <v>94</v>
      </c>
      <c r="BF32" s="4" t="s">
        <v>85</v>
      </c>
      <c r="BG32" s="4" t="s">
        <v>85</v>
      </c>
      <c r="BH32" s="4" t="s">
        <v>85</v>
      </c>
      <c r="BI32" s="4" t="s">
        <v>91</v>
      </c>
      <c r="BJ32" s="4" t="s">
        <v>91</v>
      </c>
      <c r="BK32" s="4" t="s">
        <v>85</v>
      </c>
      <c r="BL32" s="4" t="s">
        <v>85</v>
      </c>
      <c r="BM32" s="4" t="s">
        <v>95</v>
      </c>
      <c r="BN32" s="4" t="s">
        <v>96</v>
      </c>
      <c r="BO32" s="6">
        <v>0</v>
      </c>
      <c r="BP32" s="4" t="s">
        <v>85</v>
      </c>
      <c r="BQ32" s="4" t="s">
        <v>85</v>
      </c>
      <c r="BR32" s="4" t="s">
        <v>91</v>
      </c>
      <c r="BS32" s="4" t="s">
        <v>85</v>
      </c>
      <c r="BT32" s="26" t="s">
        <v>388</v>
      </c>
      <c r="BU32" s="26" t="s">
        <v>1221</v>
      </c>
      <c r="BV32" s="26" t="s">
        <v>1243</v>
      </c>
      <c r="BW32" s="19" t="s">
        <v>1244</v>
      </c>
      <c r="BX32" s="19" t="s">
        <v>1225</v>
      </c>
      <c r="BY32" s="19" t="s">
        <v>1242</v>
      </c>
    </row>
    <row r="33" spans="1:78">
      <c r="A33" s="24">
        <v>45903</v>
      </c>
      <c r="B33" s="24">
        <v>45903</v>
      </c>
      <c r="C33" s="3">
        <v>0.4</v>
      </c>
      <c r="D33" s="4" t="s">
        <v>204</v>
      </c>
      <c r="E33" s="24">
        <v>45903</v>
      </c>
      <c r="F33" s="26" t="s">
        <v>190</v>
      </c>
      <c r="G33" s="26" t="s">
        <v>191</v>
      </c>
      <c r="H33" s="26" t="s">
        <v>76</v>
      </c>
      <c r="I33" s="4" t="s">
        <v>192</v>
      </c>
      <c r="J33" s="26">
        <v>1219000135</v>
      </c>
      <c r="K33" s="26" t="str">
        <f>VLOOKUP(J:J,'[2]Inventory Codes'!$B:$D,3,0)</f>
        <v>MDD</v>
      </c>
      <c r="L33" s="26" t="s">
        <v>205</v>
      </c>
      <c r="M33" s="27">
        <v>5599</v>
      </c>
      <c r="N33" s="26" t="s">
        <v>79</v>
      </c>
      <c r="O33" s="26" t="s">
        <v>206</v>
      </c>
      <c r="P33" s="26" t="s">
        <v>85</v>
      </c>
      <c r="Q33" s="5">
        <v>5599</v>
      </c>
      <c r="R33" s="4" t="s">
        <v>195</v>
      </c>
      <c r="S33" s="4" t="s">
        <v>122</v>
      </c>
      <c r="T33" s="83" t="s">
        <v>84</v>
      </c>
      <c r="U33" s="6">
        <v>67299.98</v>
      </c>
      <c r="V33" s="4" t="s">
        <v>85</v>
      </c>
      <c r="W33" s="4" t="s">
        <v>85</v>
      </c>
      <c r="X33" s="4" t="s">
        <v>86</v>
      </c>
      <c r="Y33" s="4" t="s">
        <v>87</v>
      </c>
      <c r="Z33" s="4" t="s">
        <v>88</v>
      </c>
      <c r="AA33" s="4" t="s">
        <v>89</v>
      </c>
      <c r="AB33" s="4" t="s">
        <v>85</v>
      </c>
      <c r="AC33" s="4" t="s">
        <v>131</v>
      </c>
      <c r="AD33" s="4" t="s">
        <v>85</v>
      </c>
      <c r="AE33" s="4" t="s">
        <v>85</v>
      </c>
      <c r="AF33" s="4" t="s">
        <v>91</v>
      </c>
      <c r="AG33" s="4" t="s">
        <v>85</v>
      </c>
      <c r="AH33" s="4" t="s">
        <v>91</v>
      </c>
      <c r="AI33" s="5">
        <v>5599</v>
      </c>
      <c r="AJ33" s="4" t="s">
        <v>79</v>
      </c>
      <c r="AK33" s="4" t="s">
        <v>79</v>
      </c>
      <c r="AL33" s="5">
        <v>5599</v>
      </c>
      <c r="AM33" s="4" t="s">
        <v>87</v>
      </c>
      <c r="AN33" s="4" t="s">
        <v>85</v>
      </c>
      <c r="AO33" s="4" t="s">
        <v>85</v>
      </c>
      <c r="AP33" s="4" t="s">
        <v>132</v>
      </c>
      <c r="AQ33" s="4" t="s">
        <v>85</v>
      </c>
      <c r="AR33" s="4" t="s">
        <v>85</v>
      </c>
      <c r="AS33" s="6">
        <v>0</v>
      </c>
      <c r="AT33" s="6">
        <v>0</v>
      </c>
      <c r="AU33" s="4" t="s">
        <v>91</v>
      </c>
      <c r="AV33" s="4" t="s">
        <v>85</v>
      </c>
      <c r="AW33" s="4" t="s">
        <v>91</v>
      </c>
      <c r="AX33" s="4" t="s">
        <v>91</v>
      </c>
      <c r="AY33" s="4" t="s">
        <v>85</v>
      </c>
      <c r="AZ33" s="4" t="s">
        <v>93</v>
      </c>
      <c r="BA33" s="4" t="s">
        <v>85</v>
      </c>
      <c r="BB33" s="4" t="s">
        <v>85</v>
      </c>
      <c r="BC33" s="4" t="s">
        <v>91</v>
      </c>
      <c r="BD33" s="4" t="s">
        <v>79</v>
      </c>
      <c r="BE33" s="4" t="s">
        <v>94</v>
      </c>
      <c r="BF33" s="4" t="s">
        <v>85</v>
      </c>
      <c r="BG33" s="4" t="s">
        <v>85</v>
      </c>
      <c r="BH33" s="4" t="s">
        <v>85</v>
      </c>
      <c r="BI33" s="4" t="s">
        <v>91</v>
      </c>
      <c r="BJ33" s="4" t="s">
        <v>91</v>
      </c>
      <c r="BK33" s="4" t="s">
        <v>85</v>
      </c>
      <c r="BL33" s="4" t="s">
        <v>85</v>
      </c>
      <c r="BM33" s="4" t="s">
        <v>95</v>
      </c>
      <c r="BN33" s="4" t="s">
        <v>96</v>
      </c>
      <c r="BO33" s="6">
        <v>0</v>
      </c>
      <c r="BP33" s="4" t="s">
        <v>85</v>
      </c>
      <c r="BQ33" s="4" t="s">
        <v>85</v>
      </c>
      <c r="BR33" s="4" t="s">
        <v>91</v>
      </c>
      <c r="BS33" s="4" t="s">
        <v>85</v>
      </c>
      <c r="BT33" s="26" t="s">
        <v>388</v>
      </c>
      <c r="BU33" s="26" t="s">
        <v>1221</v>
      </c>
      <c r="BV33" s="26" t="s">
        <v>1243</v>
      </c>
      <c r="BW33" s="19" t="s">
        <v>1244</v>
      </c>
      <c r="BX33" s="19" t="s">
        <v>1225</v>
      </c>
      <c r="BY33" s="19" t="s">
        <v>1242</v>
      </c>
    </row>
    <row r="34" spans="1:78">
      <c r="A34" s="24">
        <v>45903</v>
      </c>
      <c r="B34" s="24">
        <v>45903</v>
      </c>
      <c r="C34" s="3">
        <v>0.4</v>
      </c>
      <c r="D34" s="4" t="s">
        <v>207</v>
      </c>
      <c r="E34" s="24">
        <v>45903</v>
      </c>
      <c r="F34" s="26" t="s">
        <v>190</v>
      </c>
      <c r="G34" s="26" t="s">
        <v>191</v>
      </c>
      <c r="H34" s="26" t="s">
        <v>76</v>
      </c>
      <c r="I34" s="4" t="s">
        <v>192</v>
      </c>
      <c r="J34" s="26">
        <v>1219000139</v>
      </c>
      <c r="K34" s="26" t="str">
        <f>VLOOKUP(J:J,'[2]Inventory Codes'!$B:$D,3,0)</f>
        <v>MDD</v>
      </c>
      <c r="L34" s="26" t="s">
        <v>208</v>
      </c>
      <c r="M34" s="27">
        <v>4799</v>
      </c>
      <c r="N34" s="26" t="s">
        <v>79</v>
      </c>
      <c r="O34" s="26" t="s">
        <v>209</v>
      </c>
      <c r="P34" s="26" t="s">
        <v>85</v>
      </c>
      <c r="Q34" s="5">
        <v>4799</v>
      </c>
      <c r="R34" s="4" t="s">
        <v>195</v>
      </c>
      <c r="S34" s="4" t="s">
        <v>122</v>
      </c>
      <c r="T34" s="83" t="s">
        <v>84</v>
      </c>
      <c r="U34" s="6">
        <v>78463.649999999994</v>
      </c>
      <c r="V34" s="4" t="s">
        <v>85</v>
      </c>
      <c r="W34" s="4" t="s">
        <v>85</v>
      </c>
      <c r="X34" s="4" t="s">
        <v>86</v>
      </c>
      <c r="Y34" s="4" t="s">
        <v>87</v>
      </c>
      <c r="Z34" s="4" t="s">
        <v>88</v>
      </c>
      <c r="AA34" s="4" t="s">
        <v>89</v>
      </c>
      <c r="AB34" s="4" t="s">
        <v>85</v>
      </c>
      <c r="AC34" s="4" t="s">
        <v>126</v>
      </c>
      <c r="AD34" s="4" t="s">
        <v>85</v>
      </c>
      <c r="AE34" s="4" t="s">
        <v>85</v>
      </c>
      <c r="AF34" s="4" t="s">
        <v>91</v>
      </c>
      <c r="AG34" s="4" t="s">
        <v>85</v>
      </c>
      <c r="AH34" s="4" t="s">
        <v>91</v>
      </c>
      <c r="AI34" s="5">
        <v>4799</v>
      </c>
      <c r="AJ34" s="4" t="s">
        <v>79</v>
      </c>
      <c r="AK34" s="4" t="s">
        <v>79</v>
      </c>
      <c r="AL34" s="5">
        <v>4799</v>
      </c>
      <c r="AM34" s="4" t="s">
        <v>87</v>
      </c>
      <c r="AN34" s="4" t="s">
        <v>85</v>
      </c>
      <c r="AO34" s="4" t="s">
        <v>85</v>
      </c>
      <c r="AP34" s="4" t="s">
        <v>127</v>
      </c>
      <c r="AQ34" s="4" t="s">
        <v>85</v>
      </c>
      <c r="AR34" s="4" t="s">
        <v>85</v>
      </c>
      <c r="AS34" s="6">
        <v>0</v>
      </c>
      <c r="AT34" s="6">
        <v>0</v>
      </c>
      <c r="AU34" s="4" t="s">
        <v>91</v>
      </c>
      <c r="AV34" s="4" t="s">
        <v>85</v>
      </c>
      <c r="AW34" s="4" t="s">
        <v>91</v>
      </c>
      <c r="AX34" s="4" t="s">
        <v>91</v>
      </c>
      <c r="AY34" s="4" t="s">
        <v>85</v>
      </c>
      <c r="AZ34" s="4" t="s">
        <v>93</v>
      </c>
      <c r="BA34" s="4" t="s">
        <v>85</v>
      </c>
      <c r="BB34" s="4" t="s">
        <v>85</v>
      </c>
      <c r="BC34" s="4" t="s">
        <v>91</v>
      </c>
      <c r="BD34" s="4" t="s">
        <v>79</v>
      </c>
      <c r="BE34" s="4" t="s">
        <v>94</v>
      </c>
      <c r="BF34" s="4" t="s">
        <v>85</v>
      </c>
      <c r="BG34" s="4" t="s">
        <v>85</v>
      </c>
      <c r="BH34" s="4" t="s">
        <v>85</v>
      </c>
      <c r="BI34" s="4" t="s">
        <v>91</v>
      </c>
      <c r="BJ34" s="4" t="s">
        <v>91</v>
      </c>
      <c r="BK34" s="4" t="s">
        <v>85</v>
      </c>
      <c r="BL34" s="4" t="s">
        <v>85</v>
      </c>
      <c r="BM34" s="4" t="s">
        <v>95</v>
      </c>
      <c r="BN34" s="4" t="s">
        <v>96</v>
      </c>
      <c r="BO34" s="6">
        <v>0</v>
      </c>
      <c r="BP34" s="4" t="s">
        <v>85</v>
      </c>
      <c r="BQ34" s="4" t="s">
        <v>85</v>
      </c>
      <c r="BR34" s="4" t="s">
        <v>91</v>
      </c>
      <c r="BS34" s="4" t="s">
        <v>85</v>
      </c>
      <c r="BT34" s="26" t="s">
        <v>388</v>
      </c>
      <c r="BU34" s="26" t="s">
        <v>1221</v>
      </c>
      <c r="BV34" s="26" t="s">
        <v>1243</v>
      </c>
      <c r="BW34" s="19" t="s">
        <v>1244</v>
      </c>
      <c r="BX34" s="19" t="s">
        <v>1225</v>
      </c>
      <c r="BY34" s="19" t="s">
        <v>1242</v>
      </c>
    </row>
    <row r="35" spans="1:78">
      <c r="A35" s="24">
        <v>45916</v>
      </c>
      <c r="B35" s="24">
        <v>45916</v>
      </c>
      <c r="C35" s="3">
        <v>0.66500000000000004</v>
      </c>
      <c r="D35" s="4" t="s">
        <v>99</v>
      </c>
      <c r="E35" s="24">
        <v>45916</v>
      </c>
      <c r="F35" s="26" t="s">
        <v>210</v>
      </c>
      <c r="G35" s="26" t="s">
        <v>101</v>
      </c>
      <c r="H35" s="26" t="s">
        <v>76</v>
      </c>
      <c r="I35" s="4" t="s">
        <v>211</v>
      </c>
      <c r="J35" s="26">
        <v>1219000510</v>
      </c>
      <c r="K35" s="26" t="str">
        <f>VLOOKUP(J:J,'[2]Inventory Codes'!$B:$D,3,0)</f>
        <v>MDD</v>
      </c>
      <c r="L35" s="26" t="s">
        <v>103</v>
      </c>
      <c r="M35" s="27">
        <v>50000</v>
      </c>
      <c r="N35" s="26" t="s">
        <v>79</v>
      </c>
      <c r="O35" s="26" t="s">
        <v>212</v>
      </c>
      <c r="P35" s="26" t="s">
        <v>85</v>
      </c>
      <c r="Q35" s="5">
        <v>50000</v>
      </c>
      <c r="R35" s="4" t="s">
        <v>85</v>
      </c>
      <c r="S35" s="4" t="s">
        <v>122</v>
      </c>
      <c r="T35" s="83" t="s">
        <v>84</v>
      </c>
      <c r="U35" s="6">
        <v>18009000</v>
      </c>
      <c r="V35" s="4" t="s">
        <v>85</v>
      </c>
      <c r="W35" s="4" t="s">
        <v>85</v>
      </c>
      <c r="X35" s="4" t="s">
        <v>86</v>
      </c>
      <c r="Y35" s="4" t="s">
        <v>87</v>
      </c>
      <c r="Z35" s="4" t="s">
        <v>88</v>
      </c>
      <c r="AA35" s="4" t="s">
        <v>89</v>
      </c>
      <c r="AB35" s="4" t="s">
        <v>85</v>
      </c>
      <c r="AC35" s="4" t="s">
        <v>98</v>
      </c>
      <c r="AD35" s="4" t="s">
        <v>85</v>
      </c>
      <c r="AE35" s="4" t="s">
        <v>85</v>
      </c>
      <c r="AF35" s="4" t="s">
        <v>91</v>
      </c>
      <c r="AG35" s="4" t="s">
        <v>85</v>
      </c>
      <c r="AH35" s="4" t="s">
        <v>91</v>
      </c>
      <c r="AI35" s="5">
        <v>50000</v>
      </c>
      <c r="AJ35" s="4" t="s">
        <v>79</v>
      </c>
      <c r="AK35" s="4" t="s">
        <v>79</v>
      </c>
      <c r="AL35" s="5">
        <v>50000</v>
      </c>
      <c r="AM35" s="4" t="s">
        <v>87</v>
      </c>
      <c r="AN35" s="4" t="s">
        <v>85</v>
      </c>
      <c r="AO35" s="4" t="s">
        <v>85</v>
      </c>
      <c r="AP35" s="4" t="s">
        <v>118</v>
      </c>
      <c r="AQ35" s="4" t="s">
        <v>85</v>
      </c>
      <c r="AR35" s="4" t="s">
        <v>85</v>
      </c>
      <c r="AS35" s="6">
        <v>0</v>
      </c>
      <c r="AT35" s="6">
        <v>0</v>
      </c>
      <c r="AU35" s="4" t="s">
        <v>91</v>
      </c>
      <c r="AV35" s="4" t="s">
        <v>85</v>
      </c>
      <c r="AW35" s="4" t="s">
        <v>91</v>
      </c>
      <c r="AX35" s="4" t="s">
        <v>91</v>
      </c>
      <c r="AY35" s="4" t="s">
        <v>85</v>
      </c>
      <c r="AZ35" s="4" t="s">
        <v>93</v>
      </c>
      <c r="BA35" s="4" t="s">
        <v>85</v>
      </c>
      <c r="BB35" s="4" t="s">
        <v>85</v>
      </c>
      <c r="BC35" s="4" t="s">
        <v>91</v>
      </c>
      <c r="BD35" s="4" t="s">
        <v>79</v>
      </c>
      <c r="BE35" s="4" t="s">
        <v>94</v>
      </c>
      <c r="BF35" s="4" t="s">
        <v>85</v>
      </c>
      <c r="BG35" s="4" t="s">
        <v>85</v>
      </c>
      <c r="BH35" s="4" t="s">
        <v>85</v>
      </c>
      <c r="BI35" s="4" t="s">
        <v>91</v>
      </c>
      <c r="BJ35" s="4" t="s">
        <v>91</v>
      </c>
      <c r="BK35" s="4" t="s">
        <v>85</v>
      </c>
      <c r="BL35" s="4" t="s">
        <v>85</v>
      </c>
      <c r="BM35" s="4" t="s">
        <v>95</v>
      </c>
      <c r="BN35" s="4" t="s">
        <v>96</v>
      </c>
      <c r="BO35" s="6">
        <v>0</v>
      </c>
      <c r="BP35" s="4" t="s">
        <v>85</v>
      </c>
      <c r="BQ35" s="4" t="s">
        <v>85</v>
      </c>
      <c r="BR35" s="4" t="s">
        <v>91</v>
      </c>
      <c r="BS35" s="4" t="s">
        <v>85</v>
      </c>
      <c r="BT35" s="26" t="s">
        <v>388</v>
      </c>
      <c r="BU35" s="26" t="s">
        <v>1246</v>
      </c>
      <c r="BV35" s="26" t="s">
        <v>1226</v>
      </c>
      <c r="BW35" s="19" t="s">
        <v>1234</v>
      </c>
      <c r="BX35" s="19" t="s">
        <v>1245</v>
      </c>
      <c r="BY35" s="19"/>
    </row>
    <row r="36" spans="1:78">
      <c r="A36" s="24">
        <v>45916</v>
      </c>
      <c r="B36" s="24">
        <v>45916</v>
      </c>
      <c r="C36" s="3">
        <v>0.66500000000000004</v>
      </c>
      <c r="D36" s="4" t="s">
        <v>109</v>
      </c>
      <c r="E36" s="24">
        <v>45916</v>
      </c>
      <c r="F36" s="26" t="s">
        <v>210</v>
      </c>
      <c r="G36" s="26" t="s">
        <v>101</v>
      </c>
      <c r="H36" s="26" t="s">
        <v>76</v>
      </c>
      <c r="I36" s="4" t="s">
        <v>211</v>
      </c>
      <c r="J36" s="26">
        <v>1219000660</v>
      </c>
      <c r="K36" s="26" t="str">
        <f>VLOOKUP(J:J,'[2]Inventory Codes'!$B:$D,3,0)</f>
        <v>MDD</v>
      </c>
      <c r="L36" s="26" t="s">
        <v>110</v>
      </c>
      <c r="M36" s="27">
        <v>50000</v>
      </c>
      <c r="N36" s="26" t="s">
        <v>79</v>
      </c>
      <c r="O36" s="26" t="s">
        <v>213</v>
      </c>
      <c r="P36" s="26" t="s">
        <v>85</v>
      </c>
      <c r="Q36" s="5">
        <v>50000</v>
      </c>
      <c r="R36" s="4" t="s">
        <v>85</v>
      </c>
      <c r="S36" s="4" t="s">
        <v>122</v>
      </c>
      <c r="T36" s="83" t="s">
        <v>84</v>
      </c>
      <c r="U36" s="6">
        <v>4344500</v>
      </c>
      <c r="V36" s="4" t="s">
        <v>85</v>
      </c>
      <c r="W36" s="4" t="s">
        <v>85</v>
      </c>
      <c r="X36" s="4" t="s">
        <v>86</v>
      </c>
      <c r="Y36" s="4" t="s">
        <v>87</v>
      </c>
      <c r="Z36" s="4" t="s">
        <v>88</v>
      </c>
      <c r="AA36" s="4" t="s">
        <v>89</v>
      </c>
      <c r="AB36" s="4" t="s">
        <v>85</v>
      </c>
      <c r="AC36" s="4" t="s">
        <v>90</v>
      </c>
      <c r="AD36" s="4" t="s">
        <v>85</v>
      </c>
      <c r="AE36" s="4" t="s">
        <v>85</v>
      </c>
      <c r="AF36" s="4" t="s">
        <v>91</v>
      </c>
      <c r="AG36" s="4" t="s">
        <v>85</v>
      </c>
      <c r="AH36" s="4" t="s">
        <v>91</v>
      </c>
      <c r="AI36" s="5">
        <v>50000</v>
      </c>
      <c r="AJ36" s="4" t="s">
        <v>79</v>
      </c>
      <c r="AK36" s="4" t="s">
        <v>79</v>
      </c>
      <c r="AL36" s="5">
        <v>50000</v>
      </c>
      <c r="AM36" s="4" t="s">
        <v>87</v>
      </c>
      <c r="AN36" s="4" t="s">
        <v>85</v>
      </c>
      <c r="AO36" s="4" t="s">
        <v>85</v>
      </c>
      <c r="AP36" s="4" t="s">
        <v>107</v>
      </c>
      <c r="AQ36" s="4" t="s">
        <v>85</v>
      </c>
      <c r="AR36" s="4" t="s">
        <v>85</v>
      </c>
      <c r="AS36" s="6">
        <v>0</v>
      </c>
      <c r="AT36" s="6">
        <v>0</v>
      </c>
      <c r="AU36" s="4" t="s">
        <v>91</v>
      </c>
      <c r="AV36" s="4" t="s">
        <v>85</v>
      </c>
      <c r="AW36" s="4" t="s">
        <v>91</v>
      </c>
      <c r="AX36" s="4" t="s">
        <v>91</v>
      </c>
      <c r="AY36" s="4" t="s">
        <v>85</v>
      </c>
      <c r="AZ36" s="4" t="s">
        <v>93</v>
      </c>
      <c r="BA36" s="4" t="s">
        <v>85</v>
      </c>
      <c r="BB36" s="4" t="s">
        <v>85</v>
      </c>
      <c r="BC36" s="4" t="s">
        <v>91</v>
      </c>
      <c r="BD36" s="4" t="s">
        <v>79</v>
      </c>
      <c r="BE36" s="4" t="s">
        <v>94</v>
      </c>
      <c r="BF36" s="4" t="s">
        <v>85</v>
      </c>
      <c r="BG36" s="4" t="s">
        <v>85</v>
      </c>
      <c r="BH36" s="4" t="s">
        <v>85</v>
      </c>
      <c r="BI36" s="4" t="s">
        <v>91</v>
      </c>
      <c r="BJ36" s="4" t="s">
        <v>91</v>
      </c>
      <c r="BK36" s="4" t="s">
        <v>85</v>
      </c>
      <c r="BL36" s="4" t="s">
        <v>85</v>
      </c>
      <c r="BM36" s="4" t="s">
        <v>95</v>
      </c>
      <c r="BN36" s="4" t="s">
        <v>96</v>
      </c>
      <c r="BO36" s="6">
        <v>0</v>
      </c>
      <c r="BP36" s="4" t="s">
        <v>85</v>
      </c>
      <c r="BQ36" s="4" t="s">
        <v>85</v>
      </c>
      <c r="BR36" s="4" t="s">
        <v>91</v>
      </c>
      <c r="BS36" s="4" t="s">
        <v>85</v>
      </c>
      <c r="BT36" s="26" t="s">
        <v>388</v>
      </c>
      <c r="BU36" s="26" t="s">
        <v>1246</v>
      </c>
      <c r="BV36" s="26" t="s">
        <v>1226</v>
      </c>
      <c r="BW36" s="19" t="s">
        <v>1234</v>
      </c>
      <c r="BX36" s="19" t="s">
        <v>1245</v>
      </c>
      <c r="BY36" s="19"/>
    </row>
    <row r="37" spans="1:78">
      <c r="A37" s="32">
        <v>45930</v>
      </c>
      <c r="B37" s="32">
        <v>45930</v>
      </c>
      <c r="C37" s="3">
        <v>0.45704861111111</v>
      </c>
      <c r="D37" s="4" t="s">
        <v>214</v>
      </c>
      <c r="E37" s="32">
        <v>45930</v>
      </c>
      <c r="F37" s="34" t="s">
        <v>215</v>
      </c>
      <c r="G37" s="34" t="s">
        <v>216</v>
      </c>
      <c r="H37" s="34" t="s">
        <v>76</v>
      </c>
      <c r="I37" s="4" t="s">
        <v>217</v>
      </c>
      <c r="J37" s="34">
        <v>1219001017</v>
      </c>
      <c r="K37" s="34" t="str">
        <f>VLOOKUP(J:J,'[2]Inventory Codes'!$B:$D,3,0)</f>
        <v>CC</v>
      </c>
      <c r="L37" s="34" t="s">
        <v>218</v>
      </c>
      <c r="M37" s="35">
        <v>2873</v>
      </c>
      <c r="N37" s="34" t="s">
        <v>219</v>
      </c>
      <c r="O37" s="34" t="s">
        <v>220</v>
      </c>
      <c r="P37" s="34" t="s">
        <v>85</v>
      </c>
      <c r="Q37" s="5">
        <v>2873</v>
      </c>
      <c r="R37" s="4" t="s">
        <v>85</v>
      </c>
      <c r="S37" s="4" t="s">
        <v>122</v>
      </c>
      <c r="T37" s="83" t="s">
        <v>106</v>
      </c>
      <c r="U37" s="6">
        <v>4308695.5599999996</v>
      </c>
      <c r="V37" s="4" t="s">
        <v>85</v>
      </c>
      <c r="W37" s="4" t="s">
        <v>85</v>
      </c>
      <c r="X37" s="4" t="s">
        <v>86</v>
      </c>
      <c r="Y37" s="4" t="s">
        <v>87</v>
      </c>
      <c r="Z37" s="4" t="s">
        <v>88</v>
      </c>
      <c r="AA37" s="4" t="s">
        <v>89</v>
      </c>
      <c r="AB37" s="4" t="s">
        <v>85</v>
      </c>
      <c r="AC37" s="4" t="s">
        <v>98</v>
      </c>
      <c r="AD37" s="4" t="s">
        <v>85</v>
      </c>
      <c r="AE37" s="4" t="s">
        <v>85</v>
      </c>
      <c r="AF37" s="4" t="s">
        <v>91</v>
      </c>
      <c r="AG37" s="4" t="s">
        <v>85</v>
      </c>
      <c r="AH37" s="4" t="s">
        <v>91</v>
      </c>
      <c r="AI37" s="5">
        <v>2873</v>
      </c>
      <c r="AJ37" s="4" t="s">
        <v>219</v>
      </c>
      <c r="AK37" s="4" t="s">
        <v>219</v>
      </c>
      <c r="AL37" s="5">
        <v>2873</v>
      </c>
      <c r="AM37" s="4" t="s">
        <v>87</v>
      </c>
      <c r="AN37" s="4" t="s">
        <v>85</v>
      </c>
      <c r="AO37" s="4" t="s">
        <v>85</v>
      </c>
      <c r="AP37" s="4" t="s">
        <v>118</v>
      </c>
      <c r="AQ37" s="4" t="s">
        <v>85</v>
      </c>
      <c r="AR37" s="4" t="s">
        <v>85</v>
      </c>
      <c r="AS37" s="6">
        <v>0</v>
      </c>
      <c r="AT37" s="6">
        <v>0</v>
      </c>
      <c r="AU37" s="4" t="s">
        <v>91</v>
      </c>
      <c r="AV37" s="4" t="s">
        <v>85</v>
      </c>
      <c r="AW37" s="4" t="s">
        <v>91</v>
      </c>
      <c r="AX37" s="4" t="s">
        <v>91</v>
      </c>
      <c r="AY37" s="4" t="s">
        <v>85</v>
      </c>
      <c r="AZ37" s="4" t="s">
        <v>93</v>
      </c>
      <c r="BA37" s="4" t="s">
        <v>85</v>
      </c>
      <c r="BB37" s="4" t="s">
        <v>85</v>
      </c>
      <c r="BC37" s="4" t="s">
        <v>91</v>
      </c>
      <c r="BD37" s="4" t="s">
        <v>219</v>
      </c>
      <c r="BE37" s="4" t="s">
        <v>94</v>
      </c>
      <c r="BF37" s="4" t="s">
        <v>85</v>
      </c>
      <c r="BG37" s="4" t="s">
        <v>85</v>
      </c>
      <c r="BH37" s="4" t="s">
        <v>85</v>
      </c>
      <c r="BI37" s="4" t="s">
        <v>91</v>
      </c>
      <c r="BJ37" s="4" t="s">
        <v>91</v>
      </c>
      <c r="BK37" s="4" t="s">
        <v>85</v>
      </c>
      <c r="BL37" s="4" t="s">
        <v>85</v>
      </c>
      <c r="BM37" s="4" t="s">
        <v>95</v>
      </c>
      <c r="BN37" s="4" t="s">
        <v>96</v>
      </c>
      <c r="BO37" s="6">
        <v>0</v>
      </c>
      <c r="BP37" s="4" t="s">
        <v>85</v>
      </c>
      <c r="BQ37" s="4" t="s">
        <v>85</v>
      </c>
      <c r="BR37" s="4" t="s">
        <v>91</v>
      </c>
      <c r="BS37" s="4" t="s">
        <v>85</v>
      </c>
      <c r="BT37" s="34" t="s">
        <v>388</v>
      </c>
      <c r="BU37" s="34"/>
      <c r="BV37" s="34" t="s">
        <v>1222</v>
      </c>
      <c r="BW37" s="37" t="s">
        <v>1247</v>
      </c>
      <c r="BX37" s="37" t="s">
        <v>1245</v>
      </c>
      <c r="BY37" s="37"/>
      <c r="BZ37" t="s">
        <v>391</v>
      </c>
    </row>
    <row r="38" spans="1:78">
      <c r="A38" s="32">
        <v>45930</v>
      </c>
      <c r="B38" s="32">
        <v>45930</v>
      </c>
      <c r="C38" s="3">
        <v>0.45704861111111</v>
      </c>
      <c r="D38" s="4" t="s">
        <v>214</v>
      </c>
      <c r="E38" s="32">
        <v>45930</v>
      </c>
      <c r="F38" s="34" t="s">
        <v>215</v>
      </c>
      <c r="G38" s="34" t="s">
        <v>216</v>
      </c>
      <c r="H38" s="34" t="s">
        <v>76</v>
      </c>
      <c r="I38" s="4" t="s">
        <v>217</v>
      </c>
      <c r="J38" s="34">
        <v>1219001017</v>
      </c>
      <c r="K38" s="34" t="str">
        <f>VLOOKUP(J:J,'[2]Inventory Codes'!$B:$D,3,0)</f>
        <v>CC</v>
      </c>
      <c r="L38" s="34" t="s">
        <v>218</v>
      </c>
      <c r="M38" s="35">
        <v>1534</v>
      </c>
      <c r="N38" s="34" t="s">
        <v>219</v>
      </c>
      <c r="O38" s="34" t="s">
        <v>221</v>
      </c>
      <c r="P38" s="34" t="s">
        <v>85</v>
      </c>
      <c r="Q38" s="5">
        <v>1534</v>
      </c>
      <c r="R38" s="4" t="s">
        <v>85</v>
      </c>
      <c r="S38" s="4" t="s">
        <v>122</v>
      </c>
      <c r="T38" s="83" t="s">
        <v>106</v>
      </c>
      <c r="U38" s="6">
        <v>2300570.48</v>
      </c>
      <c r="V38" s="4" t="s">
        <v>85</v>
      </c>
      <c r="W38" s="4" t="s">
        <v>85</v>
      </c>
      <c r="X38" s="4" t="s">
        <v>86</v>
      </c>
      <c r="Y38" s="4" t="s">
        <v>87</v>
      </c>
      <c r="Z38" s="4" t="s">
        <v>88</v>
      </c>
      <c r="AA38" s="4" t="s">
        <v>89</v>
      </c>
      <c r="AB38" s="4" t="s">
        <v>85</v>
      </c>
      <c r="AC38" s="4" t="s">
        <v>90</v>
      </c>
      <c r="AD38" s="4" t="s">
        <v>85</v>
      </c>
      <c r="AE38" s="4" t="s">
        <v>85</v>
      </c>
      <c r="AF38" s="4" t="s">
        <v>91</v>
      </c>
      <c r="AG38" s="4" t="s">
        <v>85</v>
      </c>
      <c r="AH38" s="4" t="s">
        <v>91</v>
      </c>
      <c r="AI38" s="5">
        <v>1534</v>
      </c>
      <c r="AJ38" s="4" t="s">
        <v>219</v>
      </c>
      <c r="AK38" s="4" t="s">
        <v>219</v>
      </c>
      <c r="AL38" s="5">
        <v>1534</v>
      </c>
      <c r="AM38" s="4" t="s">
        <v>87</v>
      </c>
      <c r="AN38" s="4" t="s">
        <v>85</v>
      </c>
      <c r="AO38" s="4" t="s">
        <v>85</v>
      </c>
      <c r="AP38" s="4" t="s">
        <v>118</v>
      </c>
      <c r="AQ38" s="4" t="s">
        <v>85</v>
      </c>
      <c r="AR38" s="4" t="s">
        <v>85</v>
      </c>
      <c r="AS38" s="6">
        <v>0</v>
      </c>
      <c r="AT38" s="6">
        <v>0</v>
      </c>
      <c r="AU38" s="4" t="s">
        <v>91</v>
      </c>
      <c r="AV38" s="4" t="s">
        <v>85</v>
      </c>
      <c r="AW38" s="4" t="s">
        <v>91</v>
      </c>
      <c r="AX38" s="4" t="s">
        <v>91</v>
      </c>
      <c r="AY38" s="4" t="s">
        <v>85</v>
      </c>
      <c r="AZ38" s="4" t="s">
        <v>93</v>
      </c>
      <c r="BA38" s="4" t="s">
        <v>85</v>
      </c>
      <c r="BB38" s="4" t="s">
        <v>85</v>
      </c>
      <c r="BC38" s="4" t="s">
        <v>91</v>
      </c>
      <c r="BD38" s="4" t="s">
        <v>219</v>
      </c>
      <c r="BE38" s="4" t="s">
        <v>94</v>
      </c>
      <c r="BF38" s="4" t="s">
        <v>85</v>
      </c>
      <c r="BG38" s="4" t="s">
        <v>85</v>
      </c>
      <c r="BH38" s="4" t="s">
        <v>85</v>
      </c>
      <c r="BI38" s="4" t="s">
        <v>91</v>
      </c>
      <c r="BJ38" s="4" t="s">
        <v>91</v>
      </c>
      <c r="BK38" s="4" t="s">
        <v>85</v>
      </c>
      <c r="BL38" s="4" t="s">
        <v>85</v>
      </c>
      <c r="BM38" s="4" t="s">
        <v>95</v>
      </c>
      <c r="BN38" s="4" t="s">
        <v>96</v>
      </c>
      <c r="BO38" s="6">
        <v>0</v>
      </c>
      <c r="BP38" s="4" t="s">
        <v>85</v>
      </c>
      <c r="BQ38" s="4" t="s">
        <v>85</v>
      </c>
      <c r="BR38" s="4" t="s">
        <v>91</v>
      </c>
      <c r="BS38" s="4" t="s">
        <v>85</v>
      </c>
      <c r="BT38" s="34" t="s">
        <v>388</v>
      </c>
      <c r="BU38" s="34"/>
      <c r="BV38" s="34" t="s">
        <v>1222</v>
      </c>
      <c r="BW38" s="37" t="s">
        <v>1247</v>
      </c>
      <c r="BX38" s="37" t="s">
        <v>1245</v>
      </c>
      <c r="BY38" s="37"/>
      <c r="BZ38" t="s">
        <v>391</v>
      </c>
    </row>
    <row r="39" spans="1:78">
      <c r="A39" s="32">
        <v>45930</v>
      </c>
      <c r="B39" s="32">
        <v>45930</v>
      </c>
      <c r="C39" s="3">
        <v>0.45704861111111</v>
      </c>
      <c r="D39" s="4" t="s">
        <v>214</v>
      </c>
      <c r="E39" s="32">
        <v>45930</v>
      </c>
      <c r="F39" s="34" t="s">
        <v>215</v>
      </c>
      <c r="G39" s="34" t="s">
        <v>216</v>
      </c>
      <c r="H39" s="34" t="s">
        <v>76</v>
      </c>
      <c r="I39" s="4" t="s">
        <v>217</v>
      </c>
      <c r="J39" s="34">
        <v>1219001017</v>
      </c>
      <c r="K39" s="34" t="str">
        <f>VLOOKUP(J:J,'[2]Inventory Codes'!$B:$D,3,0)</f>
        <v>CC</v>
      </c>
      <c r="L39" s="34" t="s">
        <v>218</v>
      </c>
      <c r="M39" s="35">
        <v>2795</v>
      </c>
      <c r="N39" s="34" t="s">
        <v>219</v>
      </c>
      <c r="O39" s="34" t="s">
        <v>222</v>
      </c>
      <c r="P39" s="34" t="s">
        <v>85</v>
      </c>
      <c r="Q39" s="5">
        <v>2795</v>
      </c>
      <c r="R39" s="4" t="s">
        <v>85</v>
      </c>
      <c r="S39" s="4" t="s">
        <v>122</v>
      </c>
      <c r="T39" s="83" t="s">
        <v>106</v>
      </c>
      <c r="U39" s="6">
        <v>4191717.4</v>
      </c>
      <c r="V39" s="4" t="s">
        <v>85</v>
      </c>
      <c r="W39" s="4" t="s">
        <v>85</v>
      </c>
      <c r="X39" s="4" t="s">
        <v>86</v>
      </c>
      <c r="Y39" s="4" t="s">
        <v>87</v>
      </c>
      <c r="Z39" s="4" t="s">
        <v>88</v>
      </c>
      <c r="AA39" s="4" t="s">
        <v>89</v>
      </c>
      <c r="AB39" s="4" t="s">
        <v>85</v>
      </c>
      <c r="AC39" s="4" t="s">
        <v>112</v>
      </c>
      <c r="AD39" s="4" t="s">
        <v>85</v>
      </c>
      <c r="AE39" s="4" t="s">
        <v>85</v>
      </c>
      <c r="AF39" s="4" t="s">
        <v>91</v>
      </c>
      <c r="AG39" s="4" t="s">
        <v>85</v>
      </c>
      <c r="AH39" s="4" t="s">
        <v>91</v>
      </c>
      <c r="AI39" s="5">
        <v>2795</v>
      </c>
      <c r="AJ39" s="4" t="s">
        <v>219</v>
      </c>
      <c r="AK39" s="4" t="s">
        <v>219</v>
      </c>
      <c r="AL39" s="5">
        <v>2795</v>
      </c>
      <c r="AM39" s="4" t="s">
        <v>87</v>
      </c>
      <c r="AN39" s="4" t="s">
        <v>85</v>
      </c>
      <c r="AO39" s="4" t="s">
        <v>85</v>
      </c>
      <c r="AP39" s="4" t="s">
        <v>118</v>
      </c>
      <c r="AQ39" s="4" t="s">
        <v>85</v>
      </c>
      <c r="AR39" s="4" t="s">
        <v>85</v>
      </c>
      <c r="AS39" s="6">
        <v>0</v>
      </c>
      <c r="AT39" s="6">
        <v>0</v>
      </c>
      <c r="AU39" s="4" t="s">
        <v>91</v>
      </c>
      <c r="AV39" s="4" t="s">
        <v>85</v>
      </c>
      <c r="AW39" s="4" t="s">
        <v>91</v>
      </c>
      <c r="AX39" s="4" t="s">
        <v>91</v>
      </c>
      <c r="AY39" s="4" t="s">
        <v>85</v>
      </c>
      <c r="AZ39" s="4" t="s">
        <v>93</v>
      </c>
      <c r="BA39" s="4" t="s">
        <v>85</v>
      </c>
      <c r="BB39" s="4" t="s">
        <v>85</v>
      </c>
      <c r="BC39" s="4" t="s">
        <v>91</v>
      </c>
      <c r="BD39" s="4" t="s">
        <v>219</v>
      </c>
      <c r="BE39" s="4" t="s">
        <v>94</v>
      </c>
      <c r="BF39" s="4" t="s">
        <v>85</v>
      </c>
      <c r="BG39" s="4" t="s">
        <v>85</v>
      </c>
      <c r="BH39" s="4" t="s">
        <v>85</v>
      </c>
      <c r="BI39" s="4" t="s">
        <v>91</v>
      </c>
      <c r="BJ39" s="4" t="s">
        <v>91</v>
      </c>
      <c r="BK39" s="4" t="s">
        <v>85</v>
      </c>
      <c r="BL39" s="4" t="s">
        <v>85</v>
      </c>
      <c r="BM39" s="4" t="s">
        <v>95</v>
      </c>
      <c r="BN39" s="4" t="s">
        <v>96</v>
      </c>
      <c r="BO39" s="6">
        <v>0</v>
      </c>
      <c r="BP39" s="4" t="s">
        <v>85</v>
      </c>
      <c r="BQ39" s="4" t="s">
        <v>85</v>
      </c>
      <c r="BR39" s="4" t="s">
        <v>91</v>
      </c>
      <c r="BS39" s="4" t="s">
        <v>85</v>
      </c>
      <c r="BT39" s="34" t="s">
        <v>388</v>
      </c>
      <c r="BU39" s="34"/>
      <c r="BV39" s="34" t="s">
        <v>1222</v>
      </c>
      <c r="BW39" s="37" t="s">
        <v>1247</v>
      </c>
      <c r="BX39" s="37" t="s">
        <v>1245</v>
      </c>
      <c r="BY39" s="37"/>
      <c r="BZ39" t="s">
        <v>391</v>
      </c>
    </row>
    <row r="40" spans="1:78">
      <c r="A40" s="32">
        <v>45930</v>
      </c>
      <c r="B40" s="32">
        <v>45930</v>
      </c>
      <c r="C40" s="3">
        <v>0.45704861111111</v>
      </c>
      <c r="D40" s="4" t="s">
        <v>214</v>
      </c>
      <c r="E40" s="32">
        <v>45930</v>
      </c>
      <c r="F40" s="34" t="s">
        <v>215</v>
      </c>
      <c r="G40" s="34" t="s">
        <v>216</v>
      </c>
      <c r="H40" s="34" t="s">
        <v>76</v>
      </c>
      <c r="I40" s="4" t="s">
        <v>217</v>
      </c>
      <c r="J40" s="34">
        <v>1219001017</v>
      </c>
      <c r="K40" s="34" t="str">
        <f>VLOOKUP(J:J,'[2]Inventory Codes'!$B:$D,3,0)</f>
        <v>CC</v>
      </c>
      <c r="L40" s="34" t="s">
        <v>218</v>
      </c>
      <c r="M40" s="35">
        <v>1391</v>
      </c>
      <c r="N40" s="34" t="s">
        <v>219</v>
      </c>
      <c r="O40" s="34" t="s">
        <v>223</v>
      </c>
      <c r="P40" s="34" t="s">
        <v>85</v>
      </c>
      <c r="Q40" s="5">
        <v>1391</v>
      </c>
      <c r="R40" s="4" t="s">
        <v>85</v>
      </c>
      <c r="S40" s="4" t="s">
        <v>122</v>
      </c>
      <c r="T40" s="83" t="s">
        <v>106</v>
      </c>
      <c r="U40" s="6">
        <v>2086110.52</v>
      </c>
      <c r="V40" s="4" t="s">
        <v>85</v>
      </c>
      <c r="W40" s="4" t="s">
        <v>85</v>
      </c>
      <c r="X40" s="4" t="s">
        <v>86</v>
      </c>
      <c r="Y40" s="4" t="s">
        <v>87</v>
      </c>
      <c r="Z40" s="4" t="s">
        <v>88</v>
      </c>
      <c r="AA40" s="4" t="s">
        <v>89</v>
      </c>
      <c r="AB40" s="4" t="s">
        <v>85</v>
      </c>
      <c r="AC40" s="4" t="s">
        <v>134</v>
      </c>
      <c r="AD40" s="4" t="s">
        <v>85</v>
      </c>
      <c r="AE40" s="4" t="s">
        <v>85</v>
      </c>
      <c r="AF40" s="4" t="s">
        <v>91</v>
      </c>
      <c r="AG40" s="4" t="s">
        <v>85</v>
      </c>
      <c r="AH40" s="4" t="s">
        <v>91</v>
      </c>
      <c r="AI40" s="5">
        <v>1391</v>
      </c>
      <c r="AJ40" s="4" t="s">
        <v>219</v>
      </c>
      <c r="AK40" s="4" t="s">
        <v>219</v>
      </c>
      <c r="AL40" s="5">
        <v>1391</v>
      </c>
      <c r="AM40" s="4" t="s">
        <v>87</v>
      </c>
      <c r="AN40" s="4" t="s">
        <v>85</v>
      </c>
      <c r="AO40" s="4" t="s">
        <v>85</v>
      </c>
      <c r="AP40" s="4" t="s">
        <v>118</v>
      </c>
      <c r="AQ40" s="4" t="s">
        <v>85</v>
      </c>
      <c r="AR40" s="4" t="s">
        <v>85</v>
      </c>
      <c r="AS40" s="6">
        <v>0</v>
      </c>
      <c r="AT40" s="6">
        <v>0</v>
      </c>
      <c r="AU40" s="4" t="s">
        <v>91</v>
      </c>
      <c r="AV40" s="4" t="s">
        <v>85</v>
      </c>
      <c r="AW40" s="4" t="s">
        <v>91</v>
      </c>
      <c r="AX40" s="4" t="s">
        <v>91</v>
      </c>
      <c r="AY40" s="4" t="s">
        <v>85</v>
      </c>
      <c r="AZ40" s="4" t="s">
        <v>93</v>
      </c>
      <c r="BA40" s="4" t="s">
        <v>85</v>
      </c>
      <c r="BB40" s="4" t="s">
        <v>85</v>
      </c>
      <c r="BC40" s="4" t="s">
        <v>91</v>
      </c>
      <c r="BD40" s="4" t="s">
        <v>219</v>
      </c>
      <c r="BE40" s="4" t="s">
        <v>94</v>
      </c>
      <c r="BF40" s="4" t="s">
        <v>85</v>
      </c>
      <c r="BG40" s="4" t="s">
        <v>85</v>
      </c>
      <c r="BH40" s="4" t="s">
        <v>85</v>
      </c>
      <c r="BI40" s="4" t="s">
        <v>91</v>
      </c>
      <c r="BJ40" s="4" t="s">
        <v>91</v>
      </c>
      <c r="BK40" s="4" t="s">
        <v>85</v>
      </c>
      <c r="BL40" s="4" t="s">
        <v>85</v>
      </c>
      <c r="BM40" s="4" t="s">
        <v>95</v>
      </c>
      <c r="BN40" s="4" t="s">
        <v>96</v>
      </c>
      <c r="BO40" s="6">
        <v>0</v>
      </c>
      <c r="BP40" s="4" t="s">
        <v>85</v>
      </c>
      <c r="BQ40" s="4" t="s">
        <v>85</v>
      </c>
      <c r="BR40" s="4" t="s">
        <v>91</v>
      </c>
      <c r="BS40" s="4" t="s">
        <v>85</v>
      </c>
      <c r="BT40" s="34" t="s">
        <v>388</v>
      </c>
      <c r="BU40" s="34"/>
      <c r="BV40" s="34" t="s">
        <v>1222</v>
      </c>
      <c r="BW40" s="37" t="s">
        <v>1247</v>
      </c>
      <c r="BX40" s="37" t="s">
        <v>1245</v>
      </c>
      <c r="BY40" s="37"/>
      <c r="BZ40" t="s">
        <v>391</v>
      </c>
    </row>
    <row r="41" spans="1:78">
      <c r="A41" s="32">
        <v>45930</v>
      </c>
      <c r="B41" s="32">
        <v>45930</v>
      </c>
      <c r="C41" s="3">
        <v>0.45704861111111</v>
      </c>
      <c r="D41" s="4" t="s">
        <v>214</v>
      </c>
      <c r="E41" s="32">
        <v>45930</v>
      </c>
      <c r="F41" s="34" t="s">
        <v>215</v>
      </c>
      <c r="G41" s="34" t="s">
        <v>216</v>
      </c>
      <c r="H41" s="34" t="s">
        <v>76</v>
      </c>
      <c r="I41" s="4" t="s">
        <v>217</v>
      </c>
      <c r="J41" s="34">
        <v>1219001017</v>
      </c>
      <c r="K41" s="34" t="str">
        <f>VLOOKUP(J:J,'[2]Inventory Codes'!$B:$D,3,0)</f>
        <v>CC</v>
      </c>
      <c r="L41" s="34" t="s">
        <v>218</v>
      </c>
      <c r="M41" s="35">
        <v>2886</v>
      </c>
      <c r="N41" s="34" t="s">
        <v>219</v>
      </c>
      <c r="O41" s="34" t="s">
        <v>224</v>
      </c>
      <c r="P41" s="34" t="s">
        <v>85</v>
      </c>
      <c r="Q41" s="5">
        <v>2886</v>
      </c>
      <c r="R41" s="4" t="s">
        <v>85</v>
      </c>
      <c r="S41" s="4" t="s">
        <v>122</v>
      </c>
      <c r="T41" s="83" t="s">
        <v>106</v>
      </c>
      <c r="U41" s="6">
        <v>4328191.92</v>
      </c>
      <c r="V41" s="4" t="s">
        <v>85</v>
      </c>
      <c r="W41" s="4" t="s">
        <v>85</v>
      </c>
      <c r="X41" s="4" t="s">
        <v>86</v>
      </c>
      <c r="Y41" s="4" t="s">
        <v>87</v>
      </c>
      <c r="Z41" s="4" t="s">
        <v>88</v>
      </c>
      <c r="AA41" s="4" t="s">
        <v>89</v>
      </c>
      <c r="AB41" s="4" t="s">
        <v>85</v>
      </c>
      <c r="AC41" s="4" t="s">
        <v>131</v>
      </c>
      <c r="AD41" s="4" t="s">
        <v>85</v>
      </c>
      <c r="AE41" s="4" t="s">
        <v>85</v>
      </c>
      <c r="AF41" s="4" t="s">
        <v>91</v>
      </c>
      <c r="AG41" s="4" t="s">
        <v>85</v>
      </c>
      <c r="AH41" s="4" t="s">
        <v>91</v>
      </c>
      <c r="AI41" s="5">
        <v>2886</v>
      </c>
      <c r="AJ41" s="4" t="s">
        <v>219</v>
      </c>
      <c r="AK41" s="4" t="s">
        <v>219</v>
      </c>
      <c r="AL41" s="5">
        <v>2886</v>
      </c>
      <c r="AM41" s="4" t="s">
        <v>87</v>
      </c>
      <c r="AN41" s="4" t="s">
        <v>85</v>
      </c>
      <c r="AO41" s="4" t="s">
        <v>85</v>
      </c>
      <c r="AP41" s="4" t="s">
        <v>118</v>
      </c>
      <c r="AQ41" s="4" t="s">
        <v>85</v>
      </c>
      <c r="AR41" s="4" t="s">
        <v>85</v>
      </c>
      <c r="AS41" s="6">
        <v>0</v>
      </c>
      <c r="AT41" s="6">
        <v>0</v>
      </c>
      <c r="AU41" s="4" t="s">
        <v>91</v>
      </c>
      <c r="AV41" s="4" t="s">
        <v>85</v>
      </c>
      <c r="AW41" s="4" t="s">
        <v>91</v>
      </c>
      <c r="AX41" s="4" t="s">
        <v>91</v>
      </c>
      <c r="AY41" s="4" t="s">
        <v>85</v>
      </c>
      <c r="AZ41" s="4" t="s">
        <v>93</v>
      </c>
      <c r="BA41" s="4" t="s">
        <v>85</v>
      </c>
      <c r="BB41" s="4" t="s">
        <v>85</v>
      </c>
      <c r="BC41" s="4" t="s">
        <v>91</v>
      </c>
      <c r="BD41" s="4" t="s">
        <v>219</v>
      </c>
      <c r="BE41" s="4" t="s">
        <v>94</v>
      </c>
      <c r="BF41" s="4" t="s">
        <v>85</v>
      </c>
      <c r="BG41" s="4" t="s">
        <v>85</v>
      </c>
      <c r="BH41" s="4" t="s">
        <v>85</v>
      </c>
      <c r="BI41" s="4" t="s">
        <v>91</v>
      </c>
      <c r="BJ41" s="4" t="s">
        <v>91</v>
      </c>
      <c r="BK41" s="4" t="s">
        <v>85</v>
      </c>
      <c r="BL41" s="4" t="s">
        <v>85</v>
      </c>
      <c r="BM41" s="4" t="s">
        <v>95</v>
      </c>
      <c r="BN41" s="4" t="s">
        <v>96</v>
      </c>
      <c r="BO41" s="6">
        <v>0</v>
      </c>
      <c r="BP41" s="4" t="s">
        <v>85</v>
      </c>
      <c r="BQ41" s="4" t="s">
        <v>85</v>
      </c>
      <c r="BR41" s="4" t="s">
        <v>91</v>
      </c>
      <c r="BS41" s="4" t="s">
        <v>85</v>
      </c>
      <c r="BT41" s="34" t="s">
        <v>388</v>
      </c>
      <c r="BU41" s="34"/>
      <c r="BV41" s="34" t="s">
        <v>1222</v>
      </c>
      <c r="BW41" s="37" t="s">
        <v>1247</v>
      </c>
      <c r="BX41" s="37" t="s">
        <v>1245</v>
      </c>
      <c r="BY41" s="37"/>
      <c r="BZ41" t="s">
        <v>391</v>
      </c>
    </row>
    <row r="42" spans="1:78">
      <c r="A42" s="32">
        <v>45930</v>
      </c>
      <c r="B42" s="32">
        <v>45930</v>
      </c>
      <c r="C42" s="3">
        <v>0.45704861111111</v>
      </c>
      <c r="D42" s="4" t="s">
        <v>214</v>
      </c>
      <c r="E42" s="32">
        <v>45930</v>
      </c>
      <c r="F42" s="34" t="s">
        <v>215</v>
      </c>
      <c r="G42" s="34" t="s">
        <v>216</v>
      </c>
      <c r="H42" s="34" t="s">
        <v>76</v>
      </c>
      <c r="I42" s="4" t="s">
        <v>217</v>
      </c>
      <c r="J42" s="34">
        <v>1219001017</v>
      </c>
      <c r="K42" s="34" t="str">
        <f>VLOOKUP(J:J,'[2]Inventory Codes'!$B:$D,3,0)</f>
        <v>CC</v>
      </c>
      <c r="L42" s="34" t="s">
        <v>218</v>
      </c>
      <c r="M42" s="35">
        <v>572</v>
      </c>
      <c r="N42" s="34" t="s">
        <v>219</v>
      </c>
      <c r="O42" s="34" t="s">
        <v>225</v>
      </c>
      <c r="P42" s="34" t="s">
        <v>85</v>
      </c>
      <c r="Q42" s="5">
        <v>572</v>
      </c>
      <c r="R42" s="4" t="s">
        <v>85</v>
      </c>
      <c r="S42" s="4" t="s">
        <v>122</v>
      </c>
      <c r="T42" s="83" t="s">
        <v>106</v>
      </c>
      <c r="U42" s="6">
        <v>857839.84</v>
      </c>
      <c r="V42" s="4" t="s">
        <v>85</v>
      </c>
      <c r="W42" s="4" t="s">
        <v>85</v>
      </c>
      <c r="X42" s="4" t="s">
        <v>86</v>
      </c>
      <c r="Y42" s="4" t="s">
        <v>87</v>
      </c>
      <c r="Z42" s="4" t="s">
        <v>88</v>
      </c>
      <c r="AA42" s="4" t="s">
        <v>89</v>
      </c>
      <c r="AB42" s="4" t="s">
        <v>85</v>
      </c>
      <c r="AC42" s="4" t="s">
        <v>126</v>
      </c>
      <c r="AD42" s="4" t="s">
        <v>85</v>
      </c>
      <c r="AE42" s="4" t="s">
        <v>85</v>
      </c>
      <c r="AF42" s="4" t="s">
        <v>91</v>
      </c>
      <c r="AG42" s="4" t="s">
        <v>85</v>
      </c>
      <c r="AH42" s="4" t="s">
        <v>91</v>
      </c>
      <c r="AI42" s="5">
        <v>572</v>
      </c>
      <c r="AJ42" s="4" t="s">
        <v>219</v>
      </c>
      <c r="AK42" s="4" t="s">
        <v>219</v>
      </c>
      <c r="AL42" s="5">
        <v>572</v>
      </c>
      <c r="AM42" s="4" t="s">
        <v>87</v>
      </c>
      <c r="AN42" s="4" t="s">
        <v>85</v>
      </c>
      <c r="AO42" s="4" t="s">
        <v>85</v>
      </c>
      <c r="AP42" s="4" t="s">
        <v>118</v>
      </c>
      <c r="AQ42" s="4" t="s">
        <v>85</v>
      </c>
      <c r="AR42" s="4" t="s">
        <v>85</v>
      </c>
      <c r="AS42" s="6">
        <v>0</v>
      </c>
      <c r="AT42" s="6">
        <v>0</v>
      </c>
      <c r="AU42" s="4" t="s">
        <v>91</v>
      </c>
      <c r="AV42" s="4" t="s">
        <v>85</v>
      </c>
      <c r="AW42" s="4" t="s">
        <v>91</v>
      </c>
      <c r="AX42" s="4" t="s">
        <v>91</v>
      </c>
      <c r="AY42" s="4" t="s">
        <v>85</v>
      </c>
      <c r="AZ42" s="4" t="s">
        <v>93</v>
      </c>
      <c r="BA42" s="4" t="s">
        <v>85</v>
      </c>
      <c r="BB42" s="4" t="s">
        <v>85</v>
      </c>
      <c r="BC42" s="4" t="s">
        <v>91</v>
      </c>
      <c r="BD42" s="4" t="s">
        <v>219</v>
      </c>
      <c r="BE42" s="4" t="s">
        <v>94</v>
      </c>
      <c r="BF42" s="4" t="s">
        <v>85</v>
      </c>
      <c r="BG42" s="4" t="s">
        <v>85</v>
      </c>
      <c r="BH42" s="4" t="s">
        <v>85</v>
      </c>
      <c r="BI42" s="4" t="s">
        <v>91</v>
      </c>
      <c r="BJ42" s="4" t="s">
        <v>91</v>
      </c>
      <c r="BK42" s="4" t="s">
        <v>85</v>
      </c>
      <c r="BL42" s="4" t="s">
        <v>85</v>
      </c>
      <c r="BM42" s="4" t="s">
        <v>95</v>
      </c>
      <c r="BN42" s="4" t="s">
        <v>96</v>
      </c>
      <c r="BO42" s="6">
        <v>0</v>
      </c>
      <c r="BP42" s="4" t="s">
        <v>85</v>
      </c>
      <c r="BQ42" s="4" t="s">
        <v>85</v>
      </c>
      <c r="BR42" s="4" t="s">
        <v>91</v>
      </c>
      <c r="BS42" s="4" t="s">
        <v>85</v>
      </c>
      <c r="BT42" s="34" t="s">
        <v>388</v>
      </c>
      <c r="BU42" s="34"/>
      <c r="BV42" s="34" t="s">
        <v>1222</v>
      </c>
      <c r="BW42" s="37" t="s">
        <v>1247</v>
      </c>
      <c r="BX42" s="37" t="s">
        <v>1245</v>
      </c>
      <c r="BY42" s="37"/>
      <c r="BZ42" t="s">
        <v>391</v>
      </c>
    </row>
    <row r="43" spans="1:78">
      <c r="A43" s="24">
        <v>45946</v>
      </c>
      <c r="B43" s="24">
        <v>45946</v>
      </c>
      <c r="C43" s="3">
        <v>0.41333333333333</v>
      </c>
      <c r="D43" s="4" t="s">
        <v>99</v>
      </c>
      <c r="E43" s="24">
        <v>45946</v>
      </c>
      <c r="F43" s="26" t="s">
        <v>227</v>
      </c>
      <c r="G43" s="26" t="s">
        <v>101</v>
      </c>
      <c r="H43" s="26" t="s">
        <v>76</v>
      </c>
      <c r="I43" s="4" t="s">
        <v>228</v>
      </c>
      <c r="J43" s="26">
        <v>1219000510</v>
      </c>
      <c r="K43" s="26" t="str">
        <f>VLOOKUP(J:J,'[2]Inventory Codes'!$B:$D,3,0)</f>
        <v>MDD</v>
      </c>
      <c r="L43" s="26" t="s">
        <v>103</v>
      </c>
      <c r="M43" s="27">
        <v>19920</v>
      </c>
      <c r="N43" s="26" t="s">
        <v>79</v>
      </c>
      <c r="O43" s="26" t="s">
        <v>229</v>
      </c>
      <c r="P43" s="26" t="s">
        <v>85</v>
      </c>
      <c r="Q43" s="5">
        <v>19920</v>
      </c>
      <c r="R43" s="4" t="s">
        <v>85</v>
      </c>
      <c r="S43" s="4" t="s">
        <v>122</v>
      </c>
      <c r="T43" s="83" t="s">
        <v>84</v>
      </c>
      <c r="U43" s="6">
        <v>7006461.5999999996</v>
      </c>
      <c r="V43" s="4" t="s">
        <v>85</v>
      </c>
      <c r="W43" s="4" t="s">
        <v>85</v>
      </c>
      <c r="X43" s="4" t="s">
        <v>86</v>
      </c>
      <c r="Y43" s="4" t="s">
        <v>87</v>
      </c>
      <c r="Z43" s="4" t="s">
        <v>88</v>
      </c>
      <c r="AA43" s="4" t="s">
        <v>89</v>
      </c>
      <c r="AB43" s="4" t="s">
        <v>85</v>
      </c>
      <c r="AC43" s="4" t="s">
        <v>98</v>
      </c>
      <c r="AD43" s="4" t="s">
        <v>85</v>
      </c>
      <c r="AE43" s="4" t="s">
        <v>85</v>
      </c>
      <c r="AF43" s="4" t="s">
        <v>91</v>
      </c>
      <c r="AG43" s="4" t="s">
        <v>85</v>
      </c>
      <c r="AH43" s="4" t="s">
        <v>91</v>
      </c>
      <c r="AI43" s="5">
        <v>19920</v>
      </c>
      <c r="AJ43" s="4" t="s">
        <v>79</v>
      </c>
      <c r="AK43" s="4" t="s">
        <v>79</v>
      </c>
      <c r="AL43" s="5">
        <v>19920</v>
      </c>
      <c r="AM43" s="4" t="s">
        <v>87</v>
      </c>
      <c r="AN43" s="4" t="s">
        <v>85</v>
      </c>
      <c r="AO43" s="4" t="s">
        <v>85</v>
      </c>
      <c r="AP43" s="4" t="s">
        <v>118</v>
      </c>
      <c r="AQ43" s="4" t="s">
        <v>85</v>
      </c>
      <c r="AR43" s="4" t="s">
        <v>85</v>
      </c>
      <c r="AS43" s="6">
        <v>0</v>
      </c>
      <c r="AT43" s="6">
        <v>0</v>
      </c>
      <c r="AU43" s="4" t="s">
        <v>91</v>
      </c>
      <c r="AV43" s="4" t="s">
        <v>85</v>
      </c>
      <c r="AW43" s="4" t="s">
        <v>91</v>
      </c>
      <c r="AX43" s="4" t="s">
        <v>91</v>
      </c>
      <c r="AY43" s="4" t="s">
        <v>85</v>
      </c>
      <c r="AZ43" s="4" t="s">
        <v>93</v>
      </c>
      <c r="BA43" s="4" t="s">
        <v>85</v>
      </c>
      <c r="BB43" s="4" t="s">
        <v>85</v>
      </c>
      <c r="BC43" s="4" t="s">
        <v>91</v>
      </c>
      <c r="BD43" s="4" t="s">
        <v>79</v>
      </c>
      <c r="BE43" s="4" t="s">
        <v>94</v>
      </c>
      <c r="BF43" s="4" t="s">
        <v>85</v>
      </c>
      <c r="BG43" s="4" t="s">
        <v>85</v>
      </c>
      <c r="BH43" s="4" t="s">
        <v>85</v>
      </c>
      <c r="BI43" s="4" t="s">
        <v>91</v>
      </c>
      <c r="BJ43" s="4" t="s">
        <v>91</v>
      </c>
      <c r="BK43" s="4" t="s">
        <v>85</v>
      </c>
      <c r="BL43" s="4" t="s">
        <v>85</v>
      </c>
      <c r="BM43" s="4" t="s">
        <v>95</v>
      </c>
      <c r="BN43" s="4" t="s">
        <v>96</v>
      </c>
      <c r="BO43" s="6">
        <v>0</v>
      </c>
      <c r="BP43" s="4" t="s">
        <v>85</v>
      </c>
      <c r="BQ43" s="4" t="s">
        <v>85</v>
      </c>
      <c r="BR43" s="4" t="s">
        <v>91</v>
      </c>
      <c r="BS43" s="4" t="s">
        <v>85</v>
      </c>
      <c r="BT43" s="26" t="s">
        <v>388</v>
      </c>
      <c r="BU43" s="26" t="s">
        <v>1249</v>
      </c>
      <c r="BV43" s="26" t="s">
        <v>1226</v>
      </c>
      <c r="BW43" s="19" t="s">
        <v>1250</v>
      </c>
      <c r="BX43" s="19" t="s">
        <v>1235</v>
      </c>
      <c r="BY43" s="19"/>
    </row>
    <row r="44" spans="1:78">
      <c r="A44" s="24">
        <v>45946</v>
      </c>
      <c r="B44" s="24">
        <v>45946</v>
      </c>
      <c r="C44" s="3">
        <v>0.41333333333333</v>
      </c>
      <c r="D44" s="4" t="s">
        <v>99</v>
      </c>
      <c r="E44" s="24">
        <v>45946</v>
      </c>
      <c r="F44" s="26" t="s">
        <v>227</v>
      </c>
      <c r="G44" s="26" t="s">
        <v>101</v>
      </c>
      <c r="H44" s="26" t="s">
        <v>76</v>
      </c>
      <c r="I44" s="4" t="s">
        <v>228</v>
      </c>
      <c r="J44" s="26">
        <v>1219000510</v>
      </c>
      <c r="K44" s="26" t="str">
        <f>VLOOKUP(J:J,'[2]Inventory Codes'!$B:$D,3,0)</f>
        <v>MDD</v>
      </c>
      <c r="L44" s="26" t="s">
        <v>103</v>
      </c>
      <c r="M44" s="27">
        <v>30080</v>
      </c>
      <c r="N44" s="26" t="s">
        <v>79</v>
      </c>
      <c r="O44" s="26" t="s">
        <v>230</v>
      </c>
      <c r="P44" s="26" t="s">
        <v>85</v>
      </c>
      <c r="Q44" s="5">
        <v>30080</v>
      </c>
      <c r="R44" s="4" t="s">
        <v>85</v>
      </c>
      <c r="S44" s="4" t="s">
        <v>122</v>
      </c>
      <c r="T44" s="83" t="s">
        <v>84</v>
      </c>
      <c r="U44" s="6">
        <v>10580038.4</v>
      </c>
      <c r="V44" s="4" t="s">
        <v>85</v>
      </c>
      <c r="W44" s="4" t="s">
        <v>85</v>
      </c>
      <c r="X44" s="4" t="s">
        <v>86</v>
      </c>
      <c r="Y44" s="4" t="s">
        <v>87</v>
      </c>
      <c r="Z44" s="4" t="s">
        <v>88</v>
      </c>
      <c r="AA44" s="4" t="s">
        <v>89</v>
      </c>
      <c r="AB44" s="4" t="s">
        <v>85</v>
      </c>
      <c r="AC44" s="4" t="s">
        <v>90</v>
      </c>
      <c r="AD44" s="4" t="s">
        <v>85</v>
      </c>
      <c r="AE44" s="4" t="s">
        <v>85</v>
      </c>
      <c r="AF44" s="4" t="s">
        <v>91</v>
      </c>
      <c r="AG44" s="4" t="s">
        <v>85</v>
      </c>
      <c r="AH44" s="4" t="s">
        <v>91</v>
      </c>
      <c r="AI44" s="5">
        <v>30080</v>
      </c>
      <c r="AJ44" s="4" t="s">
        <v>79</v>
      </c>
      <c r="AK44" s="4" t="s">
        <v>79</v>
      </c>
      <c r="AL44" s="5">
        <v>30080</v>
      </c>
      <c r="AM44" s="4" t="s">
        <v>87</v>
      </c>
      <c r="AN44" s="4" t="s">
        <v>85</v>
      </c>
      <c r="AO44" s="4" t="s">
        <v>85</v>
      </c>
      <c r="AP44" s="4" t="s">
        <v>118</v>
      </c>
      <c r="AQ44" s="4" t="s">
        <v>85</v>
      </c>
      <c r="AR44" s="4" t="s">
        <v>85</v>
      </c>
      <c r="AS44" s="6">
        <v>0</v>
      </c>
      <c r="AT44" s="6">
        <v>0</v>
      </c>
      <c r="AU44" s="4" t="s">
        <v>91</v>
      </c>
      <c r="AV44" s="4" t="s">
        <v>85</v>
      </c>
      <c r="AW44" s="4" t="s">
        <v>91</v>
      </c>
      <c r="AX44" s="4" t="s">
        <v>91</v>
      </c>
      <c r="AY44" s="4" t="s">
        <v>85</v>
      </c>
      <c r="AZ44" s="4" t="s">
        <v>93</v>
      </c>
      <c r="BA44" s="4" t="s">
        <v>85</v>
      </c>
      <c r="BB44" s="4" t="s">
        <v>85</v>
      </c>
      <c r="BC44" s="4" t="s">
        <v>91</v>
      </c>
      <c r="BD44" s="4" t="s">
        <v>79</v>
      </c>
      <c r="BE44" s="4" t="s">
        <v>94</v>
      </c>
      <c r="BF44" s="4" t="s">
        <v>85</v>
      </c>
      <c r="BG44" s="4" t="s">
        <v>85</v>
      </c>
      <c r="BH44" s="4" t="s">
        <v>85</v>
      </c>
      <c r="BI44" s="4" t="s">
        <v>91</v>
      </c>
      <c r="BJ44" s="4" t="s">
        <v>91</v>
      </c>
      <c r="BK44" s="4" t="s">
        <v>85</v>
      </c>
      <c r="BL44" s="4" t="s">
        <v>85</v>
      </c>
      <c r="BM44" s="4" t="s">
        <v>95</v>
      </c>
      <c r="BN44" s="4" t="s">
        <v>96</v>
      </c>
      <c r="BO44" s="6">
        <v>0</v>
      </c>
      <c r="BP44" s="4" t="s">
        <v>85</v>
      </c>
      <c r="BQ44" s="4" t="s">
        <v>85</v>
      </c>
      <c r="BR44" s="4" t="s">
        <v>91</v>
      </c>
      <c r="BS44" s="4" t="s">
        <v>85</v>
      </c>
      <c r="BT44" s="26" t="s">
        <v>388</v>
      </c>
      <c r="BU44" s="26" t="s">
        <v>1249</v>
      </c>
      <c r="BV44" s="26" t="s">
        <v>1226</v>
      </c>
      <c r="BW44" s="19" t="s">
        <v>1250</v>
      </c>
      <c r="BX44" s="19" t="s">
        <v>1235</v>
      </c>
      <c r="BY44" s="19"/>
    </row>
    <row r="45" spans="1:78">
      <c r="A45" s="24">
        <v>45946</v>
      </c>
      <c r="B45" s="24">
        <v>45946</v>
      </c>
      <c r="C45" s="3">
        <v>0.41333333333333</v>
      </c>
      <c r="D45" s="4" t="s">
        <v>109</v>
      </c>
      <c r="E45" s="24">
        <v>45946</v>
      </c>
      <c r="F45" s="26" t="s">
        <v>227</v>
      </c>
      <c r="G45" s="26" t="s">
        <v>101</v>
      </c>
      <c r="H45" s="26" t="s">
        <v>76</v>
      </c>
      <c r="I45" s="4" t="s">
        <v>228</v>
      </c>
      <c r="J45" s="26">
        <v>1219000660</v>
      </c>
      <c r="K45" s="26" t="str">
        <f>VLOOKUP(J:J,'[2]Inventory Codes'!$B:$D,3,0)</f>
        <v>MDD</v>
      </c>
      <c r="L45" s="26" t="s">
        <v>110</v>
      </c>
      <c r="M45" s="27">
        <v>50000</v>
      </c>
      <c r="N45" s="26" t="s">
        <v>79</v>
      </c>
      <c r="O45" s="26" t="s">
        <v>231</v>
      </c>
      <c r="P45" s="26" t="s">
        <v>85</v>
      </c>
      <c r="Q45" s="5">
        <v>50000</v>
      </c>
      <c r="R45" s="4" t="s">
        <v>85</v>
      </c>
      <c r="S45" s="4" t="s">
        <v>122</v>
      </c>
      <c r="T45" s="83" t="s">
        <v>84</v>
      </c>
      <c r="U45" s="6">
        <v>4297500</v>
      </c>
      <c r="V45" s="4" t="s">
        <v>85</v>
      </c>
      <c r="W45" s="4" t="s">
        <v>85</v>
      </c>
      <c r="X45" s="4" t="s">
        <v>86</v>
      </c>
      <c r="Y45" s="4" t="s">
        <v>87</v>
      </c>
      <c r="Z45" s="4" t="s">
        <v>88</v>
      </c>
      <c r="AA45" s="4" t="s">
        <v>89</v>
      </c>
      <c r="AB45" s="4" t="s">
        <v>85</v>
      </c>
      <c r="AC45" s="4" t="s">
        <v>112</v>
      </c>
      <c r="AD45" s="4" t="s">
        <v>85</v>
      </c>
      <c r="AE45" s="4" t="s">
        <v>85</v>
      </c>
      <c r="AF45" s="4" t="s">
        <v>91</v>
      </c>
      <c r="AG45" s="4" t="s">
        <v>85</v>
      </c>
      <c r="AH45" s="4" t="s">
        <v>91</v>
      </c>
      <c r="AI45" s="5">
        <v>50000</v>
      </c>
      <c r="AJ45" s="4" t="s">
        <v>79</v>
      </c>
      <c r="AK45" s="4" t="s">
        <v>79</v>
      </c>
      <c r="AL45" s="5">
        <v>50000</v>
      </c>
      <c r="AM45" s="4" t="s">
        <v>87</v>
      </c>
      <c r="AN45" s="4" t="s">
        <v>85</v>
      </c>
      <c r="AO45" s="4" t="s">
        <v>85</v>
      </c>
      <c r="AP45" s="4" t="s">
        <v>107</v>
      </c>
      <c r="AQ45" s="4" t="s">
        <v>85</v>
      </c>
      <c r="AR45" s="4" t="s">
        <v>85</v>
      </c>
      <c r="AS45" s="6">
        <v>0</v>
      </c>
      <c r="AT45" s="6">
        <v>0</v>
      </c>
      <c r="AU45" s="4" t="s">
        <v>91</v>
      </c>
      <c r="AV45" s="4" t="s">
        <v>85</v>
      </c>
      <c r="AW45" s="4" t="s">
        <v>91</v>
      </c>
      <c r="AX45" s="4" t="s">
        <v>91</v>
      </c>
      <c r="AY45" s="4" t="s">
        <v>85</v>
      </c>
      <c r="AZ45" s="4" t="s">
        <v>93</v>
      </c>
      <c r="BA45" s="4" t="s">
        <v>85</v>
      </c>
      <c r="BB45" s="4" t="s">
        <v>85</v>
      </c>
      <c r="BC45" s="4" t="s">
        <v>91</v>
      </c>
      <c r="BD45" s="4" t="s">
        <v>79</v>
      </c>
      <c r="BE45" s="4" t="s">
        <v>94</v>
      </c>
      <c r="BF45" s="4" t="s">
        <v>85</v>
      </c>
      <c r="BG45" s="4" t="s">
        <v>85</v>
      </c>
      <c r="BH45" s="4" t="s">
        <v>85</v>
      </c>
      <c r="BI45" s="4" t="s">
        <v>91</v>
      </c>
      <c r="BJ45" s="4" t="s">
        <v>91</v>
      </c>
      <c r="BK45" s="4" t="s">
        <v>85</v>
      </c>
      <c r="BL45" s="4" t="s">
        <v>85</v>
      </c>
      <c r="BM45" s="4" t="s">
        <v>95</v>
      </c>
      <c r="BN45" s="4" t="s">
        <v>96</v>
      </c>
      <c r="BO45" s="6">
        <v>0</v>
      </c>
      <c r="BP45" s="4" t="s">
        <v>85</v>
      </c>
      <c r="BQ45" s="4" t="s">
        <v>85</v>
      </c>
      <c r="BR45" s="4" t="s">
        <v>91</v>
      </c>
      <c r="BS45" s="4" t="s">
        <v>85</v>
      </c>
      <c r="BT45" s="26" t="s">
        <v>388</v>
      </c>
      <c r="BU45" s="26" t="s">
        <v>1249</v>
      </c>
      <c r="BV45" s="26" t="s">
        <v>1226</v>
      </c>
      <c r="BW45" s="19" t="s">
        <v>1250</v>
      </c>
      <c r="BX45" s="19" t="s">
        <v>1235</v>
      </c>
      <c r="BY45" s="19"/>
    </row>
    <row r="46" spans="1:78">
      <c r="A46" s="24">
        <v>45981</v>
      </c>
      <c r="B46" s="24">
        <v>45981</v>
      </c>
      <c r="C46" s="3">
        <v>0.42409722222222002</v>
      </c>
      <c r="D46" s="4" t="s">
        <v>113</v>
      </c>
      <c r="E46" s="24">
        <v>45981</v>
      </c>
      <c r="F46" s="26" t="s">
        <v>233</v>
      </c>
      <c r="G46" s="26" t="s">
        <v>101</v>
      </c>
      <c r="H46" s="26" t="s">
        <v>76</v>
      </c>
      <c r="I46" s="4" t="s">
        <v>234</v>
      </c>
      <c r="J46" s="26">
        <v>1219000780</v>
      </c>
      <c r="K46" s="26" t="str">
        <f>VLOOKUP(J:J,'[2]Inventory Codes'!$B:$D,3,0)</f>
        <v>MDD</v>
      </c>
      <c r="L46" s="26" t="s">
        <v>115</v>
      </c>
      <c r="M46" s="27">
        <v>50000</v>
      </c>
      <c r="N46" s="26" t="s">
        <v>79</v>
      </c>
      <c r="O46" s="26" t="s">
        <v>235</v>
      </c>
      <c r="P46" s="26" t="s">
        <v>85</v>
      </c>
      <c r="Q46" s="5">
        <v>50000</v>
      </c>
      <c r="R46" s="4" t="s">
        <v>236</v>
      </c>
      <c r="S46" s="4" t="s">
        <v>122</v>
      </c>
      <c r="T46" s="83" t="s">
        <v>84</v>
      </c>
      <c r="U46" s="6">
        <v>23172000</v>
      </c>
      <c r="V46" s="4" t="s">
        <v>85</v>
      </c>
      <c r="W46" s="4" t="s">
        <v>85</v>
      </c>
      <c r="X46" s="4" t="s">
        <v>86</v>
      </c>
      <c r="Y46" s="4" t="s">
        <v>87</v>
      </c>
      <c r="Z46" s="4" t="s">
        <v>88</v>
      </c>
      <c r="AA46" s="4" t="s">
        <v>89</v>
      </c>
      <c r="AB46" s="4" t="s">
        <v>85</v>
      </c>
      <c r="AC46" s="4" t="s">
        <v>98</v>
      </c>
      <c r="AD46" s="4" t="s">
        <v>85</v>
      </c>
      <c r="AE46" s="4" t="s">
        <v>85</v>
      </c>
      <c r="AF46" s="4" t="s">
        <v>91</v>
      </c>
      <c r="AG46" s="4" t="s">
        <v>85</v>
      </c>
      <c r="AH46" s="4" t="s">
        <v>91</v>
      </c>
      <c r="AI46" s="5">
        <v>50000</v>
      </c>
      <c r="AJ46" s="4" t="s">
        <v>79</v>
      </c>
      <c r="AK46" s="4" t="s">
        <v>79</v>
      </c>
      <c r="AL46" s="5">
        <v>50000</v>
      </c>
      <c r="AM46" s="4" t="s">
        <v>87</v>
      </c>
      <c r="AN46" s="4" t="s">
        <v>85</v>
      </c>
      <c r="AO46" s="4" t="s">
        <v>85</v>
      </c>
      <c r="AP46" s="4" t="s">
        <v>118</v>
      </c>
      <c r="AQ46" s="4" t="s">
        <v>85</v>
      </c>
      <c r="AR46" s="4" t="s">
        <v>85</v>
      </c>
      <c r="AS46" s="6">
        <v>0</v>
      </c>
      <c r="AT46" s="6">
        <v>0</v>
      </c>
      <c r="AU46" s="4" t="s">
        <v>91</v>
      </c>
      <c r="AV46" s="4" t="s">
        <v>85</v>
      </c>
      <c r="AW46" s="4" t="s">
        <v>91</v>
      </c>
      <c r="AX46" s="4" t="s">
        <v>91</v>
      </c>
      <c r="AY46" s="4" t="s">
        <v>85</v>
      </c>
      <c r="AZ46" s="4" t="s">
        <v>93</v>
      </c>
      <c r="BA46" s="4" t="s">
        <v>85</v>
      </c>
      <c r="BB46" s="4" t="s">
        <v>85</v>
      </c>
      <c r="BC46" s="4" t="s">
        <v>91</v>
      </c>
      <c r="BD46" s="4" t="s">
        <v>79</v>
      </c>
      <c r="BE46" s="4" t="s">
        <v>94</v>
      </c>
      <c r="BF46" s="4" t="s">
        <v>85</v>
      </c>
      <c r="BG46" s="4" t="s">
        <v>85</v>
      </c>
      <c r="BH46" s="4" t="s">
        <v>85</v>
      </c>
      <c r="BI46" s="4" t="s">
        <v>91</v>
      </c>
      <c r="BJ46" s="4" t="s">
        <v>91</v>
      </c>
      <c r="BK46" s="4" t="s">
        <v>85</v>
      </c>
      <c r="BL46" s="4" t="s">
        <v>85</v>
      </c>
      <c r="BM46" s="4" t="s">
        <v>95</v>
      </c>
      <c r="BN46" s="4" t="s">
        <v>96</v>
      </c>
      <c r="BO46" s="6">
        <v>0</v>
      </c>
      <c r="BP46" s="4" t="s">
        <v>85</v>
      </c>
      <c r="BQ46" s="4" t="s">
        <v>85</v>
      </c>
      <c r="BR46" s="4" t="s">
        <v>91</v>
      </c>
      <c r="BS46" s="4" t="s">
        <v>85</v>
      </c>
      <c r="BT46" s="26" t="s">
        <v>388</v>
      </c>
      <c r="BU46" s="26" t="s">
        <v>1252</v>
      </c>
      <c r="BV46" s="26" t="s">
        <v>1226</v>
      </c>
      <c r="BW46" s="19" t="s">
        <v>1253</v>
      </c>
      <c r="BX46" s="19" t="s">
        <v>1251</v>
      </c>
      <c r="BY46" s="19"/>
    </row>
    <row r="47" spans="1:78">
      <c r="A47" s="24">
        <v>45981</v>
      </c>
      <c r="B47" s="24">
        <v>45981</v>
      </c>
      <c r="C47" s="3">
        <v>0.42409722222222002</v>
      </c>
      <c r="D47" s="4" t="s">
        <v>237</v>
      </c>
      <c r="E47" s="24">
        <v>45981</v>
      </c>
      <c r="F47" s="26" t="s">
        <v>233</v>
      </c>
      <c r="G47" s="26" t="s">
        <v>101</v>
      </c>
      <c r="H47" s="26" t="s">
        <v>76</v>
      </c>
      <c r="I47" s="4" t="s">
        <v>234</v>
      </c>
      <c r="J47" s="26">
        <v>1219001022</v>
      </c>
      <c r="K47" s="26" t="str">
        <f>VLOOKUP(J:J,'[2]Inventory Codes'!$B:$D,3,0)</f>
        <v>MDD</v>
      </c>
      <c r="L47" s="26" t="s">
        <v>238</v>
      </c>
      <c r="M47" s="27">
        <v>50000</v>
      </c>
      <c r="N47" s="26" t="s">
        <v>79</v>
      </c>
      <c r="O47" s="26" t="s">
        <v>239</v>
      </c>
      <c r="P47" s="26" t="s">
        <v>85</v>
      </c>
      <c r="Q47" s="5">
        <v>50000</v>
      </c>
      <c r="R47" s="4" t="s">
        <v>236</v>
      </c>
      <c r="S47" s="4" t="s">
        <v>122</v>
      </c>
      <c r="T47" s="83" t="s">
        <v>84</v>
      </c>
      <c r="U47" s="6">
        <v>2320000</v>
      </c>
      <c r="V47" s="4" t="s">
        <v>85</v>
      </c>
      <c r="W47" s="4" t="s">
        <v>85</v>
      </c>
      <c r="X47" s="4" t="s">
        <v>86</v>
      </c>
      <c r="Y47" s="4" t="s">
        <v>87</v>
      </c>
      <c r="Z47" s="4" t="s">
        <v>88</v>
      </c>
      <c r="AA47" s="4" t="s">
        <v>89</v>
      </c>
      <c r="AB47" s="4" t="s">
        <v>85</v>
      </c>
      <c r="AC47" s="4" t="s">
        <v>90</v>
      </c>
      <c r="AD47" s="4" t="s">
        <v>85</v>
      </c>
      <c r="AE47" s="4" t="s">
        <v>85</v>
      </c>
      <c r="AF47" s="4" t="s">
        <v>91</v>
      </c>
      <c r="AG47" s="4" t="s">
        <v>85</v>
      </c>
      <c r="AH47" s="4" t="s">
        <v>91</v>
      </c>
      <c r="AI47" s="5">
        <v>50000</v>
      </c>
      <c r="AJ47" s="4" t="s">
        <v>79</v>
      </c>
      <c r="AK47" s="4" t="s">
        <v>79</v>
      </c>
      <c r="AL47" s="5">
        <v>50000</v>
      </c>
      <c r="AM47" s="4" t="s">
        <v>87</v>
      </c>
      <c r="AN47" s="4" t="s">
        <v>85</v>
      </c>
      <c r="AO47" s="4" t="s">
        <v>85</v>
      </c>
      <c r="AP47" s="4" t="s">
        <v>107</v>
      </c>
      <c r="AQ47" s="4" t="s">
        <v>85</v>
      </c>
      <c r="AR47" s="4" t="s">
        <v>85</v>
      </c>
      <c r="AS47" s="6">
        <v>0</v>
      </c>
      <c r="AT47" s="6">
        <v>0</v>
      </c>
      <c r="AU47" s="4" t="s">
        <v>91</v>
      </c>
      <c r="AV47" s="4" t="s">
        <v>85</v>
      </c>
      <c r="AW47" s="4" t="s">
        <v>91</v>
      </c>
      <c r="AX47" s="4" t="s">
        <v>91</v>
      </c>
      <c r="AY47" s="4" t="s">
        <v>85</v>
      </c>
      <c r="AZ47" s="4" t="s">
        <v>93</v>
      </c>
      <c r="BA47" s="4" t="s">
        <v>85</v>
      </c>
      <c r="BB47" s="4" t="s">
        <v>85</v>
      </c>
      <c r="BC47" s="4" t="s">
        <v>91</v>
      </c>
      <c r="BD47" s="4" t="s">
        <v>79</v>
      </c>
      <c r="BE47" s="4" t="s">
        <v>94</v>
      </c>
      <c r="BF47" s="4" t="s">
        <v>85</v>
      </c>
      <c r="BG47" s="4" t="s">
        <v>85</v>
      </c>
      <c r="BH47" s="4" t="s">
        <v>85</v>
      </c>
      <c r="BI47" s="4" t="s">
        <v>91</v>
      </c>
      <c r="BJ47" s="4" t="s">
        <v>91</v>
      </c>
      <c r="BK47" s="4" t="s">
        <v>85</v>
      </c>
      <c r="BL47" s="4" t="s">
        <v>85</v>
      </c>
      <c r="BM47" s="4" t="s">
        <v>95</v>
      </c>
      <c r="BN47" s="4" t="s">
        <v>96</v>
      </c>
      <c r="BO47" s="6">
        <v>0</v>
      </c>
      <c r="BP47" s="4" t="s">
        <v>85</v>
      </c>
      <c r="BQ47" s="4" t="s">
        <v>85</v>
      </c>
      <c r="BR47" s="4" t="s">
        <v>91</v>
      </c>
      <c r="BS47" s="4" t="s">
        <v>85</v>
      </c>
      <c r="BT47" s="26" t="s">
        <v>388</v>
      </c>
      <c r="BU47" s="26" t="s">
        <v>1252</v>
      </c>
      <c r="BV47" s="26" t="s">
        <v>1226</v>
      </c>
      <c r="BW47" s="19" t="s">
        <v>1253</v>
      </c>
      <c r="BX47" s="19" t="s">
        <v>1251</v>
      </c>
      <c r="BY47" s="19"/>
    </row>
    <row r="48" spans="1:78">
      <c r="A48" s="24">
        <v>45981</v>
      </c>
      <c r="B48" s="24">
        <v>45981</v>
      </c>
      <c r="C48" s="3">
        <v>0.43358796296295998</v>
      </c>
      <c r="D48" s="4" t="s">
        <v>168</v>
      </c>
      <c r="E48" s="24">
        <v>45981</v>
      </c>
      <c r="F48" s="26" t="s">
        <v>240</v>
      </c>
      <c r="G48" s="26" t="s">
        <v>101</v>
      </c>
      <c r="H48" s="26" t="s">
        <v>76</v>
      </c>
      <c r="I48" s="4" t="s">
        <v>241</v>
      </c>
      <c r="J48" s="26">
        <v>1219000509</v>
      </c>
      <c r="K48" s="26" t="str">
        <f>VLOOKUP(J:J,'[2]Inventory Codes'!$B:$D,3,0)</f>
        <v>MDD</v>
      </c>
      <c r="L48" s="26" t="s">
        <v>171</v>
      </c>
      <c r="M48" s="27">
        <v>50000</v>
      </c>
      <c r="N48" s="26" t="s">
        <v>79</v>
      </c>
      <c r="O48" s="26" t="s">
        <v>242</v>
      </c>
      <c r="P48" s="26" t="s">
        <v>85</v>
      </c>
      <c r="Q48" s="5">
        <v>50000</v>
      </c>
      <c r="R48" s="4" t="s">
        <v>243</v>
      </c>
      <c r="S48" s="4" t="s">
        <v>122</v>
      </c>
      <c r="T48" s="83" t="s">
        <v>84</v>
      </c>
      <c r="U48" s="6">
        <v>10362000</v>
      </c>
      <c r="V48" s="4" t="s">
        <v>85</v>
      </c>
      <c r="W48" s="4" t="s">
        <v>85</v>
      </c>
      <c r="X48" s="4" t="s">
        <v>86</v>
      </c>
      <c r="Y48" s="4" t="s">
        <v>87</v>
      </c>
      <c r="Z48" s="4" t="s">
        <v>88</v>
      </c>
      <c r="AA48" s="4" t="s">
        <v>89</v>
      </c>
      <c r="AB48" s="4" t="s">
        <v>85</v>
      </c>
      <c r="AC48" s="4" t="s">
        <v>112</v>
      </c>
      <c r="AD48" s="4" t="s">
        <v>85</v>
      </c>
      <c r="AE48" s="4" t="s">
        <v>85</v>
      </c>
      <c r="AF48" s="4" t="s">
        <v>91</v>
      </c>
      <c r="AG48" s="4" t="s">
        <v>85</v>
      </c>
      <c r="AH48" s="4" t="s">
        <v>91</v>
      </c>
      <c r="AI48" s="5">
        <v>50000</v>
      </c>
      <c r="AJ48" s="4" t="s">
        <v>79</v>
      </c>
      <c r="AK48" s="4" t="s">
        <v>79</v>
      </c>
      <c r="AL48" s="5">
        <v>50000</v>
      </c>
      <c r="AM48" s="4" t="s">
        <v>87</v>
      </c>
      <c r="AN48" s="4" t="s">
        <v>85</v>
      </c>
      <c r="AO48" s="4" t="s">
        <v>85</v>
      </c>
      <c r="AP48" s="4" t="s">
        <v>107</v>
      </c>
      <c r="AQ48" s="4" t="s">
        <v>85</v>
      </c>
      <c r="AR48" s="4" t="s">
        <v>85</v>
      </c>
      <c r="AS48" s="6">
        <v>0</v>
      </c>
      <c r="AT48" s="6">
        <v>0</v>
      </c>
      <c r="AU48" s="4" t="s">
        <v>91</v>
      </c>
      <c r="AV48" s="4" t="s">
        <v>85</v>
      </c>
      <c r="AW48" s="4" t="s">
        <v>91</v>
      </c>
      <c r="AX48" s="4" t="s">
        <v>91</v>
      </c>
      <c r="AY48" s="4" t="s">
        <v>85</v>
      </c>
      <c r="AZ48" s="4" t="s">
        <v>93</v>
      </c>
      <c r="BA48" s="4" t="s">
        <v>85</v>
      </c>
      <c r="BB48" s="4" t="s">
        <v>85</v>
      </c>
      <c r="BC48" s="4" t="s">
        <v>91</v>
      </c>
      <c r="BD48" s="4" t="s">
        <v>79</v>
      </c>
      <c r="BE48" s="4" t="s">
        <v>94</v>
      </c>
      <c r="BF48" s="4" t="s">
        <v>85</v>
      </c>
      <c r="BG48" s="4" t="s">
        <v>85</v>
      </c>
      <c r="BH48" s="4" t="s">
        <v>85</v>
      </c>
      <c r="BI48" s="4" t="s">
        <v>91</v>
      </c>
      <c r="BJ48" s="4" t="s">
        <v>91</v>
      </c>
      <c r="BK48" s="4" t="s">
        <v>85</v>
      </c>
      <c r="BL48" s="4" t="s">
        <v>85</v>
      </c>
      <c r="BM48" s="4" t="s">
        <v>95</v>
      </c>
      <c r="BN48" s="4" t="s">
        <v>96</v>
      </c>
      <c r="BO48" s="6">
        <v>0</v>
      </c>
      <c r="BP48" s="4" t="s">
        <v>85</v>
      </c>
      <c r="BQ48" s="4" t="s">
        <v>85</v>
      </c>
      <c r="BR48" s="4" t="s">
        <v>91</v>
      </c>
      <c r="BS48" s="4" t="s">
        <v>85</v>
      </c>
      <c r="BT48" s="26" t="s">
        <v>388</v>
      </c>
      <c r="BU48" s="26" t="s">
        <v>1252</v>
      </c>
      <c r="BV48" s="26" t="s">
        <v>1226</v>
      </c>
      <c r="BW48" s="19" t="s">
        <v>1254</v>
      </c>
      <c r="BX48" s="19" t="s">
        <v>1250</v>
      </c>
      <c r="BY48" s="19"/>
    </row>
    <row r="49" spans="1:77">
      <c r="A49" s="24">
        <v>45981</v>
      </c>
      <c r="B49" s="24">
        <v>45981</v>
      </c>
      <c r="C49" s="3">
        <v>0.43358796296295998</v>
      </c>
      <c r="D49" s="4" t="s">
        <v>244</v>
      </c>
      <c r="E49" s="24">
        <v>45981</v>
      </c>
      <c r="F49" s="26" t="s">
        <v>240</v>
      </c>
      <c r="G49" s="26" t="s">
        <v>101</v>
      </c>
      <c r="H49" s="26" t="s">
        <v>76</v>
      </c>
      <c r="I49" s="4" t="s">
        <v>241</v>
      </c>
      <c r="J49" s="26">
        <v>1219000658</v>
      </c>
      <c r="K49" s="26" t="str">
        <f>VLOOKUP(J:J,'[2]Inventory Codes'!$B:$D,3,0)</f>
        <v>MDD</v>
      </c>
      <c r="L49" s="26" t="s">
        <v>245</v>
      </c>
      <c r="M49" s="27">
        <v>25000</v>
      </c>
      <c r="N49" s="26" t="s">
        <v>79</v>
      </c>
      <c r="O49" s="26" t="s">
        <v>246</v>
      </c>
      <c r="P49" s="26" t="s">
        <v>85</v>
      </c>
      <c r="Q49" s="5">
        <v>25000</v>
      </c>
      <c r="R49" s="4" t="s">
        <v>243</v>
      </c>
      <c r="S49" s="4" t="s">
        <v>122</v>
      </c>
      <c r="T49" s="83" t="s">
        <v>84</v>
      </c>
      <c r="U49" s="6">
        <v>13296000</v>
      </c>
      <c r="V49" s="4" t="s">
        <v>85</v>
      </c>
      <c r="W49" s="4" t="s">
        <v>85</v>
      </c>
      <c r="X49" s="4" t="s">
        <v>86</v>
      </c>
      <c r="Y49" s="4" t="s">
        <v>87</v>
      </c>
      <c r="Z49" s="4" t="s">
        <v>88</v>
      </c>
      <c r="AA49" s="4" t="s">
        <v>89</v>
      </c>
      <c r="AB49" s="4" t="s">
        <v>85</v>
      </c>
      <c r="AC49" s="4" t="s">
        <v>98</v>
      </c>
      <c r="AD49" s="4" t="s">
        <v>85</v>
      </c>
      <c r="AE49" s="4" t="s">
        <v>85</v>
      </c>
      <c r="AF49" s="4" t="s">
        <v>91</v>
      </c>
      <c r="AG49" s="4" t="s">
        <v>85</v>
      </c>
      <c r="AH49" s="4" t="s">
        <v>91</v>
      </c>
      <c r="AI49" s="5">
        <v>25000</v>
      </c>
      <c r="AJ49" s="4" t="s">
        <v>79</v>
      </c>
      <c r="AK49" s="4" t="s">
        <v>79</v>
      </c>
      <c r="AL49" s="5">
        <v>25000</v>
      </c>
      <c r="AM49" s="4" t="s">
        <v>87</v>
      </c>
      <c r="AN49" s="4" t="s">
        <v>85</v>
      </c>
      <c r="AO49" s="4" t="s">
        <v>85</v>
      </c>
      <c r="AP49" s="4" t="s">
        <v>118</v>
      </c>
      <c r="AQ49" s="4" t="s">
        <v>85</v>
      </c>
      <c r="AR49" s="4" t="s">
        <v>85</v>
      </c>
      <c r="AS49" s="6">
        <v>0</v>
      </c>
      <c r="AT49" s="6">
        <v>0</v>
      </c>
      <c r="AU49" s="4" t="s">
        <v>91</v>
      </c>
      <c r="AV49" s="4" t="s">
        <v>85</v>
      </c>
      <c r="AW49" s="4" t="s">
        <v>91</v>
      </c>
      <c r="AX49" s="4" t="s">
        <v>91</v>
      </c>
      <c r="AY49" s="4" t="s">
        <v>85</v>
      </c>
      <c r="AZ49" s="4" t="s">
        <v>93</v>
      </c>
      <c r="BA49" s="4" t="s">
        <v>85</v>
      </c>
      <c r="BB49" s="4" t="s">
        <v>85</v>
      </c>
      <c r="BC49" s="4" t="s">
        <v>91</v>
      </c>
      <c r="BD49" s="4" t="s">
        <v>79</v>
      </c>
      <c r="BE49" s="4" t="s">
        <v>94</v>
      </c>
      <c r="BF49" s="4" t="s">
        <v>85</v>
      </c>
      <c r="BG49" s="4" t="s">
        <v>85</v>
      </c>
      <c r="BH49" s="4" t="s">
        <v>85</v>
      </c>
      <c r="BI49" s="4" t="s">
        <v>91</v>
      </c>
      <c r="BJ49" s="4" t="s">
        <v>91</v>
      </c>
      <c r="BK49" s="4" t="s">
        <v>85</v>
      </c>
      <c r="BL49" s="4" t="s">
        <v>85</v>
      </c>
      <c r="BM49" s="4" t="s">
        <v>95</v>
      </c>
      <c r="BN49" s="4" t="s">
        <v>96</v>
      </c>
      <c r="BO49" s="6">
        <v>0</v>
      </c>
      <c r="BP49" s="4" t="s">
        <v>85</v>
      </c>
      <c r="BQ49" s="4" t="s">
        <v>85</v>
      </c>
      <c r="BR49" s="4" t="s">
        <v>91</v>
      </c>
      <c r="BS49" s="4" t="s">
        <v>85</v>
      </c>
      <c r="BT49" s="26" t="s">
        <v>388</v>
      </c>
      <c r="BU49" s="26" t="s">
        <v>1252</v>
      </c>
      <c r="BV49" s="26" t="s">
        <v>1226</v>
      </c>
      <c r="BW49" s="19" t="s">
        <v>1254</v>
      </c>
      <c r="BX49" s="19" t="s">
        <v>1250</v>
      </c>
      <c r="BY49" s="19"/>
    </row>
    <row r="50" spans="1:77">
      <c r="A50" s="24">
        <v>45981</v>
      </c>
      <c r="B50" s="24">
        <v>45981</v>
      </c>
      <c r="C50" s="3">
        <v>0.43358796296295998</v>
      </c>
      <c r="D50" s="4" t="s">
        <v>244</v>
      </c>
      <c r="E50" s="24">
        <v>45981</v>
      </c>
      <c r="F50" s="26" t="s">
        <v>240</v>
      </c>
      <c r="G50" s="26" t="s">
        <v>101</v>
      </c>
      <c r="H50" s="26" t="s">
        <v>76</v>
      </c>
      <c r="I50" s="4" t="s">
        <v>241</v>
      </c>
      <c r="J50" s="26">
        <v>1219000658</v>
      </c>
      <c r="K50" s="26" t="str">
        <f>VLOOKUP(J:J,'[2]Inventory Codes'!$B:$D,3,0)</f>
        <v>MDD</v>
      </c>
      <c r="L50" s="26" t="s">
        <v>245</v>
      </c>
      <c r="M50" s="27">
        <v>15000</v>
      </c>
      <c r="N50" s="26" t="s">
        <v>79</v>
      </c>
      <c r="O50" s="26" t="s">
        <v>247</v>
      </c>
      <c r="P50" s="26" t="s">
        <v>85</v>
      </c>
      <c r="Q50" s="5">
        <v>15000</v>
      </c>
      <c r="R50" s="4" t="s">
        <v>243</v>
      </c>
      <c r="S50" s="4" t="s">
        <v>122</v>
      </c>
      <c r="T50" s="83" t="s">
        <v>106</v>
      </c>
      <c r="U50" s="6">
        <v>7977600</v>
      </c>
      <c r="V50" s="4" t="s">
        <v>85</v>
      </c>
      <c r="W50" s="4" t="s">
        <v>85</v>
      </c>
      <c r="X50" s="4" t="s">
        <v>86</v>
      </c>
      <c r="Y50" s="4" t="s">
        <v>87</v>
      </c>
      <c r="Z50" s="4" t="s">
        <v>88</v>
      </c>
      <c r="AA50" s="4" t="s">
        <v>89</v>
      </c>
      <c r="AB50" s="4" t="s">
        <v>85</v>
      </c>
      <c r="AC50" s="4" t="s">
        <v>90</v>
      </c>
      <c r="AD50" s="4" t="s">
        <v>85</v>
      </c>
      <c r="AE50" s="4" t="s">
        <v>85</v>
      </c>
      <c r="AF50" s="4" t="s">
        <v>91</v>
      </c>
      <c r="AG50" s="4" t="s">
        <v>85</v>
      </c>
      <c r="AH50" s="4" t="s">
        <v>91</v>
      </c>
      <c r="AI50" s="5">
        <v>15000</v>
      </c>
      <c r="AJ50" s="4" t="s">
        <v>79</v>
      </c>
      <c r="AK50" s="4" t="s">
        <v>79</v>
      </c>
      <c r="AL50" s="5">
        <v>15000</v>
      </c>
      <c r="AM50" s="4" t="s">
        <v>87</v>
      </c>
      <c r="AN50" s="4" t="s">
        <v>85</v>
      </c>
      <c r="AO50" s="4" t="s">
        <v>85</v>
      </c>
      <c r="AP50" s="4" t="s">
        <v>118</v>
      </c>
      <c r="AQ50" s="4" t="s">
        <v>85</v>
      </c>
      <c r="AR50" s="4" t="s">
        <v>85</v>
      </c>
      <c r="AS50" s="6">
        <v>0</v>
      </c>
      <c r="AT50" s="6">
        <v>0</v>
      </c>
      <c r="AU50" s="4" t="s">
        <v>91</v>
      </c>
      <c r="AV50" s="4" t="s">
        <v>85</v>
      </c>
      <c r="AW50" s="4" t="s">
        <v>91</v>
      </c>
      <c r="AX50" s="4" t="s">
        <v>91</v>
      </c>
      <c r="AY50" s="4" t="s">
        <v>85</v>
      </c>
      <c r="AZ50" s="4" t="s">
        <v>93</v>
      </c>
      <c r="BA50" s="4" t="s">
        <v>85</v>
      </c>
      <c r="BB50" s="4" t="s">
        <v>85</v>
      </c>
      <c r="BC50" s="4" t="s">
        <v>91</v>
      </c>
      <c r="BD50" s="4" t="s">
        <v>79</v>
      </c>
      <c r="BE50" s="4" t="s">
        <v>94</v>
      </c>
      <c r="BF50" s="4" t="s">
        <v>85</v>
      </c>
      <c r="BG50" s="4" t="s">
        <v>85</v>
      </c>
      <c r="BH50" s="4" t="s">
        <v>85</v>
      </c>
      <c r="BI50" s="4" t="s">
        <v>91</v>
      </c>
      <c r="BJ50" s="4" t="s">
        <v>91</v>
      </c>
      <c r="BK50" s="4" t="s">
        <v>85</v>
      </c>
      <c r="BL50" s="4" t="s">
        <v>85</v>
      </c>
      <c r="BM50" s="4" t="s">
        <v>95</v>
      </c>
      <c r="BN50" s="4" t="s">
        <v>96</v>
      </c>
      <c r="BO50" s="6">
        <v>0</v>
      </c>
      <c r="BP50" s="4" t="s">
        <v>85</v>
      </c>
      <c r="BQ50" s="4" t="s">
        <v>85</v>
      </c>
      <c r="BR50" s="4" t="s">
        <v>91</v>
      </c>
      <c r="BS50" s="4" t="s">
        <v>85</v>
      </c>
      <c r="BT50" s="26" t="s">
        <v>388</v>
      </c>
      <c r="BU50" s="26" t="s">
        <v>1252</v>
      </c>
      <c r="BV50" s="26" t="s">
        <v>1226</v>
      </c>
      <c r="BW50" s="19" t="s">
        <v>1254</v>
      </c>
      <c r="BX50" s="19" t="s">
        <v>1250</v>
      </c>
      <c r="BY50" s="19"/>
    </row>
    <row r="51" spans="1:77">
      <c r="A51" s="24">
        <v>45981</v>
      </c>
      <c r="B51" s="24">
        <v>45981</v>
      </c>
      <c r="C51" s="3">
        <v>0.43358796296295998</v>
      </c>
      <c r="D51" s="4" t="s">
        <v>237</v>
      </c>
      <c r="E51" s="24">
        <v>45981</v>
      </c>
      <c r="F51" s="26" t="s">
        <v>240</v>
      </c>
      <c r="G51" s="26" t="s">
        <v>101</v>
      </c>
      <c r="H51" s="26" t="s">
        <v>76</v>
      </c>
      <c r="I51" s="4" t="s">
        <v>241</v>
      </c>
      <c r="J51" s="26">
        <v>1219001022</v>
      </c>
      <c r="K51" s="26" t="str">
        <f>VLOOKUP(J:J,'[2]Inventory Codes'!$B:$D,3,0)</f>
        <v>MDD</v>
      </c>
      <c r="L51" s="26" t="s">
        <v>238</v>
      </c>
      <c r="M51" s="27">
        <v>90000</v>
      </c>
      <c r="N51" s="26" t="s">
        <v>79</v>
      </c>
      <c r="O51" s="26" t="s">
        <v>248</v>
      </c>
      <c r="P51" s="26" t="s">
        <v>85</v>
      </c>
      <c r="Q51" s="5">
        <v>90000</v>
      </c>
      <c r="R51" s="4" t="s">
        <v>243</v>
      </c>
      <c r="S51" s="4" t="s">
        <v>122</v>
      </c>
      <c r="T51" s="83" t="s">
        <v>84</v>
      </c>
      <c r="U51" s="6">
        <v>4176000</v>
      </c>
      <c r="V51" s="4" t="s">
        <v>85</v>
      </c>
      <c r="W51" s="4" t="s">
        <v>85</v>
      </c>
      <c r="X51" s="4" t="s">
        <v>86</v>
      </c>
      <c r="Y51" s="4" t="s">
        <v>87</v>
      </c>
      <c r="Z51" s="4" t="s">
        <v>88</v>
      </c>
      <c r="AA51" s="4" t="s">
        <v>89</v>
      </c>
      <c r="AB51" s="4" t="s">
        <v>85</v>
      </c>
      <c r="AC51" s="4" t="s">
        <v>134</v>
      </c>
      <c r="AD51" s="4" t="s">
        <v>85</v>
      </c>
      <c r="AE51" s="4" t="s">
        <v>85</v>
      </c>
      <c r="AF51" s="4" t="s">
        <v>91</v>
      </c>
      <c r="AG51" s="4" t="s">
        <v>85</v>
      </c>
      <c r="AH51" s="4" t="s">
        <v>91</v>
      </c>
      <c r="AI51" s="5">
        <v>90000</v>
      </c>
      <c r="AJ51" s="4" t="s">
        <v>79</v>
      </c>
      <c r="AK51" s="4" t="s">
        <v>79</v>
      </c>
      <c r="AL51" s="5">
        <v>90000</v>
      </c>
      <c r="AM51" s="4" t="s">
        <v>87</v>
      </c>
      <c r="AN51" s="4" t="s">
        <v>85</v>
      </c>
      <c r="AO51" s="4" t="s">
        <v>85</v>
      </c>
      <c r="AP51" s="4" t="s">
        <v>135</v>
      </c>
      <c r="AQ51" s="4" t="s">
        <v>85</v>
      </c>
      <c r="AR51" s="4" t="s">
        <v>85</v>
      </c>
      <c r="AS51" s="6">
        <v>0</v>
      </c>
      <c r="AT51" s="6">
        <v>0</v>
      </c>
      <c r="AU51" s="4" t="s">
        <v>91</v>
      </c>
      <c r="AV51" s="4" t="s">
        <v>85</v>
      </c>
      <c r="AW51" s="4" t="s">
        <v>91</v>
      </c>
      <c r="AX51" s="4" t="s">
        <v>91</v>
      </c>
      <c r="AY51" s="4" t="s">
        <v>85</v>
      </c>
      <c r="AZ51" s="4" t="s">
        <v>93</v>
      </c>
      <c r="BA51" s="4" t="s">
        <v>85</v>
      </c>
      <c r="BB51" s="4" t="s">
        <v>85</v>
      </c>
      <c r="BC51" s="4" t="s">
        <v>91</v>
      </c>
      <c r="BD51" s="4" t="s">
        <v>79</v>
      </c>
      <c r="BE51" s="4" t="s">
        <v>94</v>
      </c>
      <c r="BF51" s="4" t="s">
        <v>85</v>
      </c>
      <c r="BG51" s="4" t="s">
        <v>85</v>
      </c>
      <c r="BH51" s="4" t="s">
        <v>85</v>
      </c>
      <c r="BI51" s="4" t="s">
        <v>91</v>
      </c>
      <c r="BJ51" s="4" t="s">
        <v>91</v>
      </c>
      <c r="BK51" s="4" t="s">
        <v>85</v>
      </c>
      <c r="BL51" s="4" t="s">
        <v>85</v>
      </c>
      <c r="BM51" s="4" t="s">
        <v>95</v>
      </c>
      <c r="BN51" s="4" t="s">
        <v>96</v>
      </c>
      <c r="BO51" s="6">
        <v>0</v>
      </c>
      <c r="BP51" s="4" t="s">
        <v>85</v>
      </c>
      <c r="BQ51" s="4" t="s">
        <v>85</v>
      </c>
      <c r="BR51" s="4" t="s">
        <v>91</v>
      </c>
      <c r="BS51" s="4" t="s">
        <v>85</v>
      </c>
      <c r="BT51" s="26" t="s">
        <v>388</v>
      </c>
      <c r="BU51" s="26" t="s">
        <v>1252</v>
      </c>
      <c r="BV51" s="26" t="s">
        <v>1226</v>
      </c>
      <c r="BW51" s="19" t="s">
        <v>1254</v>
      </c>
      <c r="BX51" s="19" t="s">
        <v>1250</v>
      </c>
      <c r="BY51" s="19"/>
    </row>
    <row r="52" spans="1:77">
      <c r="A52" s="24">
        <v>45981</v>
      </c>
      <c r="B52" s="24">
        <v>45981</v>
      </c>
      <c r="C52" s="3">
        <v>0.51452546296295998</v>
      </c>
      <c r="D52" s="4" t="s">
        <v>99</v>
      </c>
      <c r="E52" s="24">
        <v>45981</v>
      </c>
      <c r="F52" s="26" t="s">
        <v>249</v>
      </c>
      <c r="G52" s="26" t="s">
        <v>101</v>
      </c>
      <c r="H52" s="26" t="s">
        <v>76</v>
      </c>
      <c r="I52" s="4" t="s">
        <v>250</v>
      </c>
      <c r="J52" s="26">
        <v>1219000510</v>
      </c>
      <c r="K52" s="26" t="str">
        <f>VLOOKUP(J:J,'[2]Inventory Codes'!$B:$D,3,0)</f>
        <v>MDD</v>
      </c>
      <c r="L52" s="26" t="s">
        <v>103</v>
      </c>
      <c r="M52" s="27">
        <v>30000</v>
      </c>
      <c r="N52" s="26" t="s">
        <v>79</v>
      </c>
      <c r="O52" s="26" t="s">
        <v>229</v>
      </c>
      <c r="P52" s="26" t="s">
        <v>85</v>
      </c>
      <c r="Q52" s="5">
        <v>30000</v>
      </c>
      <c r="R52" s="4" t="s">
        <v>251</v>
      </c>
      <c r="S52" s="4" t="s">
        <v>122</v>
      </c>
      <c r="T52" s="83" t="s">
        <v>84</v>
      </c>
      <c r="U52" s="6">
        <v>10464900</v>
      </c>
      <c r="V52" s="4" t="s">
        <v>85</v>
      </c>
      <c r="W52" s="4" t="s">
        <v>85</v>
      </c>
      <c r="X52" s="4" t="s">
        <v>86</v>
      </c>
      <c r="Y52" s="4" t="s">
        <v>87</v>
      </c>
      <c r="Z52" s="4" t="s">
        <v>88</v>
      </c>
      <c r="AA52" s="4" t="s">
        <v>89</v>
      </c>
      <c r="AB52" s="4" t="s">
        <v>85</v>
      </c>
      <c r="AC52" s="4" t="s">
        <v>90</v>
      </c>
      <c r="AD52" s="4" t="s">
        <v>85</v>
      </c>
      <c r="AE52" s="4" t="s">
        <v>85</v>
      </c>
      <c r="AF52" s="4" t="s">
        <v>91</v>
      </c>
      <c r="AG52" s="4" t="s">
        <v>85</v>
      </c>
      <c r="AH52" s="4" t="s">
        <v>91</v>
      </c>
      <c r="AI52" s="5">
        <v>30000</v>
      </c>
      <c r="AJ52" s="4" t="s">
        <v>79</v>
      </c>
      <c r="AK52" s="4" t="s">
        <v>79</v>
      </c>
      <c r="AL52" s="5">
        <v>30000</v>
      </c>
      <c r="AM52" s="4" t="s">
        <v>87</v>
      </c>
      <c r="AN52" s="4" t="s">
        <v>85</v>
      </c>
      <c r="AO52" s="4" t="s">
        <v>85</v>
      </c>
      <c r="AP52" s="4" t="s">
        <v>107</v>
      </c>
      <c r="AQ52" s="4" t="s">
        <v>85</v>
      </c>
      <c r="AR52" s="4" t="s">
        <v>85</v>
      </c>
      <c r="AS52" s="6">
        <v>0</v>
      </c>
      <c r="AT52" s="6">
        <v>0</v>
      </c>
      <c r="AU52" s="4" t="s">
        <v>91</v>
      </c>
      <c r="AV52" s="4" t="s">
        <v>85</v>
      </c>
      <c r="AW52" s="4" t="s">
        <v>91</v>
      </c>
      <c r="AX52" s="4" t="s">
        <v>91</v>
      </c>
      <c r="AY52" s="4" t="s">
        <v>85</v>
      </c>
      <c r="AZ52" s="4" t="s">
        <v>93</v>
      </c>
      <c r="BA52" s="4" t="s">
        <v>85</v>
      </c>
      <c r="BB52" s="4" t="s">
        <v>85</v>
      </c>
      <c r="BC52" s="4" t="s">
        <v>91</v>
      </c>
      <c r="BD52" s="4" t="s">
        <v>79</v>
      </c>
      <c r="BE52" s="4" t="s">
        <v>94</v>
      </c>
      <c r="BF52" s="4" t="s">
        <v>85</v>
      </c>
      <c r="BG52" s="4" t="s">
        <v>85</v>
      </c>
      <c r="BH52" s="4" t="s">
        <v>85</v>
      </c>
      <c r="BI52" s="4" t="s">
        <v>91</v>
      </c>
      <c r="BJ52" s="4" t="s">
        <v>91</v>
      </c>
      <c r="BK52" s="4" t="s">
        <v>85</v>
      </c>
      <c r="BL52" s="4" t="s">
        <v>85</v>
      </c>
      <c r="BM52" s="4" t="s">
        <v>95</v>
      </c>
      <c r="BN52" s="4" t="s">
        <v>96</v>
      </c>
      <c r="BO52" s="6">
        <v>0</v>
      </c>
      <c r="BP52" s="4" t="s">
        <v>85</v>
      </c>
      <c r="BQ52" s="4" t="s">
        <v>85</v>
      </c>
      <c r="BR52" s="4" t="s">
        <v>91</v>
      </c>
      <c r="BS52" s="4" t="s">
        <v>85</v>
      </c>
      <c r="BT52" s="26" t="s">
        <v>388</v>
      </c>
      <c r="BU52" s="26" t="s">
        <v>1256</v>
      </c>
      <c r="BV52" s="26" t="s">
        <v>1226</v>
      </c>
      <c r="BW52" s="19" t="s">
        <v>1253</v>
      </c>
      <c r="BX52" s="19" t="s">
        <v>1255</v>
      </c>
      <c r="BY52" s="19"/>
    </row>
    <row r="53" spans="1:77">
      <c r="A53" s="24">
        <v>45981</v>
      </c>
      <c r="B53" s="24">
        <v>45981</v>
      </c>
      <c r="C53" s="3">
        <v>0.51452546296295998</v>
      </c>
      <c r="D53" s="4" t="s">
        <v>244</v>
      </c>
      <c r="E53" s="24">
        <v>45981</v>
      </c>
      <c r="F53" s="26" t="s">
        <v>249</v>
      </c>
      <c r="G53" s="26" t="s">
        <v>101</v>
      </c>
      <c r="H53" s="26" t="s">
        <v>76</v>
      </c>
      <c r="I53" s="4" t="s">
        <v>250</v>
      </c>
      <c r="J53" s="26">
        <v>1219000658</v>
      </c>
      <c r="K53" s="26" t="str">
        <f>VLOOKUP(J:J,'[2]Inventory Codes'!$B:$D,3,0)</f>
        <v>MDD</v>
      </c>
      <c r="L53" s="26" t="s">
        <v>245</v>
      </c>
      <c r="M53" s="27">
        <v>30000</v>
      </c>
      <c r="N53" s="26" t="s">
        <v>79</v>
      </c>
      <c r="O53" s="26" t="s">
        <v>252</v>
      </c>
      <c r="P53" s="26" t="s">
        <v>85</v>
      </c>
      <c r="Q53" s="5">
        <v>30000</v>
      </c>
      <c r="R53" s="4" t="s">
        <v>251</v>
      </c>
      <c r="S53" s="4" t="s">
        <v>122</v>
      </c>
      <c r="T53" s="83" t="s">
        <v>84</v>
      </c>
      <c r="U53" s="6">
        <v>15955200</v>
      </c>
      <c r="V53" s="4" t="s">
        <v>85</v>
      </c>
      <c r="W53" s="4" t="s">
        <v>85</v>
      </c>
      <c r="X53" s="4" t="s">
        <v>86</v>
      </c>
      <c r="Y53" s="4" t="s">
        <v>87</v>
      </c>
      <c r="Z53" s="4" t="s">
        <v>88</v>
      </c>
      <c r="AA53" s="4" t="s">
        <v>89</v>
      </c>
      <c r="AB53" s="4" t="s">
        <v>85</v>
      </c>
      <c r="AC53" s="4" t="s">
        <v>98</v>
      </c>
      <c r="AD53" s="4" t="s">
        <v>85</v>
      </c>
      <c r="AE53" s="4" t="s">
        <v>85</v>
      </c>
      <c r="AF53" s="4" t="s">
        <v>91</v>
      </c>
      <c r="AG53" s="4" t="s">
        <v>85</v>
      </c>
      <c r="AH53" s="4" t="s">
        <v>91</v>
      </c>
      <c r="AI53" s="5">
        <v>30000</v>
      </c>
      <c r="AJ53" s="4" t="s">
        <v>79</v>
      </c>
      <c r="AK53" s="4" t="s">
        <v>79</v>
      </c>
      <c r="AL53" s="5">
        <v>30000</v>
      </c>
      <c r="AM53" s="4" t="s">
        <v>87</v>
      </c>
      <c r="AN53" s="4" t="s">
        <v>85</v>
      </c>
      <c r="AO53" s="4" t="s">
        <v>85</v>
      </c>
      <c r="AP53" s="4" t="s">
        <v>118</v>
      </c>
      <c r="AQ53" s="4" t="s">
        <v>85</v>
      </c>
      <c r="AR53" s="4" t="s">
        <v>85</v>
      </c>
      <c r="AS53" s="6">
        <v>0</v>
      </c>
      <c r="AT53" s="6">
        <v>0</v>
      </c>
      <c r="AU53" s="4" t="s">
        <v>91</v>
      </c>
      <c r="AV53" s="4" t="s">
        <v>85</v>
      </c>
      <c r="AW53" s="4" t="s">
        <v>91</v>
      </c>
      <c r="AX53" s="4" t="s">
        <v>91</v>
      </c>
      <c r="AY53" s="4" t="s">
        <v>85</v>
      </c>
      <c r="AZ53" s="4" t="s">
        <v>93</v>
      </c>
      <c r="BA53" s="4" t="s">
        <v>85</v>
      </c>
      <c r="BB53" s="4" t="s">
        <v>85</v>
      </c>
      <c r="BC53" s="4" t="s">
        <v>91</v>
      </c>
      <c r="BD53" s="4" t="s">
        <v>79</v>
      </c>
      <c r="BE53" s="4" t="s">
        <v>94</v>
      </c>
      <c r="BF53" s="4" t="s">
        <v>85</v>
      </c>
      <c r="BG53" s="4" t="s">
        <v>85</v>
      </c>
      <c r="BH53" s="4" t="s">
        <v>85</v>
      </c>
      <c r="BI53" s="4" t="s">
        <v>91</v>
      </c>
      <c r="BJ53" s="4" t="s">
        <v>91</v>
      </c>
      <c r="BK53" s="4" t="s">
        <v>85</v>
      </c>
      <c r="BL53" s="4" t="s">
        <v>85</v>
      </c>
      <c r="BM53" s="4" t="s">
        <v>95</v>
      </c>
      <c r="BN53" s="4" t="s">
        <v>96</v>
      </c>
      <c r="BO53" s="6">
        <v>0</v>
      </c>
      <c r="BP53" s="4" t="s">
        <v>85</v>
      </c>
      <c r="BQ53" s="4" t="s">
        <v>85</v>
      </c>
      <c r="BR53" s="4" t="s">
        <v>91</v>
      </c>
      <c r="BS53" s="4" t="s">
        <v>85</v>
      </c>
      <c r="BT53" s="26" t="s">
        <v>388</v>
      </c>
      <c r="BU53" s="26" t="s">
        <v>1256</v>
      </c>
      <c r="BV53" s="26" t="s">
        <v>1226</v>
      </c>
      <c r="BW53" s="19" t="s">
        <v>1253</v>
      </c>
      <c r="BX53" s="19" t="s">
        <v>1255</v>
      </c>
      <c r="BY53" s="19"/>
    </row>
    <row r="54" spans="1:77">
      <c r="A54" s="24">
        <v>45981</v>
      </c>
      <c r="B54" s="24">
        <v>45981</v>
      </c>
      <c r="C54" s="3">
        <v>0.51452546296295998</v>
      </c>
      <c r="D54" s="4" t="s">
        <v>237</v>
      </c>
      <c r="E54" s="24">
        <v>45981</v>
      </c>
      <c r="F54" s="26" t="s">
        <v>249</v>
      </c>
      <c r="G54" s="26" t="s">
        <v>101</v>
      </c>
      <c r="H54" s="26" t="s">
        <v>76</v>
      </c>
      <c r="I54" s="4" t="s">
        <v>250</v>
      </c>
      <c r="J54" s="26">
        <v>1219001022</v>
      </c>
      <c r="K54" s="26" t="str">
        <f>VLOOKUP(J:J,'[2]Inventory Codes'!$B:$D,3,0)</f>
        <v>MDD</v>
      </c>
      <c r="L54" s="26" t="s">
        <v>238</v>
      </c>
      <c r="M54" s="27">
        <v>40800</v>
      </c>
      <c r="N54" s="26" t="s">
        <v>79</v>
      </c>
      <c r="O54" s="26" t="s">
        <v>248</v>
      </c>
      <c r="P54" s="26" t="s">
        <v>85</v>
      </c>
      <c r="Q54" s="5">
        <v>40800</v>
      </c>
      <c r="R54" s="4" t="s">
        <v>251</v>
      </c>
      <c r="S54" s="4" t="s">
        <v>122</v>
      </c>
      <c r="T54" s="83" t="s">
        <v>84</v>
      </c>
      <c r="U54" s="6">
        <v>1893120</v>
      </c>
      <c r="V54" s="4" t="s">
        <v>85</v>
      </c>
      <c r="W54" s="4" t="s">
        <v>85</v>
      </c>
      <c r="X54" s="4" t="s">
        <v>86</v>
      </c>
      <c r="Y54" s="4" t="s">
        <v>87</v>
      </c>
      <c r="Z54" s="4" t="s">
        <v>88</v>
      </c>
      <c r="AA54" s="4" t="s">
        <v>89</v>
      </c>
      <c r="AB54" s="4" t="s">
        <v>85</v>
      </c>
      <c r="AC54" s="4" t="s">
        <v>112</v>
      </c>
      <c r="AD54" s="4" t="s">
        <v>85</v>
      </c>
      <c r="AE54" s="4" t="s">
        <v>85</v>
      </c>
      <c r="AF54" s="4" t="s">
        <v>91</v>
      </c>
      <c r="AG54" s="4" t="s">
        <v>85</v>
      </c>
      <c r="AH54" s="4" t="s">
        <v>91</v>
      </c>
      <c r="AI54" s="5">
        <v>40800</v>
      </c>
      <c r="AJ54" s="4" t="s">
        <v>79</v>
      </c>
      <c r="AK54" s="4" t="s">
        <v>79</v>
      </c>
      <c r="AL54" s="5">
        <v>40800</v>
      </c>
      <c r="AM54" s="4" t="s">
        <v>87</v>
      </c>
      <c r="AN54" s="4" t="s">
        <v>85</v>
      </c>
      <c r="AO54" s="4" t="s">
        <v>85</v>
      </c>
      <c r="AP54" s="4" t="s">
        <v>135</v>
      </c>
      <c r="AQ54" s="4" t="s">
        <v>85</v>
      </c>
      <c r="AR54" s="4" t="s">
        <v>85</v>
      </c>
      <c r="AS54" s="6">
        <v>0</v>
      </c>
      <c r="AT54" s="6">
        <v>0</v>
      </c>
      <c r="AU54" s="4" t="s">
        <v>91</v>
      </c>
      <c r="AV54" s="4" t="s">
        <v>85</v>
      </c>
      <c r="AW54" s="4" t="s">
        <v>91</v>
      </c>
      <c r="AX54" s="4" t="s">
        <v>91</v>
      </c>
      <c r="AY54" s="4" t="s">
        <v>85</v>
      </c>
      <c r="AZ54" s="4" t="s">
        <v>93</v>
      </c>
      <c r="BA54" s="4" t="s">
        <v>85</v>
      </c>
      <c r="BB54" s="4" t="s">
        <v>85</v>
      </c>
      <c r="BC54" s="4" t="s">
        <v>91</v>
      </c>
      <c r="BD54" s="4" t="s">
        <v>79</v>
      </c>
      <c r="BE54" s="4" t="s">
        <v>94</v>
      </c>
      <c r="BF54" s="4" t="s">
        <v>85</v>
      </c>
      <c r="BG54" s="4" t="s">
        <v>85</v>
      </c>
      <c r="BH54" s="4" t="s">
        <v>85</v>
      </c>
      <c r="BI54" s="4" t="s">
        <v>91</v>
      </c>
      <c r="BJ54" s="4" t="s">
        <v>91</v>
      </c>
      <c r="BK54" s="4" t="s">
        <v>85</v>
      </c>
      <c r="BL54" s="4" t="s">
        <v>85</v>
      </c>
      <c r="BM54" s="4" t="s">
        <v>95</v>
      </c>
      <c r="BN54" s="4" t="s">
        <v>96</v>
      </c>
      <c r="BO54" s="6">
        <v>0</v>
      </c>
      <c r="BP54" s="4" t="s">
        <v>85</v>
      </c>
      <c r="BQ54" s="4" t="s">
        <v>85</v>
      </c>
      <c r="BR54" s="4" t="s">
        <v>91</v>
      </c>
      <c r="BS54" s="4" t="s">
        <v>85</v>
      </c>
      <c r="BT54" s="26" t="s">
        <v>388</v>
      </c>
      <c r="BU54" s="26" t="s">
        <v>1256</v>
      </c>
      <c r="BV54" s="26" t="s">
        <v>1226</v>
      </c>
      <c r="BW54" s="19" t="s">
        <v>1253</v>
      </c>
      <c r="BX54" s="19" t="s">
        <v>1255</v>
      </c>
      <c r="BY54" s="19"/>
    </row>
    <row r="55" spans="1:77">
      <c r="A55" s="24">
        <v>45981</v>
      </c>
      <c r="B55" s="24">
        <v>45981</v>
      </c>
      <c r="C55" s="3">
        <v>0.51452546296295998</v>
      </c>
      <c r="D55" s="4" t="s">
        <v>237</v>
      </c>
      <c r="E55" s="24">
        <v>45981</v>
      </c>
      <c r="F55" s="26" t="s">
        <v>249</v>
      </c>
      <c r="G55" s="26" t="s">
        <v>101</v>
      </c>
      <c r="H55" s="26" t="s">
        <v>76</v>
      </c>
      <c r="I55" s="4" t="s">
        <v>250</v>
      </c>
      <c r="J55" s="26">
        <v>1219001022</v>
      </c>
      <c r="K55" s="26" t="str">
        <f>VLOOKUP(J:J,'[2]Inventory Codes'!$B:$D,3,0)</f>
        <v>MDD</v>
      </c>
      <c r="L55" s="26" t="s">
        <v>238</v>
      </c>
      <c r="M55" s="27">
        <v>19200</v>
      </c>
      <c r="N55" s="26" t="s">
        <v>79</v>
      </c>
      <c r="O55" s="26" t="s">
        <v>253</v>
      </c>
      <c r="P55" s="26" t="s">
        <v>85</v>
      </c>
      <c r="Q55" s="5">
        <v>19200</v>
      </c>
      <c r="R55" s="4" t="s">
        <v>251</v>
      </c>
      <c r="S55" s="4" t="s">
        <v>122</v>
      </c>
      <c r="T55" s="83" t="s">
        <v>84</v>
      </c>
      <c r="U55" s="6">
        <v>890880</v>
      </c>
      <c r="V55" s="4" t="s">
        <v>85</v>
      </c>
      <c r="W55" s="4" t="s">
        <v>85</v>
      </c>
      <c r="X55" s="4" t="s">
        <v>86</v>
      </c>
      <c r="Y55" s="4" t="s">
        <v>87</v>
      </c>
      <c r="Z55" s="4" t="s">
        <v>88</v>
      </c>
      <c r="AA55" s="4" t="s">
        <v>89</v>
      </c>
      <c r="AB55" s="4" t="s">
        <v>85</v>
      </c>
      <c r="AC55" s="4" t="s">
        <v>134</v>
      </c>
      <c r="AD55" s="4" t="s">
        <v>85</v>
      </c>
      <c r="AE55" s="4" t="s">
        <v>85</v>
      </c>
      <c r="AF55" s="4" t="s">
        <v>91</v>
      </c>
      <c r="AG55" s="4" t="s">
        <v>85</v>
      </c>
      <c r="AH55" s="4" t="s">
        <v>91</v>
      </c>
      <c r="AI55" s="5">
        <v>19200</v>
      </c>
      <c r="AJ55" s="4" t="s">
        <v>79</v>
      </c>
      <c r="AK55" s="4" t="s">
        <v>79</v>
      </c>
      <c r="AL55" s="5">
        <v>19200</v>
      </c>
      <c r="AM55" s="4" t="s">
        <v>87</v>
      </c>
      <c r="AN55" s="4" t="s">
        <v>85</v>
      </c>
      <c r="AO55" s="4" t="s">
        <v>85</v>
      </c>
      <c r="AP55" s="4" t="s">
        <v>135</v>
      </c>
      <c r="AQ55" s="4" t="s">
        <v>85</v>
      </c>
      <c r="AR55" s="4" t="s">
        <v>85</v>
      </c>
      <c r="AS55" s="6">
        <v>0</v>
      </c>
      <c r="AT55" s="6">
        <v>0</v>
      </c>
      <c r="AU55" s="4" t="s">
        <v>91</v>
      </c>
      <c r="AV55" s="4" t="s">
        <v>85</v>
      </c>
      <c r="AW55" s="4" t="s">
        <v>91</v>
      </c>
      <c r="AX55" s="4" t="s">
        <v>91</v>
      </c>
      <c r="AY55" s="4" t="s">
        <v>85</v>
      </c>
      <c r="AZ55" s="4" t="s">
        <v>93</v>
      </c>
      <c r="BA55" s="4" t="s">
        <v>85</v>
      </c>
      <c r="BB55" s="4" t="s">
        <v>85</v>
      </c>
      <c r="BC55" s="4" t="s">
        <v>91</v>
      </c>
      <c r="BD55" s="4" t="s">
        <v>79</v>
      </c>
      <c r="BE55" s="4" t="s">
        <v>94</v>
      </c>
      <c r="BF55" s="4" t="s">
        <v>85</v>
      </c>
      <c r="BG55" s="4" t="s">
        <v>85</v>
      </c>
      <c r="BH55" s="4" t="s">
        <v>85</v>
      </c>
      <c r="BI55" s="4" t="s">
        <v>91</v>
      </c>
      <c r="BJ55" s="4" t="s">
        <v>91</v>
      </c>
      <c r="BK55" s="4" t="s">
        <v>85</v>
      </c>
      <c r="BL55" s="4" t="s">
        <v>85</v>
      </c>
      <c r="BM55" s="4" t="s">
        <v>95</v>
      </c>
      <c r="BN55" s="4" t="s">
        <v>96</v>
      </c>
      <c r="BO55" s="6">
        <v>0</v>
      </c>
      <c r="BP55" s="4" t="s">
        <v>85</v>
      </c>
      <c r="BQ55" s="4" t="s">
        <v>85</v>
      </c>
      <c r="BR55" s="4" t="s">
        <v>91</v>
      </c>
      <c r="BS55" s="4" t="s">
        <v>85</v>
      </c>
      <c r="BT55" s="26" t="s">
        <v>388</v>
      </c>
      <c r="BU55" s="26" t="s">
        <v>1256</v>
      </c>
      <c r="BV55" s="26" t="s">
        <v>1226</v>
      </c>
      <c r="BW55" s="19" t="s">
        <v>1253</v>
      </c>
      <c r="BX55" s="19" t="s">
        <v>1255</v>
      </c>
      <c r="BY55" s="19"/>
    </row>
    <row r="56" spans="1:77">
      <c r="A56" s="24">
        <v>45981</v>
      </c>
      <c r="B56" s="24">
        <v>45981</v>
      </c>
      <c r="C56" s="3">
        <v>0.62684027777777995</v>
      </c>
      <c r="D56" s="4" t="s">
        <v>168</v>
      </c>
      <c r="E56" s="24">
        <v>45981</v>
      </c>
      <c r="F56" s="26" t="s">
        <v>254</v>
      </c>
      <c r="G56" s="26" t="s">
        <v>101</v>
      </c>
      <c r="H56" s="26" t="s">
        <v>76</v>
      </c>
      <c r="I56" s="4" t="s">
        <v>255</v>
      </c>
      <c r="J56" s="26">
        <v>1219000509</v>
      </c>
      <c r="K56" s="26" t="str">
        <f>VLOOKUP(J:J,'[2]Inventory Codes'!$B:$D,3,0)</f>
        <v>MDD</v>
      </c>
      <c r="L56" s="26" t="s">
        <v>171</v>
      </c>
      <c r="M56" s="27">
        <v>12000</v>
      </c>
      <c r="N56" s="26" t="s">
        <v>79</v>
      </c>
      <c r="O56" s="26" t="s">
        <v>248</v>
      </c>
      <c r="P56" s="26" t="s">
        <v>85</v>
      </c>
      <c r="Q56" s="5">
        <v>12000</v>
      </c>
      <c r="R56" s="4" t="s">
        <v>256</v>
      </c>
      <c r="S56" s="4" t="s">
        <v>122</v>
      </c>
      <c r="T56" s="83" t="s">
        <v>84</v>
      </c>
      <c r="U56" s="6">
        <v>2486880</v>
      </c>
      <c r="V56" s="4" t="s">
        <v>85</v>
      </c>
      <c r="W56" s="4" t="s">
        <v>85</v>
      </c>
      <c r="X56" s="4" t="s">
        <v>86</v>
      </c>
      <c r="Y56" s="4" t="s">
        <v>87</v>
      </c>
      <c r="Z56" s="4" t="s">
        <v>88</v>
      </c>
      <c r="AA56" s="4" t="s">
        <v>89</v>
      </c>
      <c r="AB56" s="4" t="s">
        <v>85</v>
      </c>
      <c r="AC56" s="4" t="s">
        <v>98</v>
      </c>
      <c r="AD56" s="4" t="s">
        <v>85</v>
      </c>
      <c r="AE56" s="4" t="s">
        <v>85</v>
      </c>
      <c r="AF56" s="4" t="s">
        <v>91</v>
      </c>
      <c r="AG56" s="4" t="s">
        <v>85</v>
      </c>
      <c r="AH56" s="4" t="s">
        <v>91</v>
      </c>
      <c r="AI56" s="5">
        <v>12000</v>
      </c>
      <c r="AJ56" s="4" t="s">
        <v>79</v>
      </c>
      <c r="AK56" s="4" t="s">
        <v>79</v>
      </c>
      <c r="AL56" s="5">
        <v>12000</v>
      </c>
      <c r="AM56" s="4" t="s">
        <v>87</v>
      </c>
      <c r="AN56" s="4" t="s">
        <v>85</v>
      </c>
      <c r="AO56" s="4" t="s">
        <v>85</v>
      </c>
      <c r="AP56" s="4" t="s">
        <v>118</v>
      </c>
      <c r="AQ56" s="4" t="s">
        <v>85</v>
      </c>
      <c r="AR56" s="4" t="s">
        <v>85</v>
      </c>
      <c r="AS56" s="6">
        <v>0</v>
      </c>
      <c r="AT56" s="6">
        <v>0</v>
      </c>
      <c r="AU56" s="4" t="s">
        <v>91</v>
      </c>
      <c r="AV56" s="4" t="s">
        <v>85</v>
      </c>
      <c r="AW56" s="4" t="s">
        <v>91</v>
      </c>
      <c r="AX56" s="4" t="s">
        <v>91</v>
      </c>
      <c r="AY56" s="4" t="s">
        <v>85</v>
      </c>
      <c r="AZ56" s="4" t="s">
        <v>93</v>
      </c>
      <c r="BA56" s="4" t="s">
        <v>85</v>
      </c>
      <c r="BB56" s="4" t="s">
        <v>85</v>
      </c>
      <c r="BC56" s="4" t="s">
        <v>91</v>
      </c>
      <c r="BD56" s="4" t="s">
        <v>79</v>
      </c>
      <c r="BE56" s="4" t="s">
        <v>94</v>
      </c>
      <c r="BF56" s="4" t="s">
        <v>85</v>
      </c>
      <c r="BG56" s="4" t="s">
        <v>85</v>
      </c>
      <c r="BH56" s="4" t="s">
        <v>85</v>
      </c>
      <c r="BI56" s="4" t="s">
        <v>91</v>
      </c>
      <c r="BJ56" s="4" t="s">
        <v>91</v>
      </c>
      <c r="BK56" s="4" t="s">
        <v>85</v>
      </c>
      <c r="BL56" s="4" t="s">
        <v>85</v>
      </c>
      <c r="BM56" s="4" t="s">
        <v>95</v>
      </c>
      <c r="BN56" s="4" t="s">
        <v>96</v>
      </c>
      <c r="BO56" s="6">
        <v>0</v>
      </c>
      <c r="BP56" s="4" t="s">
        <v>85</v>
      </c>
      <c r="BQ56" s="4" t="s">
        <v>85</v>
      </c>
      <c r="BR56" s="4" t="s">
        <v>91</v>
      </c>
      <c r="BS56" s="4" t="s">
        <v>85</v>
      </c>
      <c r="BT56" s="26" t="s">
        <v>388</v>
      </c>
      <c r="BU56" s="26" t="s">
        <v>1249</v>
      </c>
      <c r="BV56" s="26" t="s">
        <v>1226</v>
      </c>
      <c r="BW56" s="19" t="s">
        <v>1257</v>
      </c>
      <c r="BX56" s="19" t="s">
        <v>1250</v>
      </c>
      <c r="BY56" s="19"/>
    </row>
    <row r="57" spans="1:77">
      <c r="A57" s="24">
        <v>45981</v>
      </c>
      <c r="B57" s="24">
        <v>45981</v>
      </c>
      <c r="C57" s="3">
        <v>0.62684027777777995</v>
      </c>
      <c r="D57" s="4" t="s">
        <v>237</v>
      </c>
      <c r="E57" s="24">
        <v>45981</v>
      </c>
      <c r="F57" s="26" t="s">
        <v>254</v>
      </c>
      <c r="G57" s="26" t="s">
        <v>101</v>
      </c>
      <c r="H57" s="26" t="s">
        <v>76</v>
      </c>
      <c r="I57" s="4" t="s">
        <v>255</v>
      </c>
      <c r="J57" s="26">
        <v>1219001022</v>
      </c>
      <c r="K57" s="26" t="str">
        <f>VLOOKUP(J:J,'[2]Inventory Codes'!$B:$D,3,0)</f>
        <v>MDD</v>
      </c>
      <c r="L57" s="26" t="s">
        <v>238</v>
      </c>
      <c r="M57" s="27">
        <v>12000</v>
      </c>
      <c r="N57" s="26" t="s">
        <v>79</v>
      </c>
      <c r="O57" s="26" t="s">
        <v>257</v>
      </c>
      <c r="P57" s="26" t="s">
        <v>85</v>
      </c>
      <c r="Q57" s="5">
        <v>12000</v>
      </c>
      <c r="R57" s="4" t="s">
        <v>256</v>
      </c>
      <c r="S57" s="4" t="s">
        <v>122</v>
      </c>
      <c r="T57" s="83" t="s">
        <v>84</v>
      </c>
      <c r="U57" s="6">
        <v>556800</v>
      </c>
      <c r="V57" s="4" t="s">
        <v>85</v>
      </c>
      <c r="W57" s="4" t="s">
        <v>85</v>
      </c>
      <c r="X57" s="4" t="s">
        <v>86</v>
      </c>
      <c r="Y57" s="4" t="s">
        <v>87</v>
      </c>
      <c r="Z57" s="4" t="s">
        <v>88</v>
      </c>
      <c r="AA57" s="4" t="s">
        <v>89</v>
      </c>
      <c r="AB57" s="4" t="s">
        <v>85</v>
      </c>
      <c r="AC57" s="4" t="s">
        <v>90</v>
      </c>
      <c r="AD57" s="4" t="s">
        <v>85</v>
      </c>
      <c r="AE57" s="4" t="s">
        <v>85</v>
      </c>
      <c r="AF57" s="4" t="s">
        <v>91</v>
      </c>
      <c r="AG57" s="4" t="s">
        <v>85</v>
      </c>
      <c r="AH57" s="4" t="s">
        <v>91</v>
      </c>
      <c r="AI57" s="5">
        <v>12000</v>
      </c>
      <c r="AJ57" s="4" t="s">
        <v>79</v>
      </c>
      <c r="AK57" s="4" t="s">
        <v>79</v>
      </c>
      <c r="AL57" s="5">
        <v>12000</v>
      </c>
      <c r="AM57" s="4" t="s">
        <v>87</v>
      </c>
      <c r="AN57" s="4" t="s">
        <v>85</v>
      </c>
      <c r="AO57" s="4" t="s">
        <v>85</v>
      </c>
      <c r="AP57" s="4" t="s">
        <v>107</v>
      </c>
      <c r="AQ57" s="4" t="s">
        <v>85</v>
      </c>
      <c r="AR57" s="4" t="s">
        <v>85</v>
      </c>
      <c r="AS57" s="6">
        <v>0</v>
      </c>
      <c r="AT57" s="6">
        <v>0</v>
      </c>
      <c r="AU57" s="4" t="s">
        <v>91</v>
      </c>
      <c r="AV57" s="4" t="s">
        <v>85</v>
      </c>
      <c r="AW57" s="4" t="s">
        <v>91</v>
      </c>
      <c r="AX57" s="4" t="s">
        <v>91</v>
      </c>
      <c r="AY57" s="4" t="s">
        <v>85</v>
      </c>
      <c r="AZ57" s="4" t="s">
        <v>93</v>
      </c>
      <c r="BA57" s="4" t="s">
        <v>85</v>
      </c>
      <c r="BB57" s="4" t="s">
        <v>85</v>
      </c>
      <c r="BC57" s="4" t="s">
        <v>91</v>
      </c>
      <c r="BD57" s="4" t="s">
        <v>79</v>
      </c>
      <c r="BE57" s="4" t="s">
        <v>94</v>
      </c>
      <c r="BF57" s="4" t="s">
        <v>85</v>
      </c>
      <c r="BG57" s="4" t="s">
        <v>85</v>
      </c>
      <c r="BH57" s="4" t="s">
        <v>85</v>
      </c>
      <c r="BI57" s="4" t="s">
        <v>91</v>
      </c>
      <c r="BJ57" s="4" t="s">
        <v>91</v>
      </c>
      <c r="BK57" s="4" t="s">
        <v>85</v>
      </c>
      <c r="BL57" s="4" t="s">
        <v>85</v>
      </c>
      <c r="BM57" s="4" t="s">
        <v>95</v>
      </c>
      <c r="BN57" s="4" t="s">
        <v>96</v>
      </c>
      <c r="BO57" s="6">
        <v>0</v>
      </c>
      <c r="BP57" s="4" t="s">
        <v>85</v>
      </c>
      <c r="BQ57" s="4" t="s">
        <v>85</v>
      </c>
      <c r="BR57" s="4" t="s">
        <v>91</v>
      </c>
      <c r="BS57" s="4" t="s">
        <v>85</v>
      </c>
      <c r="BT57" s="26" t="s">
        <v>388</v>
      </c>
      <c r="BU57" s="26" t="s">
        <v>1249</v>
      </c>
      <c r="BV57" s="26" t="s">
        <v>1226</v>
      </c>
      <c r="BW57" s="19" t="s">
        <v>1257</v>
      </c>
      <c r="BX57" s="19" t="s">
        <v>1250</v>
      </c>
      <c r="BY57" s="19"/>
    </row>
    <row r="58" spans="1:77">
      <c r="A58" s="24">
        <v>45986</v>
      </c>
      <c r="B58" s="24">
        <v>45986</v>
      </c>
      <c r="C58" s="3">
        <v>0.44722222222222002</v>
      </c>
      <c r="D58" s="4" t="s">
        <v>168</v>
      </c>
      <c r="E58" s="24">
        <v>45986</v>
      </c>
      <c r="F58" s="26" t="s">
        <v>254</v>
      </c>
      <c r="G58" s="26" t="s">
        <v>101</v>
      </c>
      <c r="H58" s="26" t="s">
        <v>76</v>
      </c>
      <c r="I58" s="4" t="s">
        <v>258</v>
      </c>
      <c r="J58" s="26">
        <v>1219000509</v>
      </c>
      <c r="K58" s="26" t="str">
        <f>VLOOKUP(J:J,'[2]Inventory Codes'!$B:$D,3,0)</f>
        <v>MDD</v>
      </c>
      <c r="L58" s="26" t="s">
        <v>171</v>
      </c>
      <c r="M58" s="27">
        <v>5</v>
      </c>
      <c r="N58" s="26" t="s">
        <v>79</v>
      </c>
      <c r="O58" s="26" t="s">
        <v>257</v>
      </c>
      <c r="P58" s="26" t="s">
        <v>259</v>
      </c>
      <c r="Q58" s="5">
        <v>5</v>
      </c>
      <c r="R58" s="4" t="s">
        <v>256</v>
      </c>
      <c r="S58" s="4" t="s">
        <v>83</v>
      </c>
      <c r="T58" s="83" t="s">
        <v>260</v>
      </c>
      <c r="U58" s="6">
        <v>1036.2</v>
      </c>
      <c r="V58" s="4" t="s">
        <v>85</v>
      </c>
      <c r="W58" s="4" t="s">
        <v>85</v>
      </c>
      <c r="X58" s="4" t="s">
        <v>86</v>
      </c>
      <c r="Y58" s="4" t="s">
        <v>87</v>
      </c>
      <c r="Z58" s="4" t="s">
        <v>88</v>
      </c>
      <c r="AA58" s="4" t="s">
        <v>89</v>
      </c>
      <c r="AB58" s="4" t="s">
        <v>85</v>
      </c>
      <c r="AC58" s="4" t="s">
        <v>98</v>
      </c>
      <c r="AD58" s="4" t="s">
        <v>85</v>
      </c>
      <c r="AE58" s="4" t="s">
        <v>85</v>
      </c>
      <c r="AF58" s="4" t="s">
        <v>91</v>
      </c>
      <c r="AG58" s="4" t="s">
        <v>85</v>
      </c>
      <c r="AH58" s="4" t="s">
        <v>91</v>
      </c>
      <c r="AI58" s="5">
        <v>5</v>
      </c>
      <c r="AJ58" s="4" t="s">
        <v>79</v>
      </c>
      <c r="AK58" s="4" t="s">
        <v>79</v>
      </c>
      <c r="AL58" s="5">
        <v>5</v>
      </c>
      <c r="AM58" s="4" t="s">
        <v>87</v>
      </c>
      <c r="AN58" s="4" t="s">
        <v>85</v>
      </c>
      <c r="AO58" s="4" t="s">
        <v>85</v>
      </c>
      <c r="AP58" s="4" t="s">
        <v>118</v>
      </c>
      <c r="AQ58" s="4" t="s">
        <v>85</v>
      </c>
      <c r="AR58" s="4" t="s">
        <v>85</v>
      </c>
      <c r="AS58" s="6">
        <v>0</v>
      </c>
      <c r="AT58" s="6">
        <v>0</v>
      </c>
      <c r="AU58" s="4" t="s">
        <v>91</v>
      </c>
      <c r="AV58" s="4" t="s">
        <v>85</v>
      </c>
      <c r="AW58" s="4" t="s">
        <v>91</v>
      </c>
      <c r="AX58" s="4" t="s">
        <v>91</v>
      </c>
      <c r="AY58" s="4" t="s">
        <v>85</v>
      </c>
      <c r="AZ58" s="4" t="s">
        <v>93</v>
      </c>
      <c r="BA58" s="4" t="s">
        <v>85</v>
      </c>
      <c r="BB58" s="4" t="s">
        <v>85</v>
      </c>
      <c r="BC58" s="4" t="s">
        <v>91</v>
      </c>
      <c r="BD58" s="4" t="s">
        <v>79</v>
      </c>
      <c r="BE58" s="4" t="s">
        <v>94</v>
      </c>
      <c r="BF58" s="4" t="s">
        <v>85</v>
      </c>
      <c r="BG58" s="4" t="s">
        <v>85</v>
      </c>
      <c r="BH58" s="4" t="s">
        <v>85</v>
      </c>
      <c r="BI58" s="4" t="s">
        <v>91</v>
      </c>
      <c r="BJ58" s="4" t="s">
        <v>91</v>
      </c>
      <c r="BK58" s="4" t="s">
        <v>85</v>
      </c>
      <c r="BL58" s="4" t="s">
        <v>85</v>
      </c>
      <c r="BM58" s="4" t="s">
        <v>95</v>
      </c>
      <c r="BN58" s="4" t="s">
        <v>96</v>
      </c>
      <c r="BO58" s="6">
        <v>0</v>
      </c>
      <c r="BP58" s="4" t="s">
        <v>85</v>
      </c>
      <c r="BQ58" s="4" t="s">
        <v>85</v>
      </c>
      <c r="BR58" s="4" t="s">
        <v>91</v>
      </c>
      <c r="BS58" s="4" t="s">
        <v>85</v>
      </c>
      <c r="BT58" s="26" t="s">
        <v>388</v>
      </c>
      <c r="BU58" s="26" t="s">
        <v>1249</v>
      </c>
      <c r="BV58" s="26" t="s">
        <v>1226</v>
      </c>
      <c r="BW58" s="19" t="s">
        <v>1254</v>
      </c>
      <c r="BX58" s="19" t="s">
        <v>1250</v>
      </c>
      <c r="BY58" s="19"/>
    </row>
    <row r="59" spans="1:77">
      <c r="A59" s="24">
        <v>45986</v>
      </c>
      <c r="B59" s="24">
        <v>45986</v>
      </c>
      <c r="C59" s="3">
        <v>0.44790509259258998</v>
      </c>
      <c r="D59" s="4" t="s">
        <v>168</v>
      </c>
      <c r="E59" s="24">
        <v>45986</v>
      </c>
      <c r="F59" s="26" t="s">
        <v>254</v>
      </c>
      <c r="G59" s="26" t="s">
        <v>101</v>
      </c>
      <c r="H59" s="26" t="s">
        <v>76</v>
      </c>
      <c r="I59" s="4" t="s">
        <v>261</v>
      </c>
      <c r="J59" s="26">
        <v>1219000509</v>
      </c>
      <c r="K59" s="26" t="str">
        <f>VLOOKUP(J:J,'[2]Inventory Codes'!$B:$D,3,0)</f>
        <v>MDD</v>
      </c>
      <c r="L59" s="26" t="s">
        <v>171</v>
      </c>
      <c r="M59" s="27">
        <v>137995</v>
      </c>
      <c r="N59" s="26" t="s">
        <v>79</v>
      </c>
      <c r="O59" s="26" t="s">
        <v>257</v>
      </c>
      <c r="P59" s="26" t="s">
        <v>259</v>
      </c>
      <c r="Q59" s="5">
        <v>137995</v>
      </c>
      <c r="R59" s="4" t="s">
        <v>256</v>
      </c>
      <c r="S59" s="4" t="s">
        <v>83</v>
      </c>
      <c r="T59" s="83" t="s">
        <v>84</v>
      </c>
      <c r="U59" s="6">
        <v>28598083.800000001</v>
      </c>
      <c r="V59" s="4" t="s">
        <v>85</v>
      </c>
      <c r="W59" s="4" t="s">
        <v>85</v>
      </c>
      <c r="X59" s="4" t="s">
        <v>86</v>
      </c>
      <c r="Y59" s="4" t="s">
        <v>87</v>
      </c>
      <c r="Z59" s="4" t="s">
        <v>88</v>
      </c>
      <c r="AA59" s="4" t="s">
        <v>89</v>
      </c>
      <c r="AB59" s="4" t="s">
        <v>85</v>
      </c>
      <c r="AC59" s="4" t="s">
        <v>98</v>
      </c>
      <c r="AD59" s="4" t="s">
        <v>85</v>
      </c>
      <c r="AE59" s="4" t="s">
        <v>85</v>
      </c>
      <c r="AF59" s="4" t="s">
        <v>91</v>
      </c>
      <c r="AG59" s="4" t="s">
        <v>85</v>
      </c>
      <c r="AH59" s="4" t="s">
        <v>91</v>
      </c>
      <c r="AI59" s="5">
        <v>137995</v>
      </c>
      <c r="AJ59" s="4" t="s">
        <v>79</v>
      </c>
      <c r="AK59" s="4" t="s">
        <v>79</v>
      </c>
      <c r="AL59" s="5">
        <v>137995</v>
      </c>
      <c r="AM59" s="4" t="s">
        <v>87</v>
      </c>
      <c r="AN59" s="4" t="s">
        <v>85</v>
      </c>
      <c r="AO59" s="4" t="s">
        <v>85</v>
      </c>
      <c r="AP59" s="4" t="s">
        <v>118</v>
      </c>
      <c r="AQ59" s="4" t="s">
        <v>85</v>
      </c>
      <c r="AR59" s="4" t="s">
        <v>85</v>
      </c>
      <c r="AS59" s="6">
        <v>0</v>
      </c>
      <c r="AT59" s="6">
        <v>0</v>
      </c>
      <c r="AU59" s="4" t="s">
        <v>91</v>
      </c>
      <c r="AV59" s="4" t="s">
        <v>85</v>
      </c>
      <c r="AW59" s="4" t="s">
        <v>91</v>
      </c>
      <c r="AX59" s="4" t="s">
        <v>91</v>
      </c>
      <c r="AY59" s="4" t="s">
        <v>85</v>
      </c>
      <c r="AZ59" s="4" t="s">
        <v>93</v>
      </c>
      <c r="BA59" s="4" t="s">
        <v>85</v>
      </c>
      <c r="BB59" s="4" t="s">
        <v>85</v>
      </c>
      <c r="BC59" s="4" t="s">
        <v>91</v>
      </c>
      <c r="BD59" s="4" t="s">
        <v>79</v>
      </c>
      <c r="BE59" s="4" t="s">
        <v>94</v>
      </c>
      <c r="BF59" s="4" t="s">
        <v>85</v>
      </c>
      <c r="BG59" s="4" t="s">
        <v>85</v>
      </c>
      <c r="BH59" s="4" t="s">
        <v>85</v>
      </c>
      <c r="BI59" s="4" t="s">
        <v>91</v>
      </c>
      <c r="BJ59" s="4" t="s">
        <v>91</v>
      </c>
      <c r="BK59" s="4" t="s">
        <v>85</v>
      </c>
      <c r="BL59" s="4" t="s">
        <v>85</v>
      </c>
      <c r="BM59" s="4" t="s">
        <v>95</v>
      </c>
      <c r="BN59" s="4" t="s">
        <v>96</v>
      </c>
      <c r="BO59" s="6">
        <v>0</v>
      </c>
      <c r="BP59" s="4" t="s">
        <v>85</v>
      </c>
      <c r="BQ59" s="4" t="s">
        <v>85</v>
      </c>
      <c r="BR59" s="4" t="s">
        <v>91</v>
      </c>
      <c r="BS59" s="4" t="s">
        <v>85</v>
      </c>
      <c r="BT59" s="26" t="s">
        <v>388</v>
      </c>
      <c r="BU59" s="26" t="s">
        <v>1249</v>
      </c>
      <c r="BV59" s="26" t="s">
        <v>1226</v>
      </c>
      <c r="BW59" s="19" t="s">
        <v>1254</v>
      </c>
      <c r="BX59" s="19" t="s">
        <v>1250</v>
      </c>
      <c r="BY59" s="19"/>
    </row>
    <row r="60" spans="1:77">
      <c r="A60" s="24">
        <v>45986</v>
      </c>
      <c r="B60" s="24">
        <v>45986</v>
      </c>
      <c r="C60" s="3">
        <v>0.44862268518519</v>
      </c>
      <c r="D60" s="4" t="s">
        <v>168</v>
      </c>
      <c r="E60" s="24">
        <v>45986</v>
      </c>
      <c r="F60" s="26" t="s">
        <v>254</v>
      </c>
      <c r="G60" s="26" t="s">
        <v>101</v>
      </c>
      <c r="H60" s="26" t="s">
        <v>76</v>
      </c>
      <c r="I60" s="4" t="s">
        <v>262</v>
      </c>
      <c r="J60" s="26">
        <v>1219000509</v>
      </c>
      <c r="K60" s="26" t="str">
        <f>VLOOKUP(J:J,'[2]Inventory Codes'!$B:$D,3,0)</f>
        <v>MDD</v>
      </c>
      <c r="L60" s="26" t="s">
        <v>171</v>
      </c>
      <c r="M60" s="27">
        <v>150000</v>
      </c>
      <c r="N60" s="26" t="s">
        <v>79</v>
      </c>
      <c r="O60" s="26" t="s">
        <v>263</v>
      </c>
      <c r="P60" s="26" t="s">
        <v>259</v>
      </c>
      <c r="Q60" s="5">
        <v>150000</v>
      </c>
      <c r="R60" s="4" t="s">
        <v>256</v>
      </c>
      <c r="S60" s="4" t="s">
        <v>83</v>
      </c>
      <c r="T60" s="83" t="s">
        <v>106</v>
      </c>
      <c r="U60" s="6">
        <v>31086000</v>
      </c>
      <c r="V60" s="4" t="s">
        <v>85</v>
      </c>
      <c r="W60" s="4" t="s">
        <v>85</v>
      </c>
      <c r="X60" s="4" t="s">
        <v>86</v>
      </c>
      <c r="Y60" s="4" t="s">
        <v>87</v>
      </c>
      <c r="Z60" s="4" t="s">
        <v>88</v>
      </c>
      <c r="AA60" s="4" t="s">
        <v>89</v>
      </c>
      <c r="AB60" s="4" t="s">
        <v>85</v>
      </c>
      <c r="AC60" s="4" t="s">
        <v>98</v>
      </c>
      <c r="AD60" s="4" t="s">
        <v>85</v>
      </c>
      <c r="AE60" s="4" t="s">
        <v>85</v>
      </c>
      <c r="AF60" s="4" t="s">
        <v>91</v>
      </c>
      <c r="AG60" s="4" t="s">
        <v>85</v>
      </c>
      <c r="AH60" s="4" t="s">
        <v>91</v>
      </c>
      <c r="AI60" s="5">
        <v>150000</v>
      </c>
      <c r="AJ60" s="4" t="s">
        <v>79</v>
      </c>
      <c r="AK60" s="4" t="s">
        <v>79</v>
      </c>
      <c r="AL60" s="5">
        <v>150000</v>
      </c>
      <c r="AM60" s="4" t="s">
        <v>87</v>
      </c>
      <c r="AN60" s="4" t="s">
        <v>85</v>
      </c>
      <c r="AO60" s="4" t="s">
        <v>85</v>
      </c>
      <c r="AP60" s="4" t="s">
        <v>118</v>
      </c>
      <c r="AQ60" s="4" t="s">
        <v>85</v>
      </c>
      <c r="AR60" s="4" t="s">
        <v>85</v>
      </c>
      <c r="AS60" s="6">
        <v>0</v>
      </c>
      <c r="AT60" s="6">
        <v>0</v>
      </c>
      <c r="AU60" s="4" t="s">
        <v>91</v>
      </c>
      <c r="AV60" s="4" t="s">
        <v>85</v>
      </c>
      <c r="AW60" s="4" t="s">
        <v>91</v>
      </c>
      <c r="AX60" s="4" t="s">
        <v>91</v>
      </c>
      <c r="AY60" s="4" t="s">
        <v>85</v>
      </c>
      <c r="AZ60" s="4" t="s">
        <v>93</v>
      </c>
      <c r="BA60" s="4" t="s">
        <v>85</v>
      </c>
      <c r="BB60" s="4" t="s">
        <v>85</v>
      </c>
      <c r="BC60" s="4" t="s">
        <v>91</v>
      </c>
      <c r="BD60" s="4" t="s">
        <v>79</v>
      </c>
      <c r="BE60" s="4" t="s">
        <v>94</v>
      </c>
      <c r="BF60" s="4" t="s">
        <v>85</v>
      </c>
      <c r="BG60" s="4" t="s">
        <v>85</v>
      </c>
      <c r="BH60" s="4" t="s">
        <v>85</v>
      </c>
      <c r="BI60" s="4" t="s">
        <v>91</v>
      </c>
      <c r="BJ60" s="4" t="s">
        <v>91</v>
      </c>
      <c r="BK60" s="4" t="s">
        <v>85</v>
      </c>
      <c r="BL60" s="4" t="s">
        <v>85</v>
      </c>
      <c r="BM60" s="4" t="s">
        <v>95</v>
      </c>
      <c r="BN60" s="4" t="s">
        <v>96</v>
      </c>
      <c r="BO60" s="6">
        <v>0</v>
      </c>
      <c r="BP60" s="4" t="s">
        <v>85</v>
      </c>
      <c r="BQ60" s="4" t="s">
        <v>85</v>
      </c>
      <c r="BR60" s="4" t="s">
        <v>91</v>
      </c>
      <c r="BS60" s="4" t="s">
        <v>85</v>
      </c>
      <c r="BT60" s="26" t="s">
        <v>388</v>
      </c>
      <c r="BU60" s="26" t="s">
        <v>1249</v>
      </c>
      <c r="BV60" s="26" t="s">
        <v>1226</v>
      </c>
      <c r="BW60" s="19" t="s">
        <v>1254</v>
      </c>
      <c r="BX60" s="19" t="s">
        <v>1250</v>
      </c>
      <c r="BY60" s="19"/>
    </row>
    <row r="61" spans="1:77">
      <c r="A61" s="24">
        <v>45986</v>
      </c>
      <c r="B61" s="24">
        <v>45986</v>
      </c>
      <c r="C61" s="3">
        <v>0.45011574074074001</v>
      </c>
      <c r="D61" s="4" t="s">
        <v>237</v>
      </c>
      <c r="E61" s="24">
        <v>45986</v>
      </c>
      <c r="F61" s="26" t="s">
        <v>254</v>
      </c>
      <c r="G61" s="26" t="s">
        <v>101</v>
      </c>
      <c r="H61" s="26" t="s">
        <v>76</v>
      </c>
      <c r="I61" s="4" t="s">
        <v>264</v>
      </c>
      <c r="J61" s="26">
        <v>1219001022</v>
      </c>
      <c r="K61" s="26" t="str">
        <f>VLOOKUP(J:J,'[2]Inventory Codes'!$B:$D,3,0)</f>
        <v>MDD</v>
      </c>
      <c r="L61" s="26" t="s">
        <v>238</v>
      </c>
      <c r="M61" s="27">
        <v>140000</v>
      </c>
      <c r="N61" s="26" t="s">
        <v>79</v>
      </c>
      <c r="O61" s="26" t="s">
        <v>265</v>
      </c>
      <c r="P61" s="26" t="s">
        <v>259</v>
      </c>
      <c r="Q61" s="5">
        <v>140000</v>
      </c>
      <c r="R61" s="4" t="s">
        <v>256</v>
      </c>
      <c r="S61" s="4" t="s">
        <v>83</v>
      </c>
      <c r="T61" s="83" t="s">
        <v>84</v>
      </c>
      <c r="U61" s="6">
        <v>6496000</v>
      </c>
      <c r="V61" s="4" t="s">
        <v>85</v>
      </c>
      <c r="W61" s="4" t="s">
        <v>85</v>
      </c>
      <c r="X61" s="4" t="s">
        <v>86</v>
      </c>
      <c r="Y61" s="4" t="s">
        <v>87</v>
      </c>
      <c r="Z61" s="4" t="s">
        <v>88</v>
      </c>
      <c r="AA61" s="4" t="s">
        <v>89</v>
      </c>
      <c r="AB61" s="4" t="s">
        <v>85</v>
      </c>
      <c r="AC61" s="4" t="s">
        <v>98</v>
      </c>
      <c r="AD61" s="4" t="s">
        <v>85</v>
      </c>
      <c r="AE61" s="4" t="s">
        <v>85</v>
      </c>
      <c r="AF61" s="4" t="s">
        <v>91</v>
      </c>
      <c r="AG61" s="4" t="s">
        <v>85</v>
      </c>
      <c r="AH61" s="4" t="s">
        <v>91</v>
      </c>
      <c r="AI61" s="5">
        <v>140000</v>
      </c>
      <c r="AJ61" s="4" t="s">
        <v>79</v>
      </c>
      <c r="AK61" s="4" t="s">
        <v>79</v>
      </c>
      <c r="AL61" s="5">
        <v>140000</v>
      </c>
      <c r="AM61" s="4" t="s">
        <v>87</v>
      </c>
      <c r="AN61" s="4" t="s">
        <v>85</v>
      </c>
      <c r="AO61" s="4" t="s">
        <v>85</v>
      </c>
      <c r="AP61" s="4" t="s">
        <v>107</v>
      </c>
      <c r="AQ61" s="4" t="s">
        <v>85</v>
      </c>
      <c r="AR61" s="4" t="s">
        <v>85</v>
      </c>
      <c r="AS61" s="6">
        <v>0</v>
      </c>
      <c r="AT61" s="6">
        <v>0</v>
      </c>
      <c r="AU61" s="4" t="s">
        <v>91</v>
      </c>
      <c r="AV61" s="4" t="s">
        <v>85</v>
      </c>
      <c r="AW61" s="4" t="s">
        <v>91</v>
      </c>
      <c r="AX61" s="4" t="s">
        <v>91</v>
      </c>
      <c r="AY61" s="4" t="s">
        <v>85</v>
      </c>
      <c r="AZ61" s="4" t="s">
        <v>93</v>
      </c>
      <c r="BA61" s="4" t="s">
        <v>85</v>
      </c>
      <c r="BB61" s="4" t="s">
        <v>85</v>
      </c>
      <c r="BC61" s="4" t="s">
        <v>91</v>
      </c>
      <c r="BD61" s="4" t="s">
        <v>79</v>
      </c>
      <c r="BE61" s="4" t="s">
        <v>94</v>
      </c>
      <c r="BF61" s="4" t="s">
        <v>85</v>
      </c>
      <c r="BG61" s="4" t="s">
        <v>85</v>
      </c>
      <c r="BH61" s="4" t="s">
        <v>85</v>
      </c>
      <c r="BI61" s="4" t="s">
        <v>91</v>
      </c>
      <c r="BJ61" s="4" t="s">
        <v>91</v>
      </c>
      <c r="BK61" s="4" t="s">
        <v>85</v>
      </c>
      <c r="BL61" s="4" t="s">
        <v>85</v>
      </c>
      <c r="BM61" s="4" t="s">
        <v>95</v>
      </c>
      <c r="BN61" s="4" t="s">
        <v>96</v>
      </c>
      <c r="BO61" s="6">
        <v>0</v>
      </c>
      <c r="BP61" s="4" t="s">
        <v>85</v>
      </c>
      <c r="BQ61" s="4" t="s">
        <v>85</v>
      </c>
      <c r="BR61" s="4" t="s">
        <v>91</v>
      </c>
      <c r="BS61" s="4" t="s">
        <v>85</v>
      </c>
      <c r="BT61" s="26" t="s">
        <v>388</v>
      </c>
      <c r="BU61" s="26" t="s">
        <v>1249</v>
      </c>
      <c r="BV61" s="26" t="s">
        <v>1226</v>
      </c>
      <c r="BW61" s="19" t="s">
        <v>1254</v>
      </c>
      <c r="BX61" s="19" t="s">
        <v>1250</v>
      </c>
      <c r="BY61" s="19"/>
    </row>
    <row r="62" spans="1:77">
      <c r="A62" s="24">
        <v>45986</v>
      </c>
      <c r="B62" s="24">
        <v>45986</v>
      </c>
      <c r="C62" s="3">
        <v>0.45011574074074001</v>
      </c>
      <c r="D62" s="4" t="s">
        <v>237</v>
      </c>
      <c r="E62" s="24">
        <v>45986</v>
      </c>
      <c r="F62" s="26" t="s">
        <v>254</v>
      </c>
      <c r="G62" s="26" t="s">
        <v>101</v>
      </c>
      <c r="H62" s="26" t="s">
        <v>76</v>
      </c>
      <c r="I62" s="4" t="s">
        <v>264</v>
      </c>
      <c r="J62" s="26">
        <v>1219001022</v>
      </c>
      <c r="K62" s="26" t="str">
        <f>VLOOKUP(J:J,'[2]Inventory Codes'!$B:$D,3,0)</f>
        <v>MDD</v>
      </c>
      <c r="L62" s="26" t="s">
        <v>238</v>
      </c>
      <c r="M62" s="27">
        <v>140000</v>
      </c>
      <c r="N62" s="26" t="s">
        <v>79</v>
      </c>
      <c r="O62" s="26" t="s">
        <v>266</v>
      </c>
      <c r="P62" s="26" t="s">
        <v>259</v>
      </c>
      <c r="Q62" s="5">
        <v>140000</v>
      </c>
      <c r="R62" s="4" t="s">
        <v>256</v>
      </c>
      <c r="S62" s="4" t="s">
        <v>83</v>
      </c>
      <c r="T62" s="83" t="s">
        <v>84</v>
      </c>
      <c r="U62" s="6">
        <v>6496000</v>
      </c>
      <c r="V62" s="4" t="s">
        <v>85</v>
      </c>
      <c r="W62" s="4" t="s">
        <v>85</v>
      </c>
      <c r="X62" s="4" t="s">
        <v>86</v>
      </c>
      <c r="Y62" s="4" t="s">
        <v>87</v>
      </c>
      <c r="Z62" s="4" t="s">
        <v>88</v>
      </c>
      <c r="AA62" s="4" t="s">
        <v>89</v>
      </c>
      <c r="AB62" s="4" t="s">
        <v>85</v>
      </c>
      <c r="AC62" s="4" t="s">
        <v>90</v>
      </c>
      <c r="AD62" s="4" t="s">
        <v>85</v>
      </c>
      <c r="AE62" s="4" t="s">
        <v>85</v>
      </c>
      <c r="AF62" s="4" t="s">
        <v>91</v>
      </c>
      <c r="AG62" s="4" t="s">
        <v>85</v>
      </c>
      <c r="AH62" s="4" t="s">
        <v>91</v>
      </c>
      <c r="AI62" s="5">
        <v>140000</v>
      </c>
      <c r="AJ62" s="4" t="s">
        <v>79</v>
      </c>
      <c r="AK62" s="4" t="s">
        <v>79</v>
      </c>
      <c r="AL62" s="5">
        <v>140000</v>
      </c>
      <c r="AM62" s="4" t="s">
        <v>87</v>
      </c>
      <c r="AN62" s="4" t="s">
        <v>85</v>
      </c>
      <c r="AO62" s="4" t="s">
        <v>85</v>
      </c>
      <c r="AP62" s="4" t="s">
        <v>107</v>
      </c>
      <c r="AQ62" s="4" t="s">
        <v>85</v>
      </c>
      <c r="AR62" s="4" t="s">
        <v>85</v>
      </c>
      <c r="AS62" s="6">
        <v>0</v>
      </c>
      <c r="AT62" s="6">
        <v>0</v>
      </c>
      <c r="AU62" s="4" t="s">
        <v>91</v>
      </c>
      <c r="AV62" s="4" t="s">
        <v>85</v>
      </c>
      <c r="AW62" s="4" t="s">
        <v>91</v>
      </c>
      <c r="AX62" s="4" t="s">
        <v>91</v>
      </c>
      <c r="AY62" s="4" t="s">
        <v>85</v>
      </c>
      <c r="AZ62" s="4" t="s">
        <v>93</v>
      </c>
      <c r="BA62" s="4" t="s">
        <v>85</v>
      </c>
      <c r="BB62" s="4" t="s">
        <v>85</v>
      </c>
      <c r="BC62" s="4" t="s">
        <v>91</v>
      </c>
      <c r="BD62" s="4" t="s">
        <v>79</v>
      </c>
      <c r="BE62" s="4" t="s">
        <v>94</v>
      </c>
      <c r="BF62" s="4" t="s">
        <v>85</v>
      </c>
      <c r="BG62" s="4" t="s">
        <v>85</v>
      </c>
      <c r="BH62" s="4" t="s">
        <v>85</v>
      </c>
      <c r="BI62" s="4" t="s">
        <v>91</v>
      </c>
      <c r="BJ62" s="4" t="s">
        <v>91</v>
      </c>
      <c r="BK62" s="4" t="s">
        <v>85</v>
      </c>
      <c r="BL62" s="4" t="s">
        <v>85</v>
      </c>
      <c r="BM62" s="4" t="s">
        <v>95</v>
      </c>
      <c r="BN62" s="4" t="s">
        <v>96</v>
      </c>
      <c r="BO62" s="6">
        <v>0</v>
      </c>
      <c r="BP62" s="4" t="s">
        <v>85</v>
      </c>
      <c r="BQ62" s="4" t="s">
        <v>85</v>
      </c>
      <c r="BR62" s="4" t="s">
        <v>91</v>
      </c>
      <c r="BS62" s="4" t="s">
        <v>85</v>
      </c>
      <c r="BT62" s="26" t="s">
        <v>388</v>
      </c>
      <c r="BU62" s="26" t="s">
        <v>1249</v>
      </c>
      <c r="BV62" s="26" t="s">
        <v>1226</v>
      </c>
      <c r="BW62" s="19" t="s">
        <v>1254</v>
      </c>
      <c r="BX62" s="19" t="s">
        <v>1250</v>
      </c>
      <c r="BY62" s="19"/>
    </row>
    <row r="63" spans="1:77">
      <c r="A63" s="24">
        <v>45986</v>
      </c>
      <c r="B63" s="24">
        <v>45986</v>
      </c>
      <c r="C63" s="3">
        <v>0.45011574074074001</v>
      </c>
      <c r="D63" s="4" t="s">
        <v>237</v>
      </c>
      <c r="E63" s="24">
        <v>45986</v>
      </c>
      <c r="F63" s="26" t="s">
        <v>254</v>
      </c>
      <c r="G63" s="26" t="s">
        <v>101</v>
      </c>
      <c r="H63" s="26" t="s">
        <v>76</v>
      </c>
      <c r="I63" s="4" t="s">
        <v>264</v>
      </c>
      <c r="J63" s="26">
        <v>1219001022</v>
      </c>
      <c r="K63" s="26" t="str">
        <f>VLOOKUP(J:J,'[2]Inventory Codes'!$B:$D,3,0)</f>
        <v>MDD</v>
      </c>
      <c r="L63" s="26" t="s">
        <v>238</v>
      </c>
      <c r="M63" s="27">
        <v>8000</v>
      </c>
      <c r="N63" s="26" t="s">
        <v>79</v>
      </c>
      <c r="O63" s="26" t="s">
        <v>248</v>
      </c>
      <c r="P63" s="26" t="s">
        <v>259</v>
      </c>
      <c r="Q63" s="5">
        <v>8000</v>
      </c>
      <c r="R63" s="4" t="s">
        <v>256</v>
      </c>
      <c r="S63" s="4" t="s">
        <v>83</v>
      </c>
      <c r="T63" s="83" t="s">
        <v>84</v>
      </c>
      <c r="U63" s="6">
        <v>371200</v>
      </c>
      <c r="V63" s="4" t="s">
        <v>85</v>
      </c>
      <c r="W63" s="4" t="s">
        <v>85</v>
      </c>
      <c r="X63" s="4" t="s">
        <v>86</v>
      </c>
      <c r="Y63" s="4" t="s">
        <v>87</v>
      </c>
      <c r="Z63" s="4" t="s">
        <v>88</v>
      </c>
      <c r="AA63" s="4" t="s">
        <v>89</v>
      </c>
      <c r="AB63" s="4" t="s">
        <v>85</v>
      </c>
      <c r="AC63" s="4" t="s">
        <v>112</v>
      </c>
      <c r="AD63" s="4" t="s">
        <v>85</v>
      </c>
      <c r="AE63" s="4" t="s">
        <v>85</v>
      </c>
      <c r="AF63" s="4" t="s">
        <v>91</v>
      </c>
      <c r="AG63" s="4" t="s">
        <v>85</v>
      </c>
      <c r="AH63" s="4" t="s">
        <v>91</v>
      </c>
      <c r="AI63" s="5">
        <v>8000</v>
      </c>
      <c r="AJ63" s="4" t="s">
        <v>79</v>
      </c>
      <c r="AK63" s="4" t="s">
        <v>79</v>
      </c>
      <c r="AL63" s="5">
        <v>8000</v>
      </c>
      <c r="AM63" s="4" t="s">
        <v>87</v>
      </c>
      <c r="AN63" s="4" t="s">
        <v>85</v>
      </c>
      <c r="AO63" s="4" t="s">
        <v>85</v>
      </c>
      <c r="AP63" s="4" t="s">
        <v>107</v>
      </c>
      <c r="AQ63" s="4" t="s">
        <v>85</v>
      </c>
      <c r="AR63" s="4" t="s">
        <v>85</v>
      </c>
      <c r="AS63" s="6">
        <v>0</v>
      </c>
      <c r="AT63" s="6">
        <v>0</v>
      </c>
      <c r="AU63" s="4" t="s">
        <v>91</v>
      </c>
      <c r="AV63" s="4" t="s">
        <v>85</v>
      </c>
      <c r="AW63" s="4" t="s">
        <v>91</v>
      </c>
      <c r="AX63" s="4" t="s">
        <v>91</v>
      </c>
      <c r="AY63" s="4" t="s">
        <v>85</v>
      </c>
      <c r="AZ63" s="4" t="s">
        <v>93</v>
      </c>
      <c r="BA63" s="4" t="s">
        <v>85</v>
      </c>
      <c r="BB63" s="4" t="s">
        <v>85</v>
      </c>
      <c r="BC63" s="4" t="s">
        <v>91</v>
      </c>
      <c r="BD63" s="4" t="s">
        <v>79</v>
      </c>
      <c r="BE63" s="4" t="s">
        <v>94</v>
      </c>
      <c r="BF63" s="4" t="s">
        <v>85</v>
      </c>
      <c r="BG63" s="4" t="s">
        <v>85</v>
      </c>
      <c r="BH63" s="4" t="s">
        <v>85</v>
      </c>
      <c r="BI63" s="4" t="s">
        <v>91</v>
      </c>
      <c r="BJ63" s="4" t="s">
        <v>91</v>
      </c>
      <c r="BK63" s="4" t="s">
        <v>85</v>
      </c>
      <c r="BL63" s="4" t="s">
        <v>85</v>
      </c>
      <c r="BM63" s="4" t="s">
        <v>95</v>
      </c>
      <c r="BN63" s="4" t="s">
        <v>96</v>
      </c>
      <c r="BO63" s="6">
        <v>0</v>
      </c>
      <c r="BP63" s="4" t="s">
        <v>85</v>
      </c>
      <c r="BQ63" s="4" t="s">
        <v>85</v>
      </c>
      <c r="BR63" s="4" t="s">
        <v>91</v>
      </c>
      <c r="BS63" s="4" t="s">
        <v>85</v>
      </c>
      <c r="BT63" s="26" t="s">
        <v>388</v>
      </c>
      <c r="BU63" s="26" t="s">
        <v>1249</v>
      </c>
      <c r="BV63" s="26" t="s">
        <v>1226</v>
      </c>
      <c r="BW63" s="19" t="s">
        <v>1254</v>
      </c>
      <c r="BX63" s="19" t="s">
        <v>1250</v>
      </c>
      <c r="BY63" s="19"/>
    </row>
    <row r="64" spans="1:77">
      <c r="A64" s="24">
        <v>45989</v>
      </c>
      <c r="B64" s="24">
        <v>45989</v>
      </c>
      <c r="C64" s="3">
        <v>0.74290509259258997</v>
      </c>
      <c r="D64" s="4" t="s">
        <v>113</v>
      </c>
      <c r="E64" s="24">
        <v>45989</v>
      </c>
      <c r="F64" s="26" t="s">
        <v>267</v>
      </c>
      <c r="G64" s="26" t="s">
        <v>101</v>
      </c>
      <c r="H64" s="26" t="s">
        <v>76</v>
      </c>
      <c r="I64" s="4" t="s">
        <v>268</v>
      </c>
      <c r="J64" s="26">
        <v>1219000780</v>
      </c>
      <c r="K64" s="26" t="str">
        <f>VLOOKUP(J:J,'[2]Inventory Codes'!$B:$D,3,0)</f>
        <v>MDD</v>
      </c>
      <c r="L64" s="26" t="s">
        <v>115</v>
      </c>
      <c r="M64" s="27">
        <v>80000</v>
      </c>
      <c r="N64" s="26" t="s">
        <v>79</v>
      </c>
      <c r="O64" s="26" t="s">
        <v>269</v>
      </c>
      <c r="P64" s="26" t="s">
        <v>267</v>
      </c>
      <c r="Q64" s="5">
        <v>80000</v>
      </c>
      <c r="R64" s="4" t="s">
        <v>256</v>
      </c>
      <c r="S64" s="4" t="s">
        <v>122</v>
      </c>
      <c r="T64" s="83" t="s">
        <v>84</v>
      </c>
      <c r="U64" s="6">
        <v>37075200</v>
      </c>
      <c r="V64" s="4" t="s">
        <v>85</v>
      </c>
      <c r="W64" s="4" t="s">
        <v>85</v>
      </c>
      <c r="X64" s="4" t="s">
        <v>86</v>
      </c>
      <c r="Y64" s="4" t="s">
        <v>87</v>
      </c>
      <c r="Z64" s="4" t="s">
        <v>88</v>
      </c>
      <c r="AA64" s="4" t="s">
        <v>89</v>
      </c>
      <c r="AB64" s="4" t="s">
        <v>85</v>
      </c>
      <c r="AC64" s="4" t="s">
        <v>98</v>
      </c>
      <c r="AD64" s="4" t="s">
        <v>85</v>
      </c>
      <c r="AE64" s="4" t="s">
        <v>85</v>
      </c>
      <c r="AF64" s="4" t="s">
        <v>91</v>
      </c>
      <c r="AG64" s="4" t="s">
        <v>85</v>
      </c>
      <c r="AH64" s="4" t="s">
        <v>91</v>
      </c>
      <c r="AI64" s="5">
        <v>80000</v>
      </c>
      <c r="AJ64" s="4" t="s">
        <v>79</v>
      </c>
      <c r="AK64" s="4" t="s">
        <v>79</v>
      </c>
      <c r="AL64" s="5">
        <v>80000</v>
      </c>
      <c r="AM64" s="4" t="s">
        <v>87</v>
      </c>
      <c r="AN64" s="4" t="s">
        <v>85</v>
      </c>
      <c r="AO64" s="4" t="s">
        <v>85</v>
      </c>
      <c r="AP64" s="4" t="s">
        <v>118</v>
      </c>
      <c r="AQ64" s="4" t="s">
        <v>85</v>
      </c>
      <c r="AR64" s="4" t="s">
        <v>85</v>
      </c>
      <c r="AS64" s="6">
        <v>0</v>
      </c>
      <c r="AT64" s="6">
        <v>0</v>
      </c>
      <c r="AU64" s="4" t="s">
        <v>91</v>
      </c>
      <c r="AV64" s="4" t="s">
        <v>85</v>
      </c>
      <c r="AW64" s="4" t="s">
        <v>91</v>
      </c>
      <c r="AX64" s="4" t="s">
        <v>91</v>
      </c>
      <c r="AY64" s="4" t="s">
        <v>85</v>
      </c>
      <c r="AZ64" s="4" t="s">
        <v>93</v>
      </c>
      <c r="BA64" s="4" t="s">
        <v>85</v>
      </c>
      <c r="BB64" s="4" t="s">
        <v>85</v>
      </c>
      <c r="BC64" s="4" t="s">
        <v>91</v>
      </c>
      <c r="BD64" s="4" t="s">
        <v>79</v>
      </c>
      <c r="BE64" s="4" t="s">
        <v>94</v>
      </c>
      <c r="BF64" s="4" t="s">
        <v>85</v>
      </c>
      <c r="BG64" s="4" t="s">
        <v>85</v>
      </c>
      <c r="BH64" s="4" t="s">
        <v>85</v>
      </c>
      <c r="BI64" s="4" t="s">
        <v>91</v>
      </c>
      <c r="BJ64" s="4" t="s">
        <v>91</v>
      </c>
      <c r="BK64" s="4" t="s">
        <v>85</v>
      </c>
      <c r="BL64" s="4" t="s">
        <v>85</v>
      </c>
      <c r="BM64" s="4" t="s">
        <v>95</v>
      </c>
      <c r="BN64" s="4" t="s">
        <v>96</v>
      </c>
      <c r="BO64" s="6">
        <v>0</v>
      </c>
      <c r="BP64" s="4" t="s">
        <v>85</v>
      </c>
      <c r="BQ64" s="4" t="s">
        <v>85</v>
      </c>
      <c r="BR64" s="4" t="s">
        <v>91</v>
      </c>
      <c r="BS64" s="4" t="s">
        <v>85</v>
      </c>
      <c r="BT64" s="26" t="s">
        <v>388</v>
      </c>
      <c r="BU64" s="26" t="s">
        <v>1249</v>
      </c>
      <c r="BV64" s="26" t="s">
        <v>1226</v>
      </c>
      <c r="BW64" s="19" t="s">
        <v>1259</v>
      </c>
      <c r="BX64" s="19" t="s">
        <v>1258</v>
      </c>
      <c r="BY64" s="19"/>
    </row>
    <row r="65" spans="1:77">
      <c r="A65" s="24">
        <v>45989</v>
      </c>
      <c r="B65" s="24">
        <v>45989</v>
      </c>
      <c r="C65" s="3">
        <v>0.74290509259258997</v>
      </c>
      <c r="D65" s="4" t="s">
        <v>237</v>
      </c>
      <c r="E65" s="24">
        <v>45989</v>
      </c>
      <c r="F65" s="26" t="s">
        <v>267</v>
      </c>
      <c r="G65" s="26" t="s">
        <v>101</v>
      </c>
      <c r="H65" s="26" t="s">
        <v>76</v>
      </c>
      <c r="I65" s="4" t="s">
        <v>268</v>
      </c>
      <c r="J65" s="26">
        <v>1219001022</v>
      </c>
      <c r="K65" s="26" t="str">
        <f>VLOOKUP(J:J,'[2]Inventory Codes'!$B:$D,3,0)</f>
        <v>MDD</v>
      </c>
      <c r="L65" s="26" t="s">
        <v>238</v>
      </c>
      <c r="M65" s="27">
        <v>76000</v>
      </c>
      <c r="N65" s="26" t="s">
        <v>79</v>
      </c>
      <c r="O65" s="26" t="s">
        <v>253</v>
      </c>
      <c r="P65" s="26" t="s">
        <v>267</v>
      </c>
      <c r="Q65" s="5">
        <v>76000</v>
      </c>
      <c r="R65" s="4" t="s">
        <v>256</v>
      </c>
      <c r="S65" s="4" t="s">
        <v>122</v>
      </c>
      <c r="T65" s="83" t="s">
        <v>84</v>
      </c>
      <c r="U65" s="6">
        <v>3526400</v>
      </c>
      <c r="V65" s="4" t="s">
        <v>85</v>
      </c>
      <c r="W65" s="4" t="s">
        <v>85</v>
      </c>
      <c r="X65" s="4" t="s">
        <v>86</v>
      </c>
      <c r="Y65" s="4" t="s">
        <v>87</v>
      </c>
      <c r="Z65" s="4" t="s">
        <v>88</v>
      </c>
      <c r="AA65" s="4" t="s">
        <v>89</v>
      </c>
      <c r="AB65" s="4" t="s">
        <v>85</v>
      </c>
      <c r="AC65" s="4" t="s">
        <v>90</v>
      </c>
      <c r="AD65" s="4" t="s">
        <v>85</v>
      </c>
      <c r="AE65" s="4" t="s">
        <v>85</v>
      </c>
      <c r="AF65" s="4" t="s">
        <v>91</v>
      </c>
      <c r="AG65" s="4" t="s">
        <v>85</v>
      </c>
      <c r="AH65" s="4" t="s">
        <v>91</v>
      </c>
      <c r="AI65" s="5">
        <v>76000</v>
      </c>
      <c r="AJ65" s="4" t="s">
        <v>79</v>
      </c>
      <c r="AK65" s="4" t="s">
        <v>79</v>
      </c>
      <c r="AL65" s="5">
        <v>76000</v>
      </c>
      <c r="AM65" s="4" t="s">
        <v>87</v>
      </c>
      <c r="AN65" s="4" t="s">
        <v>85</v>
      </c>
      <c r="AO65" s="4" t="s">
        <v>85</v>
      </c>
      <c r="AP65" s="4" t="s">
        <v>107</v>
      </c>
      <c r="AQ65" s="4" t="s">
        <v>85</v>
      </c>
      <c r="AR65" s="4" t="s">
        <v>85</v>
      </c>
      <c r="AS65" s="6">
        <v>0</v>
      </c>
      <c r="AT65" s="6">
        <v>0</v>
      </c>
      <c r="AU65" s="4" t="s">
        <v>91</v>
      </c>
      <c r="AV65" s="4" t="s">
        <v>85</v>
      </c>
      <c r="AW65" s="4" t="s">
        <v>91</v>
      </c>
      <c r="AX65" s="4" t="s">
        <v>91</v>
      </c>
      <c r="AY65" s="4" t="s">
        <v>85</v>
      </c>
      <c r="AZ65" s="4" t="s">
        <v>93</v>
      </c>
      <c r="BA65" s="4" t="s">
        <v>85</v>
      </c>
      <c r="BB65" s="4" t="s">
        <v>85</v>
      </c>
      <c r="BC65" s="4" t="s">
        <v>91</v>
      </c>
      <c r="BD65" s="4" t="s">
        <v>79</v>
      </c>
      <c r="BE65" s="4" t="s">
        <v>94</v>
      </c>
      <c r="BF65" s="4" t="s">
        <v>85</v>
      </c>
      <c r="BG65" s="4" t="s">
        <v>85</v>
      </c>
      <c r="BH65" s="4" t="s">
        <v>85</v>
      </c>
      <c r="BI65" s="4" t="s">
        <v>91</v>
      </c>
      <c r="BJ65" s="4" t="s">
        <v>91</v>
      </c>
      <c r="BK65" s="4" t="s">
        <v>85</v>
      </c>
      <c r="BL65" s="4" t="s">
        <v>85</v>
      </c>
      <c r="BM65" s="4" t="s">
        <v>95</v>
      </c>
      <c r="BN65" s="4" t="s">
        <v>96</v>
      </c>
      <c r="BO65" s="6">
        <v>0</v>
      </c>
      <c r="BP65" s="4" t="s">
        <v>85</v>
      </c>
      <c r="BQ65" s="4" t="s">
        <v>85</v>
      </c>
      <c r="BR65" s="4" t="s">
        <v>91</v>
      </c>
      <c r="BS65" s="4" t="s">
        <v>85</v>
      </c>
      <c r="BT65" s="26" t="s">
        <v>388</v>
      </c>
      <c r="BU65" s="26" t="s">
        <v>1249</v>
      </c>
      <c r="BV65" s="26" t="s">
        <v>1226</v>
      </c>
      <c r="BW65" s="19" t="s">
        <v>1259</v>
      </c>
      <c r="BX65" s="19" t="s">
        <v>1258</v>
      </c>
      <c r="BY65" s="19"/>
    </row>
    <row r="66" spans="1:77">
      <c r="A66" s="24">
        <v>46003</v>
      </c>
      <c r="B66" s="24">
        <v>46003</v>
      </c>
      <c r="C66" s="3">
        <v>0.63504629629630005</v>
      </c>
      <c r="D66" s="4" t="s">
        <v>136</v>
      </c>
      <c r="E66" s="24">
        <v>46003</v>
      </c>
      <c r="F66" s="26" t="s">
        <v>272</v>
      </c>
      <c r="G66" s="26" t="s">
        <v>75</v>
      </c>
      <c r="H66" s="26" t="s">
        <v>76</v>
      </c>
      <c r="I66" s="4" t="s">
        <v>273</v>
      </c>
      <c r="J66" s="26">
        <v>1219000754</v>
      </c>
      <c r="K66" s="26" t="str">
        <f>VLOOKUP(J:J,'[2]Inventory Codes'!$B:$D,3,0)</f>
        <v>CC</v>
      </c>
      <c r="L66" s="26" t="s">
        <v>139</v>
      </c>
      <c r="M66" s="27">
        <v>376</v>
      </c>
      <c r="N66" s="26" t="s">
        <v>79</v>
      </c>
      <c r="O66" s="26" t="s">
        <v>142</v>
      </c>
      <c r="P66" s="26" t="s">
        <v>85</v>
      </c>
      <c r="Q66" s="5">
        <v>376</v>
      </c>
      <c r="R66" s="4" t="s">
        <v>274</v>
      </c>
      <c r="S66" s="4" t="s">
        <v>122</v>
      </c>
      <c r="T66" s="83" t="s">
        <v>84</v>
      </c>
      <c r="U66" s="6">
        <v>320852.08</v>
      </c>
      <c r="V66" s="4" t="s">
        <v>85</v>
      </c>
      <c r="W66" s="4" t="s">
        <v>85</v>
      </c>
      <c r="X66" s="4" t="s">
        <v>86</v>
      </c>
      <c r="Y66" s="4" t="s">
        <v>87</v>
      </c>
      <c r="Z66" s="4" t="s">
        <v>88</v>
      </c>
      <c r="AA66" s="4" t="s">
        <v>89</v>
      </c>
      <c r="AB66" s="4" t="s">
        <v>85</v>
      </c>
      <c r="AC66" s="4" t="s">
        <v>112</v>
      </c>
      <c r="AD66" s="4" t="s">
        <v>85</v>
      </c>
      <c r="AE66" s="4" t="s">
        <v>85</v>
      </c>
      <c r="AF66" s="4" t="s">
        <v>91</v>
      </c>
      <c r="AG66" s="4" t="s">
        <v>85</v>
      </c>
      <c r="AH66" s="4" t="s">
        <v>91</v>
      </c>
      <c r="AI66" s="5">
        <v>376</v>
      </c>
      <c r="AJ66" s="4" t="s">
        <v>79</v>
      </c>
      <c r="AK66" s="4" t="s">
        <v>79</v>
      </c>
      <c r="AL66" s="5">
        <v>376</v>
      </c>
      <c r="AM66" s="4" t="s">
        <v>87</v>
      </c>
      <c r="AN66" s="4" t="s">
        <v>85</v>
      </c>
      <c r="AO66" s="4" t="s">
        <v>85</v>
      </c>
      <c r="AP66" s="4" t="s">
        <v>118</v>
      </c>
      <c r="AQ66" s="4" t="s">
        <v>85</v>
      </c>
      <c r="AR66" s="4" t="s">
        <v>85</v>
      </c>
      <c r="AS66" s="6">
        <v>0</v>
      </c>
      <c r="AT66" s="6">
        <v>0</v>
      </c>
      <c r="AU66" s="4" t="s">
        <v>91</v>
      </c>
      <c r="AV66" s="4" t="s">
        <v>85</v>
      </c>
      <c r="AW66" s="4" t="s">
        <v>91</v>
      </c>
      <c r="AX66" s="4" t="s">
        <v>91</v>
      </c>
      <c r="AY66" s="4" t="s">
        <v>85</v>
      </c>
      <c r="AZ66" s="4" t="s">
        <v>93</v>
      </c>
      <c r="BA66" s="4" t="s">
        <v>85</v>
      </c>
      <c r="BB66" s="4" t="s">
        <v>85</v>
      </c>
      <c r="BC66" s="4" t="s">
        <v>91</v>
      </c>
      <c r="BD66" s="4" t="s">
        <v>79</v>
      </c>
      <c r="BE66" s="4" t="s">
        <v>94</v>
      </c>
      <c r="BF66" s="4" t="s">
        <v>85</v>
      </c>
      <c r="BG66" s="4" t="s">
        <v>85</v>
      </c>
      <c r="BH66" s="4" t="s">
        <v>85</v>
      </c>
      <c r="BI66" s="4" t="s">
        <v>91</v>
      </c>
      <c r="BJ66" s="4" t="s">
        <v>91</v>
      </c>
      <c r="BK66" s="4" t="s">
        <v>85</v>
      </c>
      <c r="BL66" s="4" t="s">
        <v>85</v>
      </c>
      <c r="BM66" s="4" t="s">
        <v>95</v>
      </c>
      <c r="BN66" s="4" t="s">
        <v>96</v>
      </c>
      <c r="BO66" s="6">
        <v>0</v>
      </c>
      <c r="BP66" s="4" t="s">
        <v>85</v>
      </c>
      <c r="BQ66" s="4" t="s">
        <v>85</v>
      </c>
      <c r="BR66" s="4" t="s">
        <v>91</v>
      </c>
      <c r="BS66" s="4" t="s">
        <v>85</v>
      </c>
      <c r="BT66" s="26" t="s">
        <v>388</v>
      </c>
      <c r="BU66" s="26" t="s">
        <v>1261</v>
      </c>
      <c r="BV66" s="26" t="s">
        <v>1260</v>
      </c>
      <c r="BW66" s="19" t="s">
        <v>1262</v>
      </c>
      <c r="BX66" s="19" t="s">
        <v>1249</v>
      </c>
      <c r="BY66" s="19"/>
    </row>
    <row r="67" spans="1:77">
      <c r="A67" s="24">
        <v>46003</v>
      </c>
      <c r="B67" s="24">
        <v>46003</v>
      </c>
      <c r="C67" s="3">
        <v>0.63504629629630005</v>
      </c>
      <c r="D67" s="4" t="s">
        <v>136</v>
      </c>
      <c r="E67" s="24">
        <v>46003</v>
      </c>
      <c r="F67" s="26" t="s">
        <v>272</v>
      </c>
      <c r="G67" s="26" t="s">
        <v>75</v>
      </c>
      <c r="H67" s="26" t="s">
        <v>76</v>
      </c>
      <c r="I67" s="4" t="s">
        <v>273</v>
      </c>
      <c r="J67" s="26">
        <v>1219000754</v>
      </c>
      <c r="K67" s="26" t="str">
        <f>VLOOKUP(J:J,'[2]Inventory Codes'!$B:$D,3,0)</f>
        <v>CC</v>
      </c>
      <c r="L67" s="26" t="s">
        <v>139</v>
      </c>
      <c r="M67" s="27">
        <v>3584</v>
      </c>
      <c r="N67" s="26" t="s">
        <v>79</v>
      </c>
      <c r="O67" s="26" t="s">
        <v>275</v>
      </c>
      <c r="P67" s="26" t="s">
        <v>85</v>
      </c>
      <c r="Q67" s="5">
        <v>3584</v>
      </c>
      <c r="R67" s="4" t="s">
        <v>274</v>
      </c>
      <c r="S67" s="4" t="s">
        <v>122</v>
      </c>
      <c r="T67" s="83" t="s">
        <v>84</v>
      </c>
      <c r="U67" s="6">
        <v>3058334.72</v>
      </c>
      <c r="V67" s="4" t="s">
        <v>85</v>
      </c>
      <c r="W67" s="4" t="s">
        <v>85</v>
      </c>
      <c r="X67" s="4" t="s">
        <v>86</v>
      </c>
      <c r="Y67" s="4" t="s">
        <v>87</v>
      </c>
      <c r="Z67" s="4" t="s">
        <v>88</v>
      </c>
      <c r="AA67" s="4" t="s">
        <v>89</v>
      </c>
      <c r="AB67" s="4" t="s">
        <v>85</v>
      </c>
      <c r="AC67" s="4" t="s">
        <v>134</v>
      </c>
      <c r="AD67" s="4" t="s">
        <v>85</v>
      </c>
      <c r="AE67" s="4" t="s">
        <v>85</v>
      </c>
      <c r="AF67" s="4" t="s">
        <v>91</v>
      </c>
      <c r="AG67" s="4" t="s">
        <v>85</v>
      </c>
      <c r="AH67" s="4" t="s">
        <v>91</v>
      </c>
      <c r="AI67" s="5">
        <v>3584</v>
      </c>
      <c r="AJ67" s="4" t="s">
        <v>79</v>
      </c>
      <c r="AK67" s="4" t="s">
        <v>79</v>
      </c>
      <c r="AL67" s="5">
        <v>3584</v>
      </c>
      <c r="AM67" s="4" t="s">
        <v>87</v>
      </c>
      <c r="AN67" s="4" t="s">
        <v>85</v>
      </c>
      <c r="AO67" s="4" t="s">
        <v>85</v>
      </c>
      <c r="AP67" s="4" t="s">
        <v>118</v>
      </c>
      <c r="AQ67" s="4" t="s">
        <v>85</v>
      </c>
      <c r="AR67" s="4" t="s">
        <v>85</v>
      </c>
      <c r="AS67" s="6">
        <v>0</v>
      </c>
      <c r="AT67" s="6">
        <v>0</v>
      </c>
      <c r="AU67" s="4" t="s">
        <v>91</v>
      </c>
      <c r="AV67" s="4" t="s">
        <v>85</v>
      </c>
      <c r="AW67" s="4" t="s">
        <v>91</v>
      </c>
      <c r="AX67" s="4" t="s">
        <v>91</v>
      </c>
      <c r="AY67" s="4" t="s">
        <v>85</v>
      </c>
      <c r="AZ67" s="4" t="s">
        <v>93</v>
      </c>
      <c r="BA67" s="4" t="s">
        <v>85</v>
      </c>
      <c r="BB67" s="4" t="s">
        <v>85</v>
      </c>
      <c r="BC67" s="4" t="s">
        <v>91</v>
      </c>
      <c r="BD67" s="4" t="s">
        <v>79</v>
      </c>
      <c r="BE67" s="4" t="s">
        <v>94</v>
      </c>
      <c r="BF67" s="4" t="s">
        <v>85</v>
      </c>
      <c r="BG67" s="4" t="s">
        <v>85</v>
      </c>
      <c r="BH67" s="4" t="s">
        <v>85</v>
      </c>
      <c r="BI67" s="4" t="s">
        <v>91</v>
      </c>
      <c r="BJ67" s="4" t="s">
        <v>91</v>
      </c>
      <c r="BK67" s="4" t="s">
        <v>85</v>
      </c>
      <c r="BL67" s="4" t="s">
        <v>85</v>
      </c>
      <c r="BM67" s="4" t="s">
        <v>95</v>
      </c>
      <c r="BN67" s="4" t="s">
        <v>96</v>
      </c>
      <c r="BO67" s="6">
        <v>0</v>
      </c>
      <c r="BP67" s="4" t="s">
        <v>85</v>
      </c>
      <c r="BQ67" s="4" t="s">
        <v>85</v>
      </c>
      <c r="BR67" s="4" t="s">
        <v>91</v>
      </c>
      <c r="BS67" s="4" t="s">
        <v>85</v>
      </c>
      <c r="BT67" s="26" t="s">
        <v>388</v>
      </c>
      <c r="BU67" s="26" t="s">
        <v>1261</v>
      </c>
      <c r="BV67" s="26" t="s">
        <v>1260</v>
      </c>
      <c r="BW67" s="19" t="s">
        <v>1262</v>
      </c>
      <c r="BX67" s="19" t="s">
        <v>1249</v>
      </c>
      <c r="BY67" s="19"/>
    </row>
    <row r="68" spans="1:77">
      <c r="A68" s="24">
        <v>46003</v>
      </c>
      <c r="B68" s="24">
        <v>46003</v>
      </c>
      <c r="C68" s="3">
        <v>0.63504629629630005</v>
      </c>
      <c r="D68" s="4" t="s">
        <v>136</v>
      </c>
      <c r="E68" s="24">
        <v>46003</v>
      </c>
      <c r="F68" s="26" t="s">
        <v>272</v>
      </c>
      <c r="G68" s="26" t="s">
        <v>75</v>
      </c>
      <c r="H68" s="26" t="s">
        <v>76</v>
      </c>
      <c r="I68" s="4" t="s">
        <v>273</v>
      </c>
      <c r="J68" s="26">
        <v>1219000754</v>
      </c>
      <c r="K68" s="26" t="str">
        <f>VLOOKUP(J:J,'[2]Inventory Codes'!$B:$D,3,0)</f>
        <v>CC</v>
      </c>
      <c r="L68" s="26" t="s">
        <v>139</v>
      </c>
      <c r="M68" s="27">
        <v>48065</v>
      </c>
      <c r="N68" s="26" t="s">
        <v>79</v>
      </c>
      <c r="O68" s="26" t="s">
        <v>276</v>
      </c>
      <c r="P68" s="26" t="s">
        <v>85</v>
      </c>
      <c r="Q68" s="5">
        <v>48065</v>
      </c>
      <c r="R68" s="4" t="s">
        <v>274</v>
      </c>
      <c r="S68" s="4" t="s">
        <v>122</v>
      </c>
      <c r="T68" s="83" t="s">
        <v>106</v>
      </c>
      <c r="U68" s="6">
        <v>41015306.450000003</v>
      </c>
      <c r="V68" s="4" t="s">
        <v>85</v>
      </c>
      <c r="W68" s="4" t="s">
        <v>85</v>
      </c>
      <c r="X68" s="4" t="s">
        <v>86</v>
      </c>
      <c r="Y68" s="4" t="s">
        <v>87</v>
      </c>
      <c r="Z68" s="4" t="s">
        <v>88</v>
      </c>
      <c r="AA68" s="4" t="s">
        <v>89</v>
      </c>
      <c r="AB68" s="4" t="s">
        <v>85</v>
      </c>
      <c r="AC68" s="4" t="s">
        <v>98</v>
      </c>
      <c r="AD68" s="4" t="s">
        <v>85</v>
      </c>
      <c r="AE68" s="4" t="s">
        <v>85</v>
      </c>
      <c r="AF68" s="4" t="s">
        <v>91</v>
      </c>
      <c r="AG68" s="4" t="s">
        <v>85</v>
      </c>
      <c r="AH68" s="4" t="s">
        <v>91</v>
      </c>
      <c r="AI68" s="5">
        <v>48065</v>
      </c>
      <c r="AJ68" s="4" t="s">
        <v>79</v>
      </c>
      <c r="AK68" s="4" t="s">
        <v>79</v>
      </c>
      <c r="AL68" s="5">
        <v>48065</v>
      </c>
      <c r="AM68" s="4" t="s">
        <v>87</v>
      </c>
      <c r="AN68" s="4" t="s">
        <v>85</v>
      </c>
      <c r="AO68" s="4" t="s">
        <v>85</v>
      </c>
      <c r="AP68" s="4" t="s">
        <v>118</v>
      </c>
      <c r="AQ68" s="4" t="s">
        <v>85</v>
      </c>
      <c r="AR68" s="4" t="s">
        <v>85</v>
      </c>
      <c r="AS68" s="6">
        <v>0</v>
      </c>
      <c r="AT68" s="6">
        <v>0</v>
      </c>
      <c r="AU68" s="4" t="s">
        <v>91</v>
      </c>
      <c r="AV68" s="4" t="s">
        <v>85</v>
      </c>
      <c r="AW68" s="4" t="s">
        <v>91</v>
      </c>
      <c r="AX68" s="4" t="s">
        <v>91</v>
      </c>
      <c r="AY68" s="4" t="s">
        <v>85</v>
      </c>
      <c r="AZ68" s="4" t="s">
        <v>93</v>
      </c>
      <c r="BA68" s="4" t="s">
        <v>85</v>
      </c>
      <c r="BB68" s="4" t="s">
        <v>85</v>
      </c>
      <c r="BC68" s="4" t="s">
        <v>91</v>
      </c>
      <c r="BD68" s="4" t="s">
        <v>79</v>
      </c>
      <c r="BE68" s="4" t="s">
        <v>94</v>
      </c>
      <c r="BF68" s="4" t="s">
        <v>85</v>
      </c>
      <c r="BG68" s="4" t="s">
        <v>85</v>
      </c>
      <c r="BH68" s="4" t="s">
        <v>85</v>
      </c>
      <c r="BI68" s="4" t="s">
        <v>91</v>
      </c>
      <c r="BJ68" s="4" t="s">
        <v>91</v>
      </c>
      <c r="BK68" s="4" t="s">
        <v>85</v>
      </c>
      <c r="BL68" s="4" t="s">
        <v>85</v>
      </c>
      <c r="BM68" s="4" t="s">
        <v>95</v>
      </c>
      <c r="BN68" s="4" t="s">
        <v>96</v>
      </c>
      <c r="BO68" s="6">
        <v>0</v>
      </c>
      <c r="BP68" s="4" t="s">
        <v>85</v>
      </c>
      <c r="BQ68" s="4" t="s">
        <v>85</v>
      </c>
      <c r="BR68" s="4" t="s">
        <v>91</v>
      </c>
      <c r="BS68" s="4" t="s">
        <v>85</v>
      </c>
      <c r="BT68" s="26" t="s">
        <v>388</v>
      </c>
      <c r="BU68" s="26" t="s">
        <v>1261</v>
      </c>
      <c r="BV68" s="26" t="s">
        <v>1260</v>
      </c>
      <c r="BW68" s="19" t="s">
        <v>1262</v>
      </c>
      <c r="BX68" s="19" t="s">
        <v>1249</v>
      </c>
      <c r="BY68" s="19"/>
    </row>
    <row r="69" spans="1:77">
      <c r="A69" s="24">
        <v>46003</v>
      </c>
      <c r="B69" s="24">
        <v>46003</v>
      </c>
      <c r="C69" s="3">
        <v>0.63504629629630005</v>
      </c>
      <c r="D69" s="4" t="s">
        <v>136</v>
      </c>
      <c r="E69" s="24">
        <v>46003</v>
      </c>
      <c r="F69" s="26" t="s">
        <v>272</v>
      </c>
      <c r="G69" s="26" t="s">
        <v>75</v>
      </c>
      <c r="H69" s="26" t="s">
        <v>76</v>
      </c>
      <c r="I69" s="4" t="s">
        <v>273</v>
      </c>
      <c r="J69" s="26">
        <v>1219000754</v>
      </c>
      <c r="K69" s="26" t="str">
        <f>VLOOKUP(J:J,'[2]Inventory Codes'!$B:$D,3,0)</f>
        <v>CC</v>
      </c>
      <c r="L69" s="26" t="s">
        <v>139</v>
      </c>
      <c r="M69" s="27">
        <v>51935</v>
      </c>
      <c r="N69" s="26" t="s">
        <v>79</v>
      </c>
      <c r="O69" s="26" t="s">
        <v>277</v>
      </c>
      <c r="P69" s="26" t="s">
        <v>85</v>
      </c>
      <c r="Q69" s="5">
        <v>51935</v>
      </c>
      <c r="R69" s="4" t="s">
        <v>274</v>
      </c>
      <c r="S69" s="4" t="s">
        <v>122</v>
      </c>
      <c r="T69" s="83" t="s">
        <v>106</v>
      </c>
      <c r="U69" s="6">
        <v>44317693.549999997</v>
      </c>
      <c r="V69" s="4" t="s">
        <v>85</v>
      </c>
      <c r="W69" s="4" t="s">
        <v>85</v>
      </c>
      <c r="X69" s="4" t="s">
        <v>86</v>
      </c>
      <c r="Y69" s="4" t="s">
        <v>87</v>
      </c>
      <c r="Z69" s="4" t="s">
        <v>88</v>
      </c>
      <c r="AA69" s="4" t="s">
        <v>89</v>
      </c>
      <c r="AB69" s="4" t="s">
        <v>85</v>
      </c>
      <c r="AC69" s="4" t="s">
        <v>90</v>
      </c>
      <c r="AD69" s="4" t="s">
        <v>85</v>
      </c>
      <c r="AE69" s="4" t="s">
        <v>85</v>
      </c>
      <c r="AF69" s="4" t="s">
        <v>91</v>
      </c>
      <c r="AG69" s="4" t="s">
        <v>85</v>
      </c>
      <c r="AH69" s="4" t="s">
        <v>91</v>
      </c>
      <c r="AI69" s="5">
        <v>51935</v>
      </c>
      <c r="AJ69" s="4" t="s">
        <v>79</v>
      </c>
      <c r="AK69" s="4" t="s">
        <v>79</v>
      </c>
      <c r="AL69" s="5">
        <v>51935</v>
      </c>
      <c r="AM69" s="4" t="s">
        <v>87</v>
      </c>
      <c r="AN69" s="4" t="s">
        <v>85</v>
      </c>
      <c r="AO69" s="4" t="s">
        <v>85</v>
      </c>
      <c r="AP69" s="4" t="s">
        <v>118</v>
      </c>
      <c r="AQ69" s="4" t="s">
        <v>85</v>
      </c>
      <c r="AR69" s="4" t="s">
        <v>85</v>
      </c>
      <c r="AS69" s="6">
        <v>0</v>
      </c>
      <c r="AT69" s="6">
        <v>0</v>
      </c>
      <c r="AU69" s="4" t="s">
        <v>91</v>
      </c>
      <c r="AV69" s="4" t="s">
        <v>85</v>
      </c>
      <c r="AW69" s="4" t="s">
        <v>91</v>
      </c>
      <c r="AX69" s="4" t="s">
        <v>91</v>
      </c>
      <c r="AY69" s="4" t="s">
        <v>85</v>
      </c>
      <c r="AZ69" s="4" t="s">
        <v>93</v>
      </c>
      <c r="BA69" s="4" t="s">
        <v>85</v>
      </c>
      <c r="BB69" s="4" t="s">
        <v>85</v>
      </c>
      <c r="BC69" s="4" t="s">
        <v>91</v>
      </c>
      <c r="BD69" s="4" t="s">
        <v>79</v>
      </c>
      <c r="BE69" s="4" t="s">
        <v>94</v>
      </c>
      <c r="BF69" s="4" t="s">
        <v>85</v>
      </c>
      <c r="BG69" s="4" t="s">
        <v>85</v>
      </c>
      <c r="BH69" s="4" t="s">
        <v>85</v>
      </c>
      <c r="BI69" s="4" t="s">
        <v>91</v>
      </c>
      <c r="BJ69" s="4" t="s">
        <v>91</v>
      </c>
      <c r="BK69" s="4" t="s">
        <v>85</v>
      </c>
      <c r="BL69" s="4" t="s">
        <v>85</v>
      </c>
      <c r="BM69" s="4" t="s">
        <v>95</v>
      </c>
      <c r="BN69" s="4" t="s">
        <v>96</v>
      </c>
      <c r="BO69" s="6">
        <v>0</v>
      </c>
      <c r="BP69" s="4" t="s">
        <v>85</v>
      </c>
      <c r="BQ69" s="4" t="s">
        <v>85</v>
      </c>
      <c r="BR69" s="4" t="s">
        <v>91</v>
      </c>
      <c r="BS69" s="4" t="s">
        <v>85</v>
      </c>
      <c r="BT69" s="26" t="s">
        <v>388</v>
      </c>
      <c r="BU69" s="26" t="s">
        <v>1261</v>
      </c>
      <c r="BV69" s="26" t="s">
        <v>1260</v>
      </c>
      <c r="BW69" s="19" t="s">
        <v>1262</v>
      </c>
      <c r="BX69" s="19" t="s">
        <v>1249</v>
      </c>
      <c r="BY69" s="19"/>
    </row>
    <row r="70" spans="1:77">
      <c r="A70" s="24">
        <v>46017</v>
      </c>
      <c r="B70" s="24">
        <v>46017</v>
      </c>
      <c r="C70" s="3">
        <v>0.46292824074074002</v>
      </c>
      <c r="D70" s="4" t="s">
        <v>214</v>
      </c>
      <c r="E70" s="24">
        <v>46017</v>
      </c>
      <c r="F70" s="26" t="s">
        <v>278</v>
      </c>
      <c r="G70" s="26" t="s">
        <v>216</v>
      </c>
      <c r="H70" s="26" t="s">
        <v>76</v>
      </c>
      <c r="I70" s="4" t="s">
        <v>279</v>
      </c>
      <c r="J70" s="26">
        <v>1219001017</v>
      </c>
      <c r="K70" s="26" t="str">
        <f>VLOOKUP(J:J,'[2]Inventory Codes'!$B:$D,3,0)</f>
        <v>CC</v>
      </c>
      <c r="L70" s="26" t="s">
        <v>218</v>
      </c>
      <c r="M70" s="27">
        <v>1901</v>
      </c>
      <c r="N70" s="26" t="s">
        <v>219</v>
      </c>
      <c r="O70" s="26" t="s">
        <v>280</v>
      </c>
      <c r="P70" s="26" t="s">
        <v>278</v>
      </c>
      <c r="Q70" s="5">
        <v>1901</v>
      </c>
      <c r="R70" s="4" t="s">
        <v>278</v>
      </c>
      <c r="S70" s="4" t="s">
        <v>83</v>
      </c>
      <c r="T70" s="83" t="s">
        <v>84</v>
      </c>
      <c r="U70" s="6">
        <v>2898245.59</v>
      </c>
      <c r="V70" s="4" t="s">
        <v>85</v>
      </c>
      <c r="W70" s="4" t="s">
        <v>85</v>
      </c>
      <c r="X70" s="4" t="s">
        <v>86</v>
      </c>
      <c r="Y70" s="4" t="s">
        <v>87</v>
      </c>
      <c r="Z70" s="4" t="s">
        <v>88</v>
      </c>
      <c r="AA70" s="4" t="s">
        <v>89</v>
      </c>
      <c r="AB70" s="4" t="s">
        <v>85</v>
      </c>
      <c r="AC70" s="4" t="s">
        <v>281</v>
      </c>
      <c r="AD70" s="4" t="s">
        <v>85</v>
      </c>
      <c r="AE70" s="4" t="s">
        <v>85</v>
      </c>
      <c r="AF70" s="4" t="s">
        <v>91</v>
      </c>
      <c r="AG70" s="4" t="s">
        <v>85</v>
      </c>
      <c r="AH70" s="4" t="s">
        <v>91</v>
      </c>
      <c r="AI70" s="5">
        <v>1901</v>
      </c>
      <c r="AJ70" s="4" t="s">
        <v>219</v>
      </c>
      <c r="AK70" s="4" t="s">
        <v>219</v>
      </c>
      <c r="AL70" s="5">
        <v>1901</v>
      </c>
      <c r="AM70" s="4" t="s">
        <v>87</v>
      </c>
      <c r="AN70" s="4" t="s">
        <v>85</v>
      </c>
      <c r="AO70" s="4" t="s">
        <v>85</v>
      </c>
      <c r="AP70" s="4" t="s">
        <v>118</v>
      </c>
      <c r="AQ70" s="4" t="s">
        <v>85</v>
      </c>
      <c r="AR70" s="4" t="s">
        <v>85</v>
      </c>
      <c r="AS70" s="6">
        <v>0</v>
      </c>
      <c r="AT70" s="6">
        <v>0</v>
      </c>
      <c r="AU70" s="4" t="s">
        <v>91</v>
      </c>
      <c r="AV70" s="4" t="s">
        <v>85</v>
      </c>
      <c r="AW70" s="4" t="s">
        <v>91</v>
      </c>
      <c r="AX70" s="4" t="s">
        <v>91</v>
      </c>
      <c r="AY70" s="4" t="s">
        <v>85</v>
      </c>
      <c r="AZ70" s="4" t="s">
        <v>93</v>
      </c>
      <c r="BA70" s="4" t="s">
        <v>85</v>
      </c>
      <c r="BB70" s="4" t="s">
        <v>85</v>
      </c>
      <c r="BC70" s="4" t="s">
        <v>91</v>
      </c>
      <c r="BD70" s="4" t="s">
        <v>219</v>
      </c>
      <c r="BE70" s="4" t="s">
        <v>94</v>
      </c>
      <c r="BF70" s="4" t="s">
        <v>85</v>
      </c>
      <c r="BG70" s="4" t="s">
        <v>85</v>
      </c>
      <c r="BH70" s="4" t="s">
        <v>85</v>
      </c>
      <c r="BI70" s="4" t="s">
        <v>91</v>
      </c>
      <c r="BJ70" s="4" t="s">
        <v>91</v>
      </c>
      <c r="BK70" s="4" t="s">
        <v>85</v>
      </c>
      <c r="BL70" s="4" t="s">
        <v>85</v>
      </c>
      <c r="BM70" s="4" t="s">
        <v>95</v>
      </c>
      <c r="BN70" s="4" t="s">
        <v>96</v>
      </c>
      <c r="BO70" s="6">
        <v>0</v>
      </c>
      <c r="BP70" s="4" t="s">
        <v>85</v>
      </c>
      <c r="BQ70" s="4" t="s">
        <v>85</v>
      </c>
      <c r="BR70" s="4" t="s">
        <v>91</v>
      </c>
      <c r="BS70" s="4" t="s">
        <v>85</v>
      </c>
      <c r="BT70" s="26" t="s">
        <v>388</v>
      </c>
      <c r="BU70" s="26" t="s">
        <v>1264</v>
      </c>
      <c r="BV70" s="26" t="s">
        <v>1222</v>
      </c>
      <c r="BW70" s="19" t="s">
        <v>1265</v>
      </c>
      <c r="BX70" s="19" t="s">
        <v>1263</v>
      </c>
      <c r="BY70" s="19"/>
    </row>
    <row r="71" spans="1:77">
      <c r="A71" s="24">
        <v>46017</v>
      </c>
      <c r="B71" s="24">
        <v>46017</v>
      </c>
      <c r="C71" s="3">
        <v>0.46292824074074002</v>
      </c>
      <c r="D71" s="4" t="s">
        <v>214</v>
      </c>
      <c r="E71" s="24">
        <v>46017</v>
      </c>
      <c r="F71" s="26" t="s">
        <v>278</v>
      </c>
      <c r="G71" s="26" t="s">
        <v>216</v>
      </c>
      <c r="H71" s="26" t="s">
        <v>76</v>
      </c>
      <c r="I71" s="4" t="s">
        <v>279</v>
      </c>
      <c r="J71" s="26">
        <v>1219001017</v>
      </c>
      <c r="K71" s="26" t="str">
        <f>VLOOKUP(J:J,'[2]Inventory Codes'!$B:$D,3,0)</f>
        <v>CC</v>
      </c>
      <c r="L71" s="26" t="s">
        <v>218</v>
      </c>
      <c r="M71" s="27">
        <v>1222</v>
      </c>
      <c r="N71" s="26" t="s">
        <v>219</v>
      </c>
      <c r="O71" s="26" t="s">
        <v>282</v>
      </c>
      <c r="P71" s="26" t="s">
        <v>278</v>
      </c>
      <c r="Q71" s="5">
        <v>1222</v>
      </c>
      <c r="R71" s="4" t="s">
        <v>278</v>
      </c>
      <c r="S71" s="4" t="s">
        <v>83</v>
      </c>
      <c r="T71" s="83" t="s">
        <v>84</v>
      </c>
      <c r="U71" s="6">
        <v>1863048.98</v>
      </c>
      <c r="V71" s="4" t="s">
        <v>85</v>
      </c>
      <c r="W71" s="4" t="s">
        <v>85</v>
      </c>
      <c r="X71" s="4" t="s">
        <v>86</v>
      </c>
      <c r="Y71" s="4" t="s">
        <v>87</v>
      </c>
      <c r="Z71" s="4" t="s">
        <v>88</v>
      </c>
      <c r="AA71" s="4" t="s">
        <v>89</v>
      </c>
      <c r="AB71" s="4" t="s">
        <v>85</v>
      </c>
      <c r="AC71" s="4" t="s">
        <v>130</v>
      </c>
      <c r="AD71" s="4" t="s">
        <v>85</v>
      </c>
      <c r="AE71" s="4" t="s">
        <v>85</v>
      </c>
      <c r="AF71" s="4" t="s">
        <v>91</v>
      </c>
      <c r="AG71" s="4" t="s">
        <v>85</v>
      </c>
      <c r="AH71" s="4" t="s">
        <v>91</v>
      </c>
      <c r="AI71" s="5">
        <v>1222</v>
      </c>
      <c r="AJ71" s="4" t="s">
        <v>219</v>
      </c>
      <c r="AK71" s="4" t="s">
        <v>219</v>
      </c>
      <c r="AL71" s="5">
        <v>1222</v>
      </c>
      <c r="AM71" s="4" t="s">
        <v>87</v>
      </c>
      <c r="AN71" s="4" t="s">
        <v>85</v>
      </c>
      <c r="AO71" s="4" t="s">
        <v>85</v>
      </c>
      <c r="AP71" s="4" t="s">
        <v>118</v>
      </c>
      <c r="AQ71" s="4" t="s">
        <v>85</v>
      </c>
      <c r="AR71" s="4" t="s">
        <v>85</v>
      </c>
      <c r="AS71" s="6">
        <v>0</v>
      </c>
      <c r="AT71" s="6">
        <v>0</v>
      </c>
      <c r="AU71" s="4" t="s">
        <v>91</v>
      </c>
      <c r="AV71" s="4" t="s">
        <v>85</v>
      </c>
      <c r="AW71" s="4" t="s">
        <v>91</v>
      </c>
      <c r="AX71" s="4" t="s">
        <v>91</v>
      </c>
      <c r="AY71" s="4" t="s">
        <v>85</v>
      </c>
      <c r="AZ71" s="4" t="s">
        <v>93</v>
      </c>
      <c r="BA71" s="4" t="s">
        <v>85</v>
      </c>
      <c r="BB71" s="4" t="s">
        <v>85</v>
      </c>
      <c r="BC71" s="4" t="s">
        <v>91</v>
      </c>
      <c r="BD71" s="4" t="s">
        <v>219</v>
      </c>
      <c r="BE71" s="4" t="s">
        <v>94</v>
      </c>
      <c r="BF71" s="4" t="s">
        <v>85</v>
      </c>
      <c r="BG71" s="4" t="s">
        <v>85</v>
      </c>
      <c r="BH71" s="4" t="s">
        <v>85</v>
      </c>
      <c r="BI71" s="4" t="s">
        <v>91</v>
      </c>
      <c r="BJ71" s="4" t="s">
        <v>91</v>
      </c>
      <c r="BK71" s="4" t="s">
        <v>85</v>
      </c>
      <c r="BL71" s="4" t="s">
        <v>85</v>
      </c>
      <c r="BM71" s="4" t="s">
        <v>95</v>
      </c>
      <c r="BN71" s="4" t="s">
        <v>96</v>
      </c>
      <c r="BO71" s="6">
        <v>0</v>
      </c>
      <c r="BP71" s="4" t="s">
        <v>85</v>
      </c>
      <c r="BQ71" s="4" t="s">
        <v>85</v>
      </c>
      <c r="BR71" s="4" t="s">
        <v>91</v>
      </c>
      <c r="BS71" s="4" t="s">
        <v>85</v>
      </c>
      <c r="BT71" s="26" t="s">
        <v>388</v>
      </c>
      <c r="BU71" s="26" t="s">
        <v>1264</v>
      </c>
      <c r="BV71" s="26" t="s">
        <v>1222</v>
      </c>
      <c r="BW71" s="19" t="s">
        <v>1265</v>
      </c>
      <c r="BX71" s="19" t="s">
        <v>1263</v>
      </c>
      <c r="BY71" s="19"/>
    </row>
    <row r="72" spans="1:77">
      <c r="A72" s="24">
        <v>46017</v>
      </c>
      <c r="B72" s="24">
        <v>46017</v>
      </c>
      <c r="C72" s="3">
        <v>0.46292824074074002</v>
      </c>
      <c r="D72" s="4" t="s">
        <v>214</v>
      </c>
      <c r="E72" s="24">
        <v>46017</v>
      </c>
      <c r="F72" s="26" t="s">
        <v>278</v>
      </c>
      <c r="G72" s="26" t="s">
        <v>216</v>
      </c>
      <c r="H72" s="26" t="s">
        <v>76</v>
      </c>
      <c r="I72" s="4" t="s">
        <v>279</v>
      </c>
      <c r="J72" s="26">
        <v>1219001017</v>
      </c>
      <c r="K72" s="26" t="str">
        <f>VLOOKUP(J:J,'[2]Inventory Codes'!$B:$D,3,0)</f>
        <v>CC</v>
      </c>
      <c r="L72" s="26" t="s">
        <v>218</v>
      </c>
      <c r="M72" s="27">
        <v>2782</v>
      </c>
      <c r="N72" s="26" t="s">
        <v>219</v>
      </c>
      <c r="O72" s="26" t="s">
        <v>283</v>
      </c>
      <c r="P72" s="26" t="s">
        <v>278</v>
      </c>
      <c r="Q72" s="5">
        <v>2782</v>
      </c>
      <c r="R72" s="4" t="s">
        <v>278</v>
      </c>
      <c r="S72" s="4" t="s">
        <v>83</v>
      </c>
      <c r="T72" s="83" t="s">
        <v>84</v>
      </c>
      <c r="U72" s="6">
        <v>4241409.38</v>
      </c>
      <c r="V72" s="4" t="s">
        <v>85</v>
      </c>
      <c r="W72" s="4" t="s">
        <v>85</v>
      </c>
      <c r="X72" s="4" t="s">
        <v>86</v>
      </c>
      <c r="Y72" s="4" t="s">
        <v>87</v>
      </c>
      <c r="Z72" s="4" t="s">
        <v>88</v>
      </c>
      <c r="AA72" s="4" t="s">
        <v>89</v>
      </c>
      <c r="AB72" s="4" t="s">
        <v>85</v>
      </c>
      <c r="AC72" s="4" t="s">
        <v>128</v>
      </c>
      <c r="AD72" s="4" t="s">
        <v>85</v>
      </c>
      <c r="AE72" s="4" t="s">
        <v>85</v>
      </c>
      <c r="AF72" s="4" t="s">
        <v>91</v>
      </c>
      <c r="AG72" s="4" t="s">
        <v>85</v>
      </c>
      <c r="AH72" s="4" t="s">
        <v>91</v>
      </c>
      <c r="AI72" s="5">
        <v>2782</v>
      </c>
      <c r="AJ72" s="4" t="s">
        <v>219</v>
      </c>
      <c r="AK72" s="4" t="s">
        <v>219</v>
      </c>
      <c r="AL72" s="5">
        <v>2782</v>
      </c>
      <c r="AM72" s="4" t="s">
        <v>87</v>
      </c>
      <c r="AN72" s="4" t="s">
        <v>85</v>
      </c>
      <c r="AO72" s="4" t="s">
        <v>85</v>
      </c>
      <c r="AP72" s="4" t="s">
        <v>118</v>
      </c>
      <c r="AQ72" s="4" t="s">
        <v>85</v>
      </c>
      <c r="AR72" s="4" t="s">
        <v>85</v>
      </c>
      <c r="AS72" s="6">
        <v>0</v>
      </c>
      <c r="AT72" s="6">
        <v>0</v>
      </c>
      <c r="AU72" s="4" t="s">
        <v>91</v>
      </c>
      <c r="AV72" s="4" t="s">
        <v>85</v>
      </c>
      <c r="AW72" s="4" t="s">
        <v>91</v>
      </c>
      <c r="AX72" s="4" t="s">
        <v>91</v>
      </c>
      <c r="AY72" s="4" t="s">
        <v>85</v>
      </c>
      <c r="AZ72" s="4" t="s">
        <v>93</v>
      </c>
      <c r="BA72" s="4" t="s">
        <v>85</v>
      </c>
      <c r="BB72" s="4" t="s">
        <v>85</v>
      </c>
      <c r="BC72" s="4" t="s">
        <v>91</v>
      </c>
      <c r="BD72" s="4" t="s">
        <v>219</v>
      </c>
      <c r="BE72" s="4" t="s">
        <v>94</v>
      </c>
      <c r="BF72" s="4" t="s">
        <v>85</v>
      </c>
      <c r="BG72" s="4" t="s">
        <v>85</v>
      </c>
      <c r="BH72" s="4" t="s">
        <v>85</v>
      </c>
      <c r="BI72" s="4" t="s">
        <v>91</v>
      </c>
      <c r="BJ72" s="4" t="s">
        <v>91</v>
      </c>
      <c r="BK72" s="4" t="s">
        <v>85</v>
      </c>
      <c r="BL72" s="4" t="s">
        <v>85</v>
      </c>
      <c r="BM72" s="4" t="s">
        <v>95</v>
      </c>
      <c r="BN72" s="4" t="s">
        <v>96</v>
      </c>
      <c r="BO72" s="6">
        <v>0</v>
      </c>
      <c r="BP72" s="4" t="s">
        <v>85</v>
      </c>
      <c r="BQ72" s="4" t="s">
        <v>85</v>
      </c>
      <c r="BR72" s="4" t="s">
        <v>91</v>
      </c>
      <c r="BS72" s="4" t="s">
        <v>85</v>
      </c>
      <c r="BT72" s="26" t="s">
        <v>388</v>
      </c>
      <c r="BU72" s="26" t="s">
        <v>1264</v>
      </c>
      <c r="BV72" s="26" t="s">
        <v>1222</v>
      </c>
      <c r="BW72" s="19" t="s">
        <v>1265</v>
      </c>
      <c r="BX72" s="19" t="s">
        <v>1263</v>
      </c>
      <c r="BY72" s="19"/>
    </row>
    <row r="73" spans="1:77">
      <c r="A73" s="24">
        <v>46017</v>
      </c>
      <c r="B73" s="24">
        <v>46017</v>
      </c>
      <c r="C73" s="3">
        <v>0.46292824074074002</v>
      </c>
      <c r="D73" s="4" t="s">
        <v>214</v>
      </c>
      <c r="E73" s="24">
        <v>46017</v>
      </c>
      <c r="F73" s="26" t="s">
        <v>278</v>
      </c>
      <c r="G73" s="26" t="s">
        <v>216</v>
      </c>
      <c r="H73" s="26" t="s">
        <v>76</v>
      </c>
      <c r="I73" s="4" t="s">
        <v>279</v>
      </c>
      <c r="J73" s="26">
        <v>1219001017</v>
      </c>
      <c r="K73" s="26" t="str">
        <f>VLOOKUP(J:J,'[2]Inventory Codes'!$B:$D,3,0)</f>
        <v>CC</v>
      </c>
      <c r="L73" s="26" t="s">
        <v>218</v>
      </c>
      <c r="M73" s="27">
        <v>1443</v>
      </c>
      <c r="N73" s="26" t="s">
        <v>219</v>
      </c>
      <c r="O73" s="26" t="s">
        <v>284</v>
      </c>
      <c r="P73" s="26" t="s">
        <v>278</v>
      </c>
      <c r="Q73" s="5">
        <v>1443</v>
      </c>
      <c r="R73" s="4" t="s">
        <v>278</v>
      </c>
      <c r="S73" s="4" t="s">
        <v>83</v>
      </c>
      <c r="T73" s="83" t="s">
        <v>84</v>
      </c>
      <c r="U73" s="6">
        <v>2199983.37</v>
      </c>
      <c r="V73" s="4" t="s">
        <v>85</v>
      </c>
      <c r="W73" s="4" t="s">
        <v>85</v>
      </c>
      <c r="X73" s="4" t="s">
        <v>86</v>
      </c>
      <c r="Y73" s="4" t="s">
        <v>87</v>
      </c>
      <c r="Z73" s="4" t="s">
        <v>88</v>
      </c>
      <c r="AA73" s="4" t="s">
        <v>89</v>
      </c>
      <c r="AB73" s="4" t="s">
        <v>85</v>
      </c>
      <c r="AC73" s="4" t="s">
        <v>126</v>
      </c>
      <c r="AD73" s="4" t="s">
        <v>85</v>
      </c>
      <c r="AE73" s="4" t="s">
        <v>85</v>
      </c>
      <c r="AF73" s="4" t="s">
        <v>91</v>
      </c>
      <c r="AG73" s="4" t="s">
        <v>85</v>
      </c>
      <c r="AH73" s="4" t="s">
        <v>91</v>
      </c>
      <c r="AI73" s="5">
        <v>1443</v>
      </c>
      <c r="AJ73" s="4" t="s">
        <v>219</v>
      </c>
      <c r="AK73" s="4" t="s">
        <v>219</v>
      </c>
      <c r="AL73" s="5">
        <v>1443</v>
      </c>
      <c r="AM73" s="4" t="s">
        <v>87</v>
      </c>
      <c r="AN73" s="4" t="s">
        <v>85</v>
      </c>
      <c r="AO73" s="4" t="s">
        <v>85</v>
      </c>
      <c r="AP73" s="4" t="s">
        <v>118</v>
      </c>
      <c r="AQ73" s="4" t="s">
        <v>85</v>
      </c>
      <c r="AR73" s="4" t="s">
        <v>85</v>
      </c>
      <c r="AS73" s="6">
        <v>0</v>
      </c>
      <c r="AT73" s="6">
        <v>0</v>
      </c>
      <c r="AU73" s="4" t="s">
        <v>91</v>
      </c>
      <c r="AV73" s="4" t="s">
        <v>85</v>
      </c>
      <c r="AW73" s="4" t="s">
        <v>91</v>
      </c>
      <c r="AX73" s="4" t="s">
        <v>91</v>
      </c>
      <c r="AY73" s="4" t="s">
        <v>85</v>
      </c>
      <c r="AZ73" s="4" t="s">
        <v>93</v>
      </c>
      <c r="BA73" s="4" t="s">
        <v>85</v>
      </c>
      <c r="BB73" s="4" t="s">
        <v>85</v>
      </c>
      <c r="BC73" s="4" t="s">
        <v>91</v>
      </c>
      <c r="BD73" s="4" t="s">
        <v>219</v>
      </c>
      <c r="BE73" s="4" t="s">
        <v>94</v>
      </c>
      <c r="BF73" s="4" t="s">
        <v>85</v>
      </c>
      <c r="BG73" s="4" t="s">
        <v>85</v>
      </c>
      <c r="BH73" s="4" t="s">
        <v>85</v>
      </c>
      <c r="BI73" s="4" t="s">
        <v>91</v>
      </c>
      <c r="BJ73" s="4" t="s">
        <v>91</v>
      </c>
      <c r="BK73" s="4" t="s">
        <v>85</v>
      </c>
      <c r="BL73" s="4" t="s">
        <v>85</v>
      </c>
      <c r="BM73" s="4" t="s">
        <v>95</v>
      </c>
      <c r="BN73" s="4" t="s">
        <v>96</v>
      </c>
      <c r="BO73" s="6">
        <v>0</v>
      </c>
      <c r="BP73" s="4" t="s">
        <v>85</v>
      </c>
      <c r="BQ73" s="4" t="s">
        <v>85</v>
      </c>
      <c r="BR73" s="4" t="s">
        <v>91</v>
      </c>
      <c r="BS73" s="4" t="s">
        <v>85</v>
      </c>
      <c r="BT73" s="26" t="s">
        <v>388</v>
      </c>
      <c r="BU73" s="26" t="s">
        <v>1264</v>
      </c>
      <c r="BV73" s="26" t="s">
        <v>1222</v>
      </c>
      <c r="BW73" s="19" t="s">
        <v>1265</v>
      </c>
      <c r="BX73" s="19" t="s">
        <v>1263</v>
      </c>
      <c r="BY73" s="19"/>
    </row>
    <row r="74" spans="1:77">
      <c r="A74" s="24">
        <v>46017</v>
      </c>
      <c r="B74" s="24">
        <v>46017</v>
      </c>
      <c r="C74" s="3">
        <v>0.46292824074074002</v>
      </c>
      <c r="D74" s="4" t="s">
        <v>214</v>
      </c>
      <c r="E74" s="24">
        <v>46017</v>
      </c>
      <c r="F74" s="26" t="s">
        <v>278</v>
      </c>
      <c r="G74" s="26" t="s">
        <v>216</v>
      </c>
      <c r="H74" s="26" t="s">
        <v>76</v>
      </c>
      <c r="I74" s="4" t="s">
        <v>279</v>
      </c>
      <c r="J74" s="26">
        <v>1219001017</v>
      </c>
      <c r="K74" s="26" t="str">
        <f>VLOOKUP(J:J,'[2]Inventory Codes'!$B:$D,3,0)</f>
        <v>CC</v>
      </c>
      <c r="L74" s="26" t="s">
        <v>218</v>
      </c>
      <c r="M74" s="27">
        <v>2574</v>
      </c>
      <c r="N74" s="26" t="s">
        <v>219</v>
      </c>
      <c r="O74" s="26" t="s">
        <v>285</v>
      </c>
      <c r="P74" s="26" t="s">
        <v>278</v>
      </c>
      <c r="Q74" s="5">
        <v>2574</v>
      </c>
      <c r="R74" s="4" t="s">
        <v>278</v>
      </c>
      <c r="S74" s="4" t="s">
        <v>83</v>
      </c>
      <c r="T74" s="83" t="s">
        <v>84</v>
      </c>
      <c r="U74" s="6">
        <v>3924294.66</v>
      </c>
      <c r="V74" s="4" t="s">
        <v>85</v>
      </c>
      <c r="W74" s="4" t="s">
        <v>85</v>
      </c>
      <c r="X74" s="4" t="s">
        <v>86</v>
      </c>
      <c r="Y74" s="4" t="s">
        <v>87</v>
      </c>
      <c r="Z74" s="4" t="s">
        <v>88</v>
      </c>
      <c r="AA74" s="4" t="s">
        <v>89</v>
      </c>
      <c r="AB74" s="4" t="s">
        <v>85</v>
      </c>
      <c r="AC74" s="4" t="s">
        <v>131</v>
      </c>
      <c r="AD74" s="4" t="s">
        <v>85</v>
      </c>
      <c r="AE74" s="4" t="s">
        <v>85</v>
      </c>
      <c r="AF74" s="4" t="s">
        <v>91</v>
      </c>
      <c r="AG74" s="4" t="s">
        <v>85</v>
      </c>
      <c r="AH74" s="4" t="s">
        <v>91</v>
      </c>
      <c r="AI74" s="5">
        <v>2574</v>
      </c>
      <c r="AJ74" s="4" t="s">
        <v>219</v>
      </c>
      <c r="AK74" s="4" t="s">
        <v>219</v>
      </c>
      <c r="AL74" s="5">
        <v>2574</v>
      </c>
      <c r="AM74" s="4" t="s">
        <v>87</v>
      </c>
      <c r="AN74" s="4" t="s">
        <v>85</v>
      </c>
      <c r="AO74" s="4" t="s">
        <v>85</v>
      </c>
      <c r="AP74" s="4" t="s">
        <v>118</v>
      </c>
      <c r="AQ74" s="4" t="s">
        <v>85</v>
      </c>
      <c r="AR74" s="4" t="s">
        <v>85</v>
      </c>
      <c r="AS74" s="6">
        <v>0</v>
      </c>
      <c r="AT74" s="6">
        <v>0</v>
      </c>
      <c r="AU74" s="4" t="s">
        <v>91</v>
      </c>
      <c r="AV74" s="4" t="s">
        <v>85</v>
      </c>
      <c r="AW74" s="4" t="s">
        <v>91</v>
      </c>
      <c r="AX74" s="4" t="s">
        <v>91</v>
      </c>
      <c r="AY74" s="4" t="s">
        <v>85</v>
      </c>
      <c r="AZ74" s="4" t="s">
        <v>93</v>
      </c>
      <c r="BA74" s="4" t="s">
        <v>85</v>
      </c>
      <c r="BB74" s="4" t="s">
        <v>85</v>
      </c>
      <c r="BC74" s="4" t="s">
        <v>91</v>
      </c>
      <c r="BD74" s="4" t="s">
        <v>219</v>
      </c>
      <c r="BE74" s="4" t="s">
        <v>94</v>
      </c>
      <c r="BF74" s="4" t="s">
        <v>85</v>
      </c>
      <c r="BG74" s="4" t="s">
        <v>85</v>
      </c>
      <c r="BH74" s="4" t="s">
        <v>85</v>
      </c>
      <c r="BI74" s="4" t="s">
        <v>91</v>
      </c>
      <c r="BJ74" s="4" t="s">
        <v>91</v>
      </c>
      <c r="BK74" s="4" t="s">
        <v>85</v>
      </c>
      <c r="BL74" s="4" t="s">
        <v>85</v>
      </c>
      <c r="BM74" s="4" t="s">
        <v>95</v>
      </c>
      <c r="BN74" s="4" t="s">
        <v>96</v>
      </c>
      <c r="BO74" s="6">
        <v>0</v>
      </c>
      <c r="BP74" s="4" t="s">
        <v>85</v>
      </c>
      <c r="BQ74" s="4" t="s">
        <v>85</v>
      </c>
      <c r="BR74" s="4" t="s">
        <v>91</v>
      </c>
      <c r="BS74" s="4" t="s">
        <v>85</v>
      </c>
      <c r="BT74" s="26" t="s">
        <v>388</v>
      </c>
      <c r="BU74" s="26" t="s">
        <v>1264</v>
      </c>
      <c r="BV74" s="26" t="s">
        <v>1222</v>
      </c>
      <c r="BW74" s="19" t="s">
        <v>1265</v>
      </c>
      <c r="BX74" s="19" t="s">
        <v>1263</v>
      </c>
      <c r="BY74" s="19"/>
    </row>
    <row r="75" spans="1:77">
      <c r="A75" s="24">
        <v>46017</v>
      </c>
      <c r="B75" s="24">
        <v>46017</v>
      </c>
      <c r="C75" s="3">
        <v>0.46292824074074002</v>
      </c>
      <c r="D75" s="4" t="s">
        <v>214</v>
      </c>
      <c r="E75" s="24">
        <v>46017</v>
      </c>
      <c r="F75" s="26" t="s">
        <v>278</v>
      </c>
      <c r="G75" s="26" t="s">
        <v>216</v>
      </c>
      <c r="H75" s="26" t="s">
        <v>76</v>
      </c>
      <c r="I75" s="4" t="s">
        <v>279</v>
      </c>
      <c r="J75" s="26">
        <v>1219001017</v>
      </c>
      <c r="K75" s="26" t="str">
        <f>VLOOKUP(J:J,'[2]Inventory Codes'!$B:$D,3,0)</f>
        <v>CC</v>
      </c>
      <c r="L75" s="26" t="s">
        <v>218</v>
      </c>
      <c r="M75" s="27">
        <v>1521</v>
      </c>
      <c r="N75" s="26" t="s">
        <v>219</v>
      </c>
      <c r="O75" s="26" t="s">
        <v>286</v>
      </c>
      <c r="P75" s="26" t="s">
        <v>278</v>
      </c>
      <c r="Q75" s="5">
        <v>1521</v>
      </c>
      <c r="R75" s="4" t="s">
        <v>278</v>
      </c>
      <c r="S75" s="4" t="s">
        <v>83</v>
      </c>
      <c r="T75" s="83" t="s">
        <v>84</v>
      </c>
      <c r="U75" s="6">
        <v>2318901.39</v>
      </c>
      <c r="V75" s="4" t="s">
        <v>85</v>
      </c>
      <c r="W75" s="4" t="s">
        <v>85</v>
      </c>
      <c r="X75" s="4" t="s">
        <v>86</v>
      </c>
      <c r="Y75" s="4" t="s">
        <v>87</v>
      </c>
      <c r="Z75" s="4" t="s">
        <v>88</v>
      </c>
      <c r="AA75" s="4" t="s">
        <v>89</v>
      </c>
      <c r="AB75" s="4" t="s">
        <v>85</v>
      </c>
      <c r="AC75" s="4" t="s">
        <v>134</v>
      </c>
      <c r="AD75" s="4" t="s">
        <v>85</v>
      </c>
      <c r="AE75" s="4" t="s">
        <v>85</v>
      </c>
      <c r="AF75" s="4" t="s">
        <v>91</v>
      </c>
      <c r="AG75" s="4" t="s">
        <v>85</v>
      </c>
      <c r="AH75" s="4" t="s">
        <v>91</v>
      </c>
      <c r="AI75" s="5">
        <v>1521</v>
      </c>
      <c r="AJ75" s="4" t="s">
        <v>219</v>
      </c>
      <c r="AK75" s="4" t="s">
        <v>219</v>
      </c>
      <c r="AL75" s="5">
        <v>1521</v>
      </c>
      <c r="AM75" s="4" t="s">
        <v>87</v>
      </c>
      <c r="AN75" s="4" t="s">
        <v>85</v>
      </c>
      <c r="AO75" s="4" t="s">
        <v>85</v>
      </c>
      <c r="AP75" s="4" t="s">
        <v>118</v>
      </c>
      <c r="AQ75" s="4" t="s">
        <v>85</v>
      </c>
      <c r="AR75" s="4" t="s">
        <v>85</v>
      </c>
      <c r="AS75" s="6">
        <v>0</v>
      </c>
      <c r="AT75" s="6">
        <v>0</v>
      </c>
      <c r="AU75" s="4" t="s">
        <v>91</v>
      </c>
      <c r="AV75" s="4" t="s">
        <v>85</v>
      </c>
      <c r="AW75" s="4" t="s">
        <v>91</v>
      </c>
      <c r="AX75" s="4" t="s">
        <v>91</v>
      </c>
      <c r="AY75" s="4" t="s">
        <v>85</v>
      </c>
      <c r="AZ75" s="4" t="s">
        <v>93</v>
      </c>
      <c r="BA75" s="4" t="s">
        <v>85</v>
      </c>
      <c r="BB75" s="4" t="s">
        <v>85</v>
      </c>
      <c r="BC75" s="4" t="s">
        <v>91</v>
      </c>
      <c r="BD75" s="4" t="s">
        <v>219</v>
      </c>
      <c r="BE75" s="4" t="s">
        <v>94</v>
      </c>
      <c r="BF75" s="4" t="s">
        <v>85</v>
      </c>
      <c r="BG75" s="4" t="s">
        <v>85</v>
      </c>
      <c r="BH75" s="4" t="s">
        <v>85</v>
      </c>
      <c r="BI75" s="4" t="s">
        <v>91</v>
      </c>
      <c r="BJ75" s="4" t="s">
        <v>91</v>
      </c>
      <c r="BK75" s="4" t="s">
        <v>85</v>
      </c>
      <c r="BL75" s="4" t="s">
        <v>85</v>
      </c>
      <c r="BM75" s="4" t="s">
        <v>95</v>
      </c>
      <c r="BN75" s="4" t="s">
        <v>96</v>
      </c>
      <c r="BO75" s="6">
        <v>0</v>
      </c>
      <c r="BP75" s="4" t="s">
        <v>85</v>
      </c>
      <c r="BQ75" s="4" t="s">
        <v>85</v>
      </c>
      <c r="BR75" s="4" t="s">
        <v>91</v>
      </c>
      <c r="BS75" s="4" t="s">
        <v>85</v>
      </c>
      <c r="BT75" s="26" t="s">
        <v>388</v>
      </c>
      <c r="BU75" s="26" t="s">
        <v>1264</v>
      </c>
      <c r="BV75" s="26" t="s">
        <v>1222</v>
      </c>
      <c r="BW75" s="19" t="s">
        <v>1265</v>
      </c>
      <c r="BX75" s="19" t="s">
        <v>1263</v>
      </c>
      <c r="BY75" s="19"/>
    </row>
    <row r="76" spans="1:77">
      <c r="A76" s="24">
        <v>46017</v>
      </c>
      <c r="B76" s="24">
        <v>46017</v>
      </c>
      <c r="C76" s="3">
        <v>0.46292824074074002</v>
      </c>
      <c r="D76" s="4" t="s">
        <v>214</v>
      </c>
      <c r="E76" s="24">
        <v>46017</v>
      </c>
      <c r="F76" s="26" t="s">
        <v>278</v>
      </c>
      <c r="G76" s="26" t="s">
        <v>216</v>
      </c>
      <c r="H76" s="26" t="s">
        <v>76</v>
      </c>
      <c r="I76" s="4" t="s">
        <v>279</v>
      </c>
      <c r="J76" s="26">
        <v>1219001017</v>
      </c>
      <c r="K76" s="26" t="str">
        <f>VLOOKUP(J:J,'[2]Inventory Codes'!$B:$D,3,0)</f>
        <v>CC</v>
      </c>
      <c r="L76" s="26" t="s">
        <v>218</v>
      </c>
      <c r="M76" s="27">
        <v>2743</v>
      </c>
      <c r="N76" s="26" t="s">
        <v>219</v>
      </c>
      <c r="O76" s="26" t="s">
        <v>287</v>
      </c>
      <c r="P76" s="26" t="s">
        <v>278</v>
      </c>
      <c r="Q76" s="5">
        <v>2743</v>
      </c>
      <c r="R76" s="4" t="s">
        <v>278</v>
      </c>
      <c r="S76" s="4" t="s">
        <v>83</v>
      </c>
      <c r="T76" s="83" t="s">
        <v>84</v>
      </c>
      <c r="U76" s="6">
        <v>4181950.37</v>
      </c>
      <c r="V76" s="4" t="s">
        <v>85</v>
      </c>
      <c r="W76" s="4" t="s">
        <v>85</v>
      </c>
      <c r="X76" s="4" t="s">
        <v>86</v>
      </c>
      <c r="Y76" s="4" t="s">
        <v>87</v>
      </c>
      <c r="Z76" s="4" t="s">
        <v>88</v>
      </c>
      <c r="AA76" s="4" t="s">
        <v>89</v>
      </c>
      <c r="AB76" s="4" t="s">
        <v>85</v>
      </c>
      <c r="AC76" s="4" t="s">
        <v>112</v>
      </c>
      <c r="AD76" s="4" t="s">
        <v>85</v>
      </c>
      <c r="AE76" s="4" t="s">
        <v>85</v>
      </c>
      <c r="AF76" s="4" t="s">
        <v>91</v>
      </c>
      <c r="AG76" s="4" t="s">
        <v>85</v>
      </c>
      <c r="AH76" s="4" t="s">
        <v>91</v>
      </c>
      <c r="AI76" s="5">
        <v>2743</v>
      </c>
      <c r="AJ76" s="4" t="s">
        <v>219</v>
      </c>
      <c r="AK76" s="4" t="s">
        <v>219</v>
      </c>
      <c r="AL76" s="5">
        <v>2743</v>
      </c>
      <c r="AM76" s="4" t="s">
        <v>87</v>
      </c>
      <c r="AN76" s="4" t="s">
        <v>85</v>
      </c>
      <c r="AO76" s="4" t="s">
        <v>85</v>
      </c>
      <c r="AP76" s="4" t="s">
        <v>118</v>
      </c>
      <c r="AQ76" s="4" t="s">
        <v>85</v>
      </c>
      <c r="AR76" s="4" t="s">
        <v>85</v>
      </c>
      <c r="AS76" s="6">
        <v>0</v>
      </c>
      <c r="AT76" s="6">
        <v>0</v>
      </c>
      <c r="AU76" s="4" t="s">
        <v>91</v>
      </c>
      <c r="AV76" s="4" t="s">
        <v>85</v>
      </c>
      <c r="AW76" s="4" t="s">
        <v>91</v>
      </c>
      <c r="AX76" s="4" t="s">
        <v>91</v>
      </c>
      <c r="AY76" s="4" t="s">
        <v>85</v>
      </c>
      <c r="AZ76" s="4" t="s">
        <v>93</v>
      </c>
      <c r="BA76" s="4" t="s">
        <v>85</v>
      </c>
      <c r="BB76" s="4" t="s">
        <v>85</v>
      </c>
      <c r="BC76" s="4" t="s">
        <v>91</v>
      </c>
      <c r="BD76" s="4" t="s">
        <v>219</v>
      </c>
      <c r="BE76" s="4" t="s">
        <v>94</v>
      </c>
      <c r="BF76" s="4" t="s">
        <v>85</v>
      </c>
      <c r="BG76" s="4" t="s">
        <v>85</v>
      </c>
      <c r="BH76" s="4" t="s">
        <v>85</v>
      </c>
      <c r="BI76" s="4" t="s">
        <v>91</v>
      </c>
      <c r="BJ76" s="4" t="s">
        <v>91</v>
      </c>
      <c r="BK76" s="4" t="s">
        <v>85</v>
      </c>
      <c r="BL76" s="4" t="s">
        <v>85</v>
      </c>
      <c r="BM76" s="4" t="s">
        <v>95</v>
      </c>
      <c r="BN76" s="4" t="s">
        <v>96</v>
      </c>
      <c r="BO76" s="6">
        <v>0</v>
      </c>
      <c r="BP76" s="4" t="s">
        <v>85</v>
      </c>
      <c r="BQ76" s="4" t="s">
        <v>85</v>
      </c>
      <c r="BR76" s="4" t="s">
        <v>91</v>
      </c>
      <c r="BS76" s="4" t="s">
        <v>85</v>
      </c>
      <c r="BT76" s="26" t="s">
        <v>388</v>
      </c>
      <c r="BU76" s="26" t="s">
        <v>1264</v>
      </c>
      <c r="BV76" s="26" t="s">
        <v>1222</v>
      </c>
      <c r="BW76" s="19" t="s">
        <v>1265</v>
      </c>
      <c r="BX76" s="19" t="s">
        <v>1263</v>
      </c>
      <c r="BY76" s="19"/>
    </row>
    <row r="77" spans="1:77">
      <c r="A77" s="24">
        <v>46017</v>
      </c>
      <c r="B77" s="24">
        <v>46017</v>
      </c>
      <c r="C77" s="3">
        <v>0.46292824074074002</v>
      </c>
      <c r="D77" s="4" t="s">
        <v>214</v>
      </c>
      <c r="E77" s="24">
        <v>46017</v>
      </c>
      <c r="F77" s="26" t="s">
        <v>278</v>
      </c>
      <c r="G77" s="26" t="s">
        <v>216</v>
      </c>
      <c r="H77" s="26" t="s">
        <v>76</v>
      </c>
      <c r="I77" s="4" t="s">
        <v>279</v>
      </c>
      <c r="J77" s="26">
        <v>1219001017</v>
      </c>
      <c r="K77" s="26" t="str">
        <f>VLOOKUP(J:J,'[2]Inventory Codes'!$B:$D,3,0)</f>
        <v>CC</v>
      </c>
      <c r="L77" s="26" t="s">
        <v>218</v>
      </c>
      <c r="M77" s="27">
        <v>1495</v>
      </c>
      <c r="N77" s="26" t="s">
        <v>219</v>
      </c>
      <c r="O77" s="26" t="s">
        <v>288</v>
      </c>
      <c r="P77" s="26" t="s">
        <v>278</v>
      </c>
      <c r="Q77" s="5">
        <v>1495</v>
      </c>
      <c r="R77" s="4" t="s">
        <v>278</v>
      </c>
      <c r="S77" s="4" t="s">
        <v>83</v>
      </c>
      <c r="T77" s="83" t="s">
        <v>84</v>
      </c>
      <c r="U77" s="6">
        <v>2279262.0499999998</v>
      </c>
      <c r="V77" s="4" t="s">
        <v>85</v>
      </c>
      <c r="W77" s="4" t="s">
        <v>85</v>
      </c>
      <c r="X77" s="4" t="s">
        <v>86</v>
      </c>
      <c r="Y77" s="4" t="s">
        <v>87</v>
      </c>
      <c r="Z77" s="4" t="s">
        <v>88</v>
      </c>
      <c r="AA77" s="4" t="s">
        <v>89</v>
      </c>
      <c r="AB77" s="4" t="s">
        <v>85</v>
      </c>
      <c r="AC77" s="4" t="s">
        <v>90</v>
      </c>
      <c r="AD77" s="4" t="s">
        <v>85</v>
      </c>
      <c r="AE77" s="4" t="s">
        <v>85</v>
      </c>
      <c r="AF77" s="4" t="s">
        <v>91</v>
      </c>
      <c r="AG77" s="4" t="s">
        <v>85</v>
      </c>
      <c r="AH77" s="4" t="s">
        <v>91</v>
      </c>
      <c r="AI77" s="5">
        <v>1495</v>
      </c>
      <c r="AJ77" s="4" t="s">
        <v>219</v>
      </c>
      <c r="AK77" s="4" t="s">
        <v>219</v>
      </c>
      <c r="AL77" s="5">
        <v>1495</v>
      </c>
      <c r="AM77" s="4" t="s">
        <v>87</v>
      </c>
      <c r="AN77" s="4" t="s">
        <v>85</v>
      </c>
      <c r="AO77" s="4" t="s">
        <v>85</v>
      </c>
      <c r="AP77" s="4" t="s">
        <v>118</v>
      </c>
      <c r="AQ77" s="4" t="s">
        <v>85</v>
      </c>
      <c r="AR77" s="4" t="s">
        <v>85</v>
      </c>
      <c r="AS77" s="6">
        <v>0</v>
      </c>
      <c r="AT77" s="6">
        <v>0</v>
      </c>
      <c r="AU77" s="4" t="s">
        <v>91</v>
      </c>
      <c r="AV77" s="4" t="s">
        <v>85</v>
      </c>
      <c r="AW77" s="4" t="s">
        <v>91</v>
      </c>
      <c r="AX77" s="4" t="s">
        <v>91</v>
      </c>
      <c r="AY77" s="4" t="s">
        <v>85</v>
      </c>
      <c r="AZ77" s="4" t="s">
        <v>93</v>
      </c>
      <c r="BA77" s="4" t="s">
        <v>85</v>
      </c>
      <c r="BB77" s="4" t="s">
        <v>85</v>
      </c>
      <c r="BC77" s="4" t="s">
        <v>91</v>
      </c>
      <c r="BD77" s="4" t="s">
        <v>219</v>
      </c>
      <c r="BE77" s="4" t="s">
        <v>94</v>
      </c>
      <c r="BF77" s="4" t="s">
        <v>85</v>
      </c>
      <c r="BG77" s="4" t="s">
        <v>85</v>
      </c>
      <c r="BH77" s="4" t="s">
        <v>85</v>
      </c>
      <c r="BI77" s="4" t="s">
        <v>91</v>
      </c>
      <c r="BJ77" s="4" t="s">
        <v>91</v>
      </c>
      <c r="BK77" s="4" t="s">
        <v>85</v>
      </c>
      <c r="BL77" s="4" t="s">
        <v>85</v>
      </c>
      <c r="BM77" s="4" t="s">
        <v>95</v>
      </c>
      <c r="BN77" s="4" t="s">
        <v>96</v>
      </c>
      <c r="BO77" s="6">
        <v>0</v>
      </c>
      <c r="BP77" s="4" t="s">
        <v>85</v>
      </c>
      <c r="BQ77" s="4" t="s">
        <v>85</v>
      </c>
      <c r="BR77" s="4" t="s">
        <v>91</v>
      </c>
      <c r="BS77" s="4" t="s">
        <v>85</v>
      </c>
      <c r="BT77" s="26" t="s">
        <v>388</v>
      </c>
      <c r="BU77" s="26" t="s">
        <v>1264</v>
      </c>
      <c r="BV77" s="26" t="s">
        <v>1222</v>
      </c>
      <c r="BW77" s="19" t="s">
        <v>1265</v>
      </c>
      <c r="BX77" s="19" t="s">
        <v>1263</v>
      </c>
      <c r="BY77" s="19"/>
    </row>
    <row r="78" spans="1:77">
      <c r="A78" s="24">
        <v>46017</v>
      </c>
      <c r="B78" s="24">
        <v>46017</v>
      </c>
      <c r="C78" s="3">
        <v>0.46292824074074002</v>
      </c>
      <c r="D78" s="4" t="s">
        <v>214</v>
      </c>
      <c r="E78" s="24">
        <v>46017</v>
      </c>
      <c r="F78" s="26" t="s">
        <v>278</v>
      </c>
      <c r="G78" s="26" t="s">
        <v>216</v>
      </c>
      <c r="H78" s="26" t="s">
        <v>76</v>
      </c>
      <c r="I78" s="4" t="s">
        <v>279</v>
      </c>
      <c r="J78" s="26">
        <v>1219001017</v>
      </c>
      <c r="K78" s="26" t="str">
        <f>VLOOKUP(J:J,'[2]Inventory Codes'!$B:$D,3,0)</f>
        <v>CC</v>
      </c>
      <c r="L78" s="26" t="s">
        <v>218</v>
      </c>
      <c r="M78" s="27">
        <v>2119</v>
      </c>
      <c r="N78" s="26" t="s">
        <v>219</v>
      </c>
      <c r="O78" s="26" t="s">
        <v>289</v>
      </c>
      <c r="P78" s="26" t="s">
        <v>278</v>
      </c>
      <c r="Q78" s="5">
        <v>2119</v>
      </c>
      <c r="R78" s="4" t="s">
        <v>278</v>
      </c>
      <c r="S78" s="4" t="s">
        <v>83</v>
      </c>
      <c r="T78" s="83" t="s">
        <v>84</v>
      </c>
      <c r="U78" s="6">
        <v>3230606.21</v>
      </c>
      <c r="V78" s="4" t="s">
        <v>85</v>
      </c>
      <c r="W78" s="4" t="s">
        <v>85</v>
      </c>
      <c r="X78" s="4" t="s">
        <v>86</v>
      </c>
      <c r="Y78" s="4" t="s">
        <v>87</v>
      </c>
      <c r="Z78" s="4" t="s">
        <v>88</v>
      </c>
      <c r="AA78" s="4" t="s">
        <v>89</v>
      </c>
      <c r="AB78" s="4" t="s">
        <v>85</v>
      </c>
      <c r="AC78" s="4" t="s">
        <v>98</v>
      </c>
      <c r="AD78" s="4" t="s">
        <v>85</v>
      </c>
      <c r="AE78" s="4" t="s">
        <v>85</v>
      </c>
      <c r="AF78" s="4" t="s">
        <v>91</v>
      </c>
      <c r="AG78" s="4" t="s">
        <v>85</v>
      </c>
      <c r="AH78" s="4" t="s">
        <v>91</v>
      </c>
      <c r="AI78" s="5">
        <v>2119</v>
      </c>
      <c r="AJ78" s="4" t="s">
        <v>219</v>
      </c>
      <c r="AK78" s="4" t="s">
        <v>219</v>
      </c>
      <c r="AL78" s="5">
        <v>2119</v>
      </c>
      <c r="AM78" s="4" t="s">
        <v>87</v>
      </c>
      <c r="AN78" s="4" t="s">
        <v>85</v>
      </c>
      <c r="AO78" s="4" t="s">
        <v>85</v>
      </c>
      <c r="AP78" s="4" t="s">
        <v>118</v>
      </c>
      <c r="AQ78" s="4" t="s">
        <v>85</v>
      </c>
      <c r="AR78" s="4" t="s">
        <v>85</v>
      </c>
      <c r="AS78" s="6">
        <v>0</v>
      </c>
      <c r="AT78" s="6">
        <v>0</v>
      </c>
      <c r="AU78" s="4" t="s">
        <v>91</v>
      </c>
      <c r="AV78" s="4" t="s">
        <v>85</v>
      </c>
      <c r="AW78" s="4" t="s">
        <v>91</v>
      </c>
      <c r="AX78" s="4" t="s">
        <v>91</v>
      </c>
      <c r="AY78" s="4" t="s">
        <v>85</v>
      </c>
      <c r="AZ78" s="4" t="s">
        <v>93</v>
      </c>
      <c r="BA78" s="4" t="s">
        <v>85</v>
      </c>
      <c r="BB78" s="4" t="s">
        <v>85</v>
      </c>
      <c r="BC78" s="4" t="s">
        <v>91</v>
      </c>
      <c r="BD78" s="4" t="s">
        <v>219</v>
      </c>
      <c r="BE78" s="4" t="s">
        <v>94</v>
      </c>
      <c r="BF78" s="4" t="s">
        <v>85</v>
      </c>
      <c r="BG78" s="4" t="s">
        <v>85</v>
      </c>
      <c r="BH78" s="4" t="s">
        <v>85</v>
      </c>
      <c r="BI78" s="4" t="s">
        <v>91</v>
      </c>
      <c r="BJ78" s="4" t="s">
        <v>91</v>
      </c>
      <c r="BK78" s="4" t="s">
        <v>85</v>
      </c>
      <c r="BL78" s="4" t="s">
        <v>85</v>
      </c>
      <c r="BM78" s="4" t="s">
        <v>95</v>
      </c>
      <c r="BN78" s="4" t="s">
        <v>96</v>
      </c>
      <c r="BO78" s="6">
        <v>0</v>
      </c>
      <c r="BP78" s="4" t="s">
        <v>85</v>
      </c>
      <c r="BQ78" s="4" t="s">
        <v>85</v>
      </c>
      <c r="BR78" s="4" t="s">
        <v>91</v>
      </c>
      <c r="BS78" s="4" t="s">
        <v>85</v>
      </c>
      <c r="BT78" s="26" t="s">
        <v>388</v>
      </c>
      <c r="BU78" s="26" t="s">
        <v>1264</v>
      </c>
      <c r="BV78" s="26" t="s">
        <v>1222</v>
      </c>
      <c r="BW78" s="19" t="s">
        <v>1265</v>
      </c>
      <c r="BX78" s="19" t="s">
        <v>1263</v>
      </c>
      <c r="BY78" s="19"/>
    </row>
    <row r="79" spans="1:77">
      <c r="A79" s="24">
        <v>46021</v>
      </c>
      <c r="B79" s="24">
        <v>46021</v>
      </c>
      <c r="C79" s="3">
        <v>0.70368055555555997</v>
      </c>
      <c r="D79" s="4" t="s">
        <v>136</v>
      </c>
      <c r="E79" s="24">
        <v>46021</v>
      </c>
      <c r="F79" s="26" t="s">
        <v>290</v>
      </c>
      <c r="G79" s="26" t="s">
        <v>75</v>
      </c>
      <c r="H79" s="26" t="s">
        <v>76</v>
      </c>
      <c r="I79" s="4" t="s">
        <v>291</v>
      </c>
      <c r="J79" s="26">
        <v>1219000754</v>
      </c>
      <c r="K79" s="26" t="str">
        <f>VLOOKUP(J:J,'[2]Inventory Codes'!$B:$D,3,0)</f>
        <v>CC</v>
      </c>
      <c r="L79" s="26" t="s">
        <v>139</v>
      </c>
      <c r="M79" s="27">
        <v>398</v>
      </c>
      <c r="N79" s="26" t="s">
        <v>79</v>
      </c>
      <c r="O79" s="26" t="s">
        <v>275</v>
      </c>
      <c r="P79" s="26" t="s">
        <v>85</v>
      </c>
      <c r="Q79" s="5">
        <v>398</v>
      </c>
      <c r="R79" s="4" t="s">
        <v>292</v>
      </c>
      <c r="S79" s="4" t="s">
        <v>122</v>
      </c>
      <c r="T79" s="83" t="s">
        <v>84</v>
      </c>
      <c r="U79" s="6">
        <v>339625.34</v>
      </c>
      <c r="V79" s="4" t="s">
        <v>85</v>
      </c>
      <c r="W79" s="4" t="s">
        <v>85</v>
      </c>
      <c r="X79" s="4" t="s">
        <v>86</v>
      </c>
      <c r="Y79" s="4" t="s">
        <v>87</v>
      </c>
      <c r="Z79" s="4" t="s">
        <v>88</v>
      </c>
      <c r="AA79" s="4" t="s">
        <v>89</v>
      </c>
      <c r="AB79" s="4" t="s">
        <v>85</v>
      </c>
      <c r="AC79" s="4" t="s">
        <v>90</v>
      </c>
      <c r="AD79" s="4" t="s">
        <v>85</v>
      </c>
      <c r="AE79" s="4" t="s">
        <v>85</v>
      </c>
      <c r="AF79" s="4" t="s">
        <v>91</v>
      </c>
      <c r="AG79" s="4" t="s">
        <v>85</v>
      </c>
      <c r="AH79" s="4" t="s">
        <v>91</v>
      </c>
      <c r="AI79" s="5">
        <v>398</v>
      </c>
      <c r="AJ79" s="4" t="s">
        <v>79</v>
      </c>
      <c r="AK79" s="4" t="s">
        <v>79</v>
      </c>
      <c r="AL79" s="5">
        <v>398</v>
      </c>
      <c r="AM79" s="4" t="s">
        <v>87</v>
      </c>
      <c r="AN79" s="4" t="s">
        <v>85</v>
      </c>
      <c r="AO79" s="4" t="s">
        <v>85</v>
      </c>
      <c r="AP79" s="4" t="s">
        <v>118</v>
      </c>
      <c r="AQ79" s="4" t="s">
        <v>85</v>
      </c>
      <c r="AR79" s="4" t="s">
        <v>85</v>
      </c>
      <c r="AS79" s="6">
        <v>0</v>
      </c>
      <c r="AT79" s="6">
        <v>0</v>
      </c>
      <c r="AU79" s="4" t="s">
        <v>91</v>
      </c>
      <c r="AV79" s="4" t="s">
        <v>85</v>
      </c>
      <c r="AW79" s="4" t="s">
        <v>91</v>
      </c>
      <c r="AX79" s="4" t="s">
        <v>91</v>
      </c>
      <c r="AY79" s="4" t="s">
        <v>85</v>
      </c>
      <c r="AZ79" s="4" t="s">
        <v>93</v>
      </c>
      <c r="BA79" s="4" t="s">
        <v>85</v>
      </c>
      <c r="BB79" s="4" t="s">
        <v>85</v>
      </c>
      <c r="BC79" s="4" t="s">
        <v>91</v>
      </c>
      <c r="BD79" s="4" t="s">
        <v>79</v>
      </c>
      <c r="BE79" s="4" t="s">
        <v>94</v>
      </c>
      <c r="BF79" s="4" t="s">
        <v>85</v>
      </c>
      <c r="BG79" s="4" t="s">
        <v>85</v>
      </c>
      <c r="BH79" s="4" t="s">
        <v>85</v>
      </c>
      <c r="BI79" s="4" t="s">
        <v>91</v>
      </c>
      <c r="BJ79" s="4" t="s">
        <v>91</v>
      </c>
      <c r="BK79" s="4" t="s">
        <v>85</v>
      </c>
      <c r="BL79" s="4" t="s">
        <v>85</v>
      </c>
      <c r="BM79" s="4" t="s">
        <v>95</v>
      </c>
      <c r="BN79" s="4" t="s">
        <v>96</v>
      </c>
      <c r="BO79" s="6">
        <v>0</v>
      </c>
      <c r="BP79" s="4" t="s">
        <v>85</v>
      </c>
      <c r="BQ79" s="4" t="s">
        <v>85</v>
      </c>
      <c r="BR79" s="4" t="s">
        <v>91</v>
      </c>
      <c r="BS79" s="4" t="s">
        <v>85</v>
      </c>
      <c r="BT79" s="26" t="s">
        <v>388</v>
      </c>
      <c r="BU79" s="26" t="s">
        <v>1267</v>
      </c>
      <c r="BV79" s="26" t="s">
        <v>1260</v>
      </c>
      <c r="BW79" s="19" t="s">
        <v>1268</v>
      </c>
      <c r="BX79" s="19" t="s">
        <v>1266</v>
      </c>
      <c r="BY79" s="19"/>
    </row>
    <row r="80" spans="1:77">
      <c r="A80" s="24">
        <v>46021</v>
      </c>
      <c r="B80" s="24">
        <v>46021</v>
      </c>
      <c r="C80" s="3">
        <v>0.70368055555555997</v>
      </c>
      <c r="D80" s="4" t="s">
        <v>136</v>
      </c>
      <c r="E80" s="24">
        <v>46021</v>
      </c>
      <c r="F80" s="26" t="s">
        <v>290</v>
      </c>
      <c r="G80" s="26" t="s">
        <v>75</v>
      </c>
      <c r="H80" s="26" t="s">
        <v>76</v>
      </c>
      <c r="I80" s="4" t="s">
        <v>291</v>
      </c>
      <c r="J80" s="26">
        <v>1219000754</v>
      </c>
      <c r="K80" s="26" t="str">
        <f>VLOOKUP(J:J,'[2]Inventory Codes'!$B:$D,3,0)</f>
        <v>CC</v>
      </c>
      <c r="L80" s="26" t="s">
        <v>139</v>
      </c>
      <c r="M80" s="27">
        <v>18026</v>
      </c>
      <c r="N80" s="26" t="s">
        <v>79</v>
      </c>
      <c r="O80" s="26" t="s">
        <v>293</v>
      </c>
      <c r="P80" s="26" t="s">
        <v>85</v>
      </c>
      <c r="Q80" s="5">
        <v>18026</v>
      </c>
      <c r="R80" s="4" t="s">
        <v>292</v>
      </c>
      <c r="S80" s="4" t="s">
        <v>122</v>
      </c>
      <c r="T80" s="83" t="s">
        <v>84</v>
      </c>
      <c r="U80" s="6">
        <v>15382126.58</v>
      </c>
      <c r="V80" s="4" t="s">
        <v>85</v>
      </c>
      <c r="W80" s="4" t="s">
        <v>85</v>
      </c>
      <c r="X80" s="4" t="s">
        <v>86</v>
      </c>
      <c r="Y80" s="4" t="s">
        <v>87</v>
      </c>
      <c r="Z80" s="4" t="s">
        <v>88</v>
      </c>
      <c r="AA80" s="4" t="s">
        <v>89</v>
      </c>
      <c r="AB80" s="4" t="s">
        <v>85</v>
      </c>
      <c r="AC80" s="4" t="s">
        <v>98</v>
      </c>
      <c r="AD80" s="4" t="s">
        <v>85</v>
      </c>
      <c r="AE80" s="4" t="s">
        <v>85</v>
      </c>
      <c r="AF80" s="4" t="s">
        <v>91</v>
      </c>
      <c r="AG80" s="4" t="s">
        <v>85</v>
      </c>
      <c r="AH80" s="4" t="s">
        <v>91</v>
      </c>
      <c r="AI80" s="5">
        <v>18026</v>
      </c>
      <c r="AJ80" s="4" t="s">
        <v>79</v>
      </c>
      <c r="AK80" s="4" t="s">
        <v>79</v>
      </c>
      <c r="AL80" s="5">
        <v>18026</v>
      </c>
      <c r="AM80" s="4" t="s">
        <v>87</v>
      </c>
      <c r="AN80" s="4" t="s">
        <v>85</v>
      </c>
      <c r="AO80" s="4" t="s">
        <v>85</v>
      </c>
      <c r="AP80" s="4" t="s">
        <v>118</v>
      </c>
      <c r="AQ80" s="4" t="s">
        <v>85</v>
      </c>
      <c r="AR80" s="4" t="s">
        <v>85</v>
      </c>
      <c r="AS80" s="6">
        <v>0</v>
      </c>
      <c r="AT80" s="6">
        <v>0</v>
      </c>
      <c r="AU80" s="4" t="s">
        <v>91</v>
      </c>
      <c r="AV80" s="4" t="s">
        <v>85</v>
      </c>
      <c r="AW80" s="4" t="s">
        <v>91</v>
      </c>
      <c r="AX80" s="4" t="s">
        <v>91</v>
      </c>
      <c r="AY80" s="4" t="s">
        <v>85</v>
      </c>
      <c r="AZ80" s="4" t="s">
        <v>93</v>
      </c>
      <c r="BA80" s="4" t="s">
        <v>85</v>
      </c>
      <c r="BB80" s="4" t="s">
        <v>85</v>
      </c>
      <c r="BC80" s="4" t="s">
        <v>91</v>
      </c>
      <c r="BD80" s="4" t="s">
        <v>79</v>
      </c>
      <c r="BE80" s="4" t="s">
        <v>94</v>
      </c>
      <c r="BF80" s="4" t="s">
        <v>85</v>
      </c>
      <c r="BG80" s="4" t="s">
        <v>85</v>
      </c>
      <c r="BH80" s="4" t="s">
        <v>85</v>
      </c>
      <c r="BI80" s="4" t="s">
        <v>91</v>
      </c>
      <c r="BJ80" s="4" t="s">
        <v>91</v>
      </c>
      <c r="BK80" s="4" t="s">
        <v>85</v>
      </c>
      <c r="BL80" s="4" t="s">
        <v>85</v>
      </c>
      <c r="BM80" s="4" t="s">
        <v>95</v>
      </c>
      <c r="BN80" s="4" t="s">
        <v>96</v>
      </c>
      <c r="BO80" s="6">
        <v>0</v>
      </c>
      <c r="BP80" s="4" t="s">
        <v>85</v>
      </c>
      <c r="BQ80" s="4" t="s">
        <v>85</v>
      </c>
      <c r="BR80" s="4" t="s">
        <v>91</v>
      </c>
      <c r="BS80" s="4" t="s">
        <v>85</v>
      </c>
      <c r="BT80" s="26" t="s">
        <v>388</v>
      </c>
      <c r="BU80" s="26" t="s">
        <v>1267</v>
      </c>
      <c r="BV80" s="26" t="s">
        <v>1260</v>
      </c>
      <c r="BW80" s="19" t="s">
        <v>1268</v>
      </c>
      <c r="BX80" s="19" t="s">
        <v>1266</v>
      </c>
      <c r="BY80" s="19"/>
    </row>
    <row r="81" spans="1:78">
      <c r="A81" s="24">
        <v>46036</v>
      </c>
      <c r="B81" s="24">
        <v>46036</v>
      </c>
      <c r="C81" s="3">
        <v>0.67103009259259006</v>
      </c>
      <c r="D81" s="4" t="s">
        <v>294</v>
      </c>
      <c r="E81" s="24">
        <v>46036</v>
      </c>
      <c r="F81" s="26" t="s">
        <v>295</v>
      </c>
      <c r="G81" s="26" t="s">
        <v>296</v>
      </c>
      <c r="H81" s="26" t="s">
        <v>76</v>
      </c>
      <c r="I81" s="4" t="s">
        <v>297</v>
      </c>
      <c r="J81" s="26">
        <v>1219001020</v>
      </c>
      <c r="K81" s="26" t="str">
        <f>VLOOKUP(J:J,'[2]Inventory Codes'!$B:$D,3,0)</f>
        <v>CC</v>
      </c>
      <c r="L81" s="26" t="s">
        <v>298</v>
      </c>
      <c r="M81" s="27">
        <v>35</v>
      </c>
      <c r="N81" s="26" t="s">
        <v>219</v>
      </c>
      <c r="O81" s="26" t="s">
        <v>299</v>
      </c>
      <c r="P81" s="26" t="s">
        <v>85</v>
      </c>
      <c r="Q81" s="5">
        <v>35</v>
      </c>
      <c r="R81" s="4" t="s">
        <v>85</v>
      </c>
      <c r="S81" s="4" t="s">
        <v>122</v>
      </c>
      <c r="T81" s="83" t="s">
        <v>84</v>
      </c>
      <c r="U81" s="6">
        <v>362524.05</v>
      </c>
      <c r="V81" s="4" t="s">
        <v>85</v>
      </c>
      <c r="W81" s="4" t="s">
        <v>85</v>
      </c>
      <c r="X81" s="4" t="s">
        <v>86</v>
      </c>
      <c r="Y81" s="4" t="s">
        <v>87</v>
      </c>
      <c r="Z81" s="4" t="s">
        <v>88</v>
      </c>
      <c r="AA81" s="4" t="s">
        <v>89</v>
      </c>
      <c r="AB81" s="4" t="s">
        <v>85</v>
      </c>
      <c r="AC81" s="4" t="s">
        <v>98</v>
      </c>
      <c r="AD81" s="4" t="s">
        <v>85</v>
      </c>
      <c r="AE81" s="4" t="s">
        <v>85</v>
      </c>
      <c r="AF81" s="4" t="s">
        <v>91</v>
      </c>
      <c r="AG81" s="4" t="s">
        <v>85</v>
      </c>
      <c r="AH81" s="4" t="s">
        <v>91</v>
      </c>
      <c r="AI81" s="5">
        <v>35</v>
      </c>
      <c r="AJ81" s="4" t="s">
        <v>219</v>
      </c>
      <c r="AK81" s="4" t="s">
        <v>219</v>
      </c>
      <c r="AL81" s="5">
        <v>35</v>
      </c>
      <c r="AM81" s="4" t="s">
        <v>87</v>
      </c>
      <c r="AN81" s="4" t="s">
        <v>85</v>
      </c>
      <c r="AO81" s="4" t="s">
        <v>85</v>
      </c>
      <c r="AP81" s="4" t="s">
        <v>118</v>
      </c>
      <c r="AQ81" s="4" t="s">
        <v>85</v>
      </c>
      <c r="AR81" s="4" t="s">
        <v>85</v>
      </c>
      <c r="AS81" s="6">
        <v>0</v>
      </c>
      <c r="AT81" s="6">
        <v>0</v>
      </c>
      <c r="AU81" s="4" t="s">
        <v>91</v>
      </c>
      <c r="AV81" s="4" t="s">
        <v>85</v>
      </c>
      <c r="AW81" s="4" t="s">
        <v>91</v>
      </c>
      <c r="AX81" s="4" t="s">
        <v>91</v>
      </c>
      <c r="AY81" s="4" t="s">
        <v>85</v>
      </c>
      <c r="AZ81" s="4" t="s">
        <v>93</v>
      </c>
      <c r="BA81" s="4" t="s">
        <v>85</v>
      </c>
      <c r="BB81" s="4" t="s">
        <v>85</v>
      </c>
      <c r="BC81" s="4" t="s">
        <v>91</v>
      </c>
      <c r="BD81" s="4" t="s">
        <v>219</v>
      </c>
      <c r="BE81" s="4" t="s">
        <v>300</v>
      </c>
      <c r="BF81" s="4" t="s">
        <v>85</v>
      </c>
      <c r="BG81" s="4" t="s">
        <v>85</v>
      </c>
      <c r="BH81" s="4" t="s">
        <v>85</v>
      </c>
      <c r="BI81" s="4" t="s">
        <v>91</v>
      </c>
      <c r="BJ81" s="4" t="s">
        <v>91</v>
      </c>
      <c r="BK81" s="4" t="s">
        <v>85</v>
      </c>
      <c r="BL81" s="4" t="s">
        <v>85</v>
      </c>
      <c r="BM81" s="4" t="s">
        <v>95</v>
      </c>
      <c r="BN81" s="4" t="s">
        <v>96</v>
      </c>
      <c r="BO81" s="6">
        <v>0</v>
      </c>
      <c r="BP81" s="4" t="s">
        <v>85</v>
      </c>
      <c r="BQ81" s="4" t="s">
        <v>85</v>
      </c>
      <c r="BR81" s="4" t="s">
        <v>91</v>
      </c>
      <c r="BS81" s="4" t="s">
        <v>85</v>
      </c>
      <c r="BT81" s="26" t="s">
        <v>388</v>
      </c>
      <c r="BU81" s="26" t="s">
        <v>1264</v>
      </c>
      <c r="BV81" s="26" t="s">
        <v>1270</v>
      </c>
      <c r="BW81" s="19" t="s">
        <v>1264</v>
      </c>
      <c r="BX81" s="19" t="s">
        <v>1269</v>
      </c>
      <c r="BY81" s="19" t="s">
        <v>1271</v>
      </c>
    </row>
    <row r="82" spans="1:78">
      <c r="A82" s="24">
        <v>46041</v>
      </c>
      <c r="B82" s="24">
        <v>46041</v>
      </c>
      <c r="C82" s="3">
        <v>0.68304398148148004</v>
      </c>
      <c r="D82" s="4" t="s">
        <v>168</v>
      </c>
      <c r="E82" s="24">
        <v>46041</v>
      </c>
      <c r="F82" s="26" t="s">
        <v>303</v>
      </c>
      <c r="G82" s="26" t="s">
        <v>101</v>
      </c>
      <c r="H82" s="26" t="s">
        <v>76</v>
      </c>
      <c r="I82" s="4" t="s">
        <v>304</v>
      </c>
      <c r="J82" s="26">
        <v>1219000509</v>
      </c>
      <c r="K82" s="26" t="str">
        <f>VLOOKUP(J:J,'[2]Inventory Codes'!$B:$D,3,0)</f>
        <v>MDD</v>
      </c>
      <c r="L82" s="26" t="s">
        <v>171</v>
      </c>
      <c r="M82" s="27">
        <v>128200</v>
      </c>
      <c r="N82" s="26" t="s">
        <v>79</v>
      </c>
      <c r="O82" s="26" t="s">
        <v>305</v>
      </c>
      <c r="P82" s="26" t="s">
        <v>85</v>
      </c>
      <c r="Q82" s="5">
        <v>128200</v>
      </c>
      <c r="R82" s="4" t="s">
        <v>306</v>
      </c>
      <c r="S82" s="4" t="s">
        <v>122</v>
      </c>
      <c r="T82" s="83" t="s">
        <v>84</v>
      </c>
      <c r="U82" s="6">
        <v>24942592</v>
      </c>
      <c r="V82" s="4" t="s">
        <v>85</v>
      </c>
      <c r="W82" s="4" t="s">
        <v>85</v>
      </c>
      <c r="X82" s="4" t="s">
        <v>86</v>
      </c>
      <c r="Y82" s="4" t="s">
        <v>87</v>
      </c>
      <c r="Z82" s="4" t="s">
        <v>88</v>
      </c>
      <c r="AA82" s="4" t="s">
        <v>89</v>
      </c>
      <c r="AB82" s="4" t="s">
        <v>85</v>
      </c>
      <c r="AC82" s="4" t="s">
        <v>98</v>
      </c>
      <c r="AD82" s="4" t="s">
        <v>85</v>
      </c>
      <c r="AE82" s="4" t="s">
        <v>85</v>
      </c>
      <c r="AF82" s="4" t="s">
        <v>91</v>
      </c>
      <c r="AG82" s="4" t="s">
        <v>85</v>
      </c>
      <c r="AH82" s="4" t="s">
        <v>91</v>
      </c>
      <c r="AI82" s="5">
        <v>128200</v>
      </c>
      <c r="AJ82" s="4" t="s">
        <v>79</v>
      </c>
      <c r="AK82" s="4" t="s">
        <v>79</v>
      </c>
      <c r="AL82" s="5">
        <v>128200</v>
      </c>
      <c r="AM82" s="4" t="s">
        <v>87</v>
      </c>
      <c r="AN82" s="4" t="s">
        <v>85</v>
      </c>
      <c r="AO82" s="4" t="s">
        <v>85</v>
      </c>
      <c r="AP82" s="4" t="s">
        <v>118</v>
      </c>
      <c r="AQ82" s="4" t="s">
        <v>85</v>
      </c>
      <c r="AR82" s="4" t="s">
        <v>85</v>
      </c>
      <c r="AS82" s="6">
        <v>0</v>
      </c>
      <c r="AT82" s="6">
        <v>0</v>
      </c>
      <c r="AU82" s="4" t="s">
        <v>91</v>
      </c>
      <c r="AV82" s="4" t="s">
        <v>85</v>
      </c>
      <c r="AW82" s="4" t="s">
        <v>91</v>
      </c>
      <c r="AX82" s="4" t="s">
        <v>91</v>
      </c>
      <c r="AY82" s="4" t="s">
        <v>85</v>
      </c>
      <c r="AZ82" s="4" t="s">
        <v>93</v>
      </c>
      <c r="BA82" s="4" t="s">
        <v>85</v>
      </c>
      <c r="BB82" s="4" t="s">
        <v>85</v>
      </c>
      <c r="BC82" s="4" t="s">
        <v>91</v>
      </c>
      <c r="BD82" s="4" t="s">
        <v>79</v>
      </c>
      <c r="BE82" s="4" t="s">
        <v>300</v>
      </c>
      <c r="BF82" s="4" t="s">
        <v>85</v>
      </c>
      <c r="BG82" s="4" t="s">
        <v>85</v>
      </c>
      <c r="BH82" s="4" t="s">
        <v>85</v>
      </c>
      <c r="BI82" s="4" t="s">
        <v>91</v>
      </c>
      <c r="BJ82" s="4" t="s">
        <v>91</v>
      </c>
      <c r="BK82" s="4" t="s">
        <v>85</v>
      </c>
      <c r="BL82" s="4" t="s">
        <v>85</v>
      </c>
      <c r="BM82" s="4" t="s">
        <v>95</v>
      </c>
      <c r="BN82" s="4" t="s">
        <v>96</v>
      </c>
      <c r="BO82" s="6">
        <v>0</v>
      </c>
      <c r="BP82" s="4" t="s">
        <v>85</v>
      </c>
      <c r="BQ82" s="4" t="s">
        <v>85</v>
      </c>
      <c r="BR82" s="4" t="s">
        <v>91</v>
      </c>
      <c r="BS82" s="4" t="s">
        <v>85</v>
      </c>
      <c r="BT82" s="26" t="s">
        <v>388</v>
      </c>
      <c r="BU82" s="26" t="s">
        <v>1273</v>
      </c>
      <c r="BV82" s="26" t="s">
        <v>1272</v>
      </c>
      <c r="BW82" s="19" t="s">
        <v>1274</v>
      </c>
      <c r="BX82" s="19" t="s">
        <v>1266</v>
      </c>
      <c r="BY82" s="19"/>
    </row>
    <row r="83" spans="1:78">
      <c r="A83" s="24">
        <v>46041</v>
      </c>
      <c r="B83" s="24">
        <v>46041</v>
      </c>
      <c r="C83" s="3">
        <v>0.68304398148148004</v>
      </c>
      <c r="D83" s="4" t="s">
        <v>109</v>
      </c>
      <c r="E83" s="24">
        <v>46041</v>
      </c>
      <c r="F83" s="26" t="s">
        <v>303</v>
      </c>
      <c r="G83" s="26" t="s">
        <v>101</v>
      </c>
      <c r="H83" s="26" t="s">
        <v>76</v>
      </c>
      <c r="I83" s="4" t="s">
        <v>304</v>
      </c>
      <c r="J83" s="26">
        <v>1219000660</v>
      </c>
      <c r="K83" s="26" t="str">
        <f>VLOOKUP(J:J,'[2]Inventory Codes'!$B:$D,3,0)</f>
        <v>MDD</v>
      </c>
      <c r="L83" s="26" t="s">
        <v>110</v>
      </c>
      <c r="M83" s="27">
        <v>128200</v>
      </c>
      <c r="N83" s="26" t="s">
        <v>79</v>
      </c>
      <c r="O83" s="26" t="s">
        <v>307</v>
      </c>
      <c r="P83" s="26" t="s">
        <v>85</v>
      </c>
      <c r="Q83" s="5">
        <v>128200</v>
      </c>
      <c r="R83" s="4" t="s">
        <v>306</v>
      </c>
      <c r="S83" s="4" t="s">
        <v>122</v>
      </c>
      <c r="T83" s="83" t="s">
        <v>84</v>
      </c>
      <c r="U83" s="6">
        <v>10932896</v>
      </c>
      <c r="V83" s="4" t="s">
        <v>85</v>
      </c>
      <c r="W83" s="4" t="s">
        <v>85</v>
      </c>
      <c r="X83" s="4" t="s">
        <v>86</v>
      </c>
      <c r="Y83" s="4" t="s">
        <v>87</v>
      </c>
      <c r="Z83" s="4" t="s">
        <v>88</v>
      </c>
      <c r="AA83" s="4" t="s">
        <v>89</v>
      </c>
      <c r="AB83" s="4" t="s">
        <v>85</v>
      </c>
      <c r="AC83" s="4" t="s">
        <v>90</v>
      </c>
      <c r="AD83" s="4" t="s">
        <v>85</v>
      </c>
      <c r="AE83" s="4" t="s">
        <v>85</v>
      </c>
      <c r="AF83" s="4" t="s">
        <v>91</v>
      </c>
      <c r="AG83" s="4" t="s">
        <v>85</v>
      </c>
      <c r="AH83" s="4" t="s">
        <v>91</v>
      </c>
      <c r="AI83" s="5">
        <v>128200</v>
      </c>
      <c r="AJ83" s="4" t="s">
        <v>79</v>
      </c>
      <c r="AK83" s="4" t="s">
        <v>79</v>
      </c>
      <c r="AL83" s="5">
        <v>128200</v>
      </c>
      <c r="AM83" s="4" t="s">
        <v>87</v>
      </c>
      <c r="AN83" s="4" t="s">
        <v>85</v>
      </c>
      <c r="AO83" s="4" t="s">
        <v>85</v>
      </c>
      <c r="AP83" s="4" t="s">
        <v>107</v>
      </c>
      <c r="AQ83" s="4" t="s">
        <v>85</v>
      </c>
      <c r="AR83" s="4" t="s">
        <v>85</v>
      </c>
      <c r="AS83" s="6">
        <v>0</v>
      </c>
      <c r="AT83" s="6">
        <v>0</v>
      </c>
      <c r="AU83" s="4" t="s">
        <v>91</v>
      </c>
      <c r="AV83" s="4" t="s">
        <v>85</v>
      </c>
      <c r="AW83" s="4" t="s">
        <v>91</v>
      </c>
      <c r="AX83" s="4" t="s">
        <v>91</v>
      </c>
      <c r="AY83" s="4" t="s">
        <v>85</v>
      </c>
      <c r="AZ83" s="4" t="s">
        <v>93</v>
      </c>
      <c r="BA83" s="4" t="s">
        <v>85</v>
      </c>
      <c r="BB83" s="4" t="s">
        <v>85</v>
      </c>
      <c r="BC83" s="4" t="s">
        <v>91</v>
      </c>
      <c r="BD83" s="4" t="s">
        <v>79</v>
      </c>
      <c r="BE83" s="4" t="s">
        <v>300</v>
      </c>
      <c r="BF83" s="4" t="s">
        <v>85</v>
      </c>
      <c r="BG83" s="4" t="s">
        <v>85</v>
      </c>
      <c r="BH83" s="4" t="s">
        <v>85</v>
      </c>
      <c r="BI83" s="4" t="s">
        <v>91</v>
      </c>
      <c r="BJ83" s="4" t="s">
        <v>91</v>
      </c>
      <c r="BK83" s="4" t="s">
        <v>85</v>
      </c>
      <c r="BL83" s="4" t="s">
        <v>85</v>
      </c>
      <c r="BM83" s="4" t="s">
        <v>95</v>
      </c>
      <c r="BN83" s="4" t="s">
        <v>96</v>
      </c>
      <c r="BO83" s="6">
        <v>0</v>
      </c>
      <c r="BP83" s="4" t="s">
        <v>85</v>
      </c>
      <c r="BQ83" s="4" t="s">
        <v>85</v>
      </c>
      <c r="BR83" s="4" t="s">
        <v>91</v>
      </c>
      <c r="BS83" s="4" t="s">
        <v>85</v>
      </c>
      <c r="BT83" s="26" t="s">
        <v>388</v>
      </c>
      <c r="BU83" s="26" t="s">
        <v>1273</v>
      </c>
      <c r="BV83" s="26" t="s">
        <v>1272</v>
      </c>
      <c r="BW83" s="19" t="s">
        <v>1274</v>
      </c>
      <c r="BX83" s="19" t="s">
        <v>1266</v>
      </c>
      <c r="BY83" s="19"/>
    </row>
    <row r="84" spans="1:78">
      <c r="A84" s="24">
        <v>46042</v>
      </c>
      <c r="B84" s="24">
        <v>46042</v>
      </c>
      <c r="C84" s="3">
        <v>0.44298611111111003</v>
      </c>
      <c r="D84" s="4" t="s">
        <v>113</v>
      </c>
      <c r="E84" s="24">
        <v>46042</v>
      </c>
      <c r="F84" s="26" t="s">
        <v>308</v>
      </c>
      <c r="G84" s="26" t="s">
        <v>101</v>
      </c>
      <c r="H84" s="26" t="s">
        <v>76</v>
      </c>
      <c r="I84" s="4" t="s">
        <v>309</v>
      </c>
      <c r="J84" s="26">
        <v>1219000780</v>
      </c>
      <c r="K84" s="26" t="str">
        <f>VLOOKUP(J:J,'[2]Inventory Codes'!$B:$D,3,0)</f>
        <v>MDD</v>
      </c>
      <c r="L84" s="26" t="s">
        <v>115</v>
      </c>
      <c r="M84" s="27">
        <v>25000</v>
      </c>
      <c r="N84" s="26" t="s">
        <v>79</v>
      </c>
      <c r="O84" s="26" t="s">
        <v>310</v>
      </c>
      <c r="P84" s="26" t="s">
        <v>85</v>
      </c>
      <c r="Q84" s="5">
        <v>25000</v>
      </c>
      <c r="R84" s="4" t="s">
        <v>311</v>
      </c>
      <c r="S84" s="4" t="s">
        <v>122</v>
      </c>
      <c r="T84" s="83" t="s">
        <v>106</v>
      </c>
      <c r="U84" s="6">
        <v>11210000</v>
      </c>
      <c r="V84" s="4" t="s">
        <v>85</v>
      </c>
      <c r="W84" s="4" t="s">
        <v>85</v>
      </c>
      <c r="X84" s="4" t="s">
        <v>86</v>
      </c>
      <c r="Y84" s="4" t="s">
        <v>87</v>
      </c>
      <c r="Z84" s="4" t="s">
        <v>88</v>
      </c>
      <c r="AA84" s="4" t="s">
        <v>89</v>
      </c>
      <c r="AB84" s="4" t="s">
        <v>85</v>
      </c>
      <c r="AC84" s="4" t="s">
        <v>98</v>
      </c>
      <c r="AD84" s="4" t="s">
        <v>85</v>
      </c>
      <c r="AE84" s="4" t="s">
        <v>85</v>
      </c>
      <c r="AF84" s="4" t="s">
        <v>91</v>
      </c>
      <c r="AG84" s="4" t="s">
        <v>85</v>
      </c>
      <c r="AH84" s="4" t="s">
        <v>91</v>
      </c>
      <c r="AI84" s="5">
        <v>25000</v>
      </c>
      <c r="AJ84" s="4" t="s">
        <v>79</v>
      </c>
      <c r="AK84" s="4" t="s">
        <v>79</v>
      </c>
      <c r="AL84" s="5">
        <v>25000</v>
      </c>
      <c r="AM84" s="4" t="s">
        <v>87</v>
      </c>
      <c r="AN84" s="4" t="s">
        <v>85</v>
      </c>
      <c r="AO84" s="4" t="s">
        <v>85</v>
      </c>
      <c r="AP84" s="4" t="s">
        <v>107</v>
      </c>
      <c r="AQ84" s="4" t="s">
        <v>85</v>
      </c>
      <c r="AR84" s="4" t="s">
        <v>85</v>
      </c>
      <c r="AS84" s="6">
        <v>0</v>
      </c>
      <c r="AT84" s="6">
        <v>0</v>
      </c>
      <c r="AU84" s="4" t="s">
        <v>91</v>
      </c>
      <c r="AV84" s="4" t="s">
        <v>85</v>
      </c>
      <c r="AW84" s="4" t="s">
        <v>91</v>
      </c>
      <c r="AX84" s="4" t="s">
        <v>91</v>
      </c>
      <c r="AY84" s="4" t="s">
        <v>85</v>
      </c>
      <c r="AZ84" s="4" t="s">
        <v>93</v>
      </c>
      <c r="BA84" s="4" t="s">
        <v>85</v>
      </c>
      <c r="BB84" s="4" t="s">
        <v>85</v>
      </c>
      <c r="BC84" s="4" t="s">
        <v>91</v>
      </c>
      <c r="BD84" s="4" t="s">
        <v>79</v>
      </c>
      <c r="BE84" s="4" t="s">
        <v>300</v>
      </c>
      <c r="BF84" s="4" t="s">
        <v>85</v>
      </c>
      <c r="BG84" s="4" t="s">
        <v>85</v>
      </c>
      <c r="BH84" s="4" t="s">
        <v>85</v>
      </c>
      <c r="BI84" s="4" t="s">
        <v>91</v>
      </c>
      <c r="BJ84" s="4" t="s">
        <v>91</v>
      </c>
      <c r="BK84" s="4" t="s">
        <v>85</v>
      </c>
      <c r="BL84" s="4" t="s">
        <v>85</v>
      </c>
      <c r="BM84" s="4" t="s">
        <v>95</v>
      </c>
      <c r="BN84" s="4" t="s">
        <v>96</v>
      </c>
      <c r="BO84" s="6">
        <v>0</v>
      </c>
      <c r="BP84" s="4" t="s">
        <v>85</v>
      </c>
      <c r="BQ84" s="4" t="s">
        <v>85</v>
      </c>
      <c r="BR84" s="4" t="s">
        <v>91</v>
      </c>
      <c r="BS84" s="4" t="s">
        <v>85</v>
      </c>
      <c r="BT84" s="26" t="s">
        <v>388</v>
      </c>
      <c r="BU84" s="26" t="s">
        <v>1273</v>
      </c>
      <c r="BV84" s="26" t="s">
        <v>1226</v>
      </c>
      <c r="BW84" s="19" t="s">
        <v>1275</v>
      </c>
      <c r="BX84" s="19" t="s">
        <v>1266</v>
      </c>
      <c r="BY84" s="19"/>
    </row>
    <row r="85" spans="1:78">
      <c r="A85" s="24">
        <v>46042</v>
      </c>
      <c r="B85" s="24">
        <v>46042</v>
      </c>
      <c r="C85" s="3">
        <v>0.44366898148147998</v>
      </c>
      <c r="D85" s="4" t="s">
        <v>113</v>
      </c>
      <c r="E85" s="24">
        <v>46042</v>
      </c>
      <c r="F85" s="26" t="s">
        <v>308</v>
      </c>
      <c r="G85" s="26" t="s">
        <v>101</v>
      </c>
      <c r="H85" s="26" t="s">
        <v>76</v>
      </c>
      <c r="I85" s="4" t="s">
        <v>312</v>
      </c>
      <c r="J85" s="26">
        <v>1219000780</v>
      </c>
      <c r="K85" s="26" t="str">
        <f>VLOOKUP(J:J,'[2]Inventory Codes'!$B:$D,3,0)</f>
        <v>MDD</v>
      </c>
      <c r="L85" s="26" t="s">
        <v>115</v>
      </c>
      <c r="M85" s="27">
        <v>25000</v>
      </c>
      <c r="N85" s="26" t="s">
        <v>79</v>
      </c>
      <c r="O85" s="26" t="s">
        <v>313</v>
      </c>
      <c r="P85" s="26" t="s">
        <v>85</v>
      </c>
      <c r="Q85" s="5">
        <v>25000</v>
      </c>
      <c r="R85" s="4" t="s">
        <v>311</v>
      </c>
      <c r="S85" s="4" t="s">
        <v>122</v>
      </c>
      <c r="T85" s="83" t="s">
        <v>84</v>
      </c>
      <c r="U85" s="6">
        <v>11210000</v>
      </c>
      <c r="V85" s="4" t="s">
        <v>85</v>
      </c>
      <c r="W85" s="4" t="s">
        <v>85</v>
      </c>
      <c r="X85" s="4" t="s">
        <v>86</v>
      </c>
      <c r="Y85" s="4" t="s">
        <v>87</v>
      </c>
      <c r="Z85" s="4" t="s">
        <v>88</v>
      </c>
      <c r="AA85" s="4" t="s">
        <v>89</v>
      </c>
      <c r="AB85" s="4" t="s">
        <v>85</v>
      </c>
      <c r="AC85" s="4" t="s">
        <v>90</v>
      </c>
      <c r="AD85" s="4" t="s">
        <v>85</v>
      </c>
      <c r="AE85" s="4" t="s">
        <v>85</v>
      </c>
      <c r="AF85" s="4" t="s">
        <v>91</v>
      </c>
      <c r="AG85" s="4" t="s">
        <v>85</v>
      </c>
      <c r="AH85" s="4" t="s">
        <v>91</v>
      </c>
      <c r="AI85" s="5">
        <v>25000</v>
      </c>
      <c r="AJ85" s="4" t="s">
        <v>79</v>
      </c>
      <c r="AK85" s="4" t="s">
        <v>79</v>
      </c>
      <c r="AL85" s="5">
        <v>25000</v>
      </c>
      <c r="AM85" s="4" t="s">
        <v>87</v>
      </c>
      <c r="AN85" s="4" t="s">
        <v>85</v>
      </c>
      <c r="AO85" s="4" t="s">
        <v>85</v>
      </c>
      <c r="AP85" s="4" t="s">
        <v>107</v>
      </c>
      <c r="AQ85" s="4" t="s">
        <v>85</v>
      </c>
      <c r="AR85" s="4" t="s">
        <v>85</v>
      </c>
      <c r="AS85" s="6">
        <v>0</v>
      </c>
      <c r="AT85" s="6">
        <v>0</v>
      </c>
      <c r="AU85" s="4" t="s">
        <v>91</v>
      </c>
      <c r="AV85" s="4" t="s">
        <v>85</v>
      </c>
      <c r="AW85" s="4" t="s">
        <v>91</v>
      </c>
      <c r="AX85" s="4" t="s">
        <v>91</v>
      </c>
      <c r="AY85" s="4" t="s">
        <v>85</v>
      </c>
      <c r="AZ85" s="4" t="s">
        <v>93</v>
      </c>
      <c r="BA85" s="4" t="s">
        <v>85</v>
      </c>
      <c r="BB85" s="4" t="s">
        <v>85</v>
      </c>
      <c r="BC85" s="4" t="s">
        <v>91</v>
      </c>
      <c r="BD85" s="4" t="s">
        <v>79</v>
      </c>
      <c r="BE85" s="4" t="s">
        <v>300</v>
      </c>
      <c r="BF85" s="4" t="s">
        <v>85</v>
      </c>
      <c r="BG85" s="4" t="s">
        <v>85</v>
      </c>
      <c r="BH85" s="4" t="s">
        <v>85</v>
      </c>
      <c r="BI85" s="4" t="s">
        <v>91</v>
      </c>
      <c r="BJ85" s="4" t="s">
        <v>91</v>
      </c>
      <c r="BK85" s="4" t="s">
        <v>85</v>
      </c>
      <c r="BL85" s="4" t="s">
        <v>85</v>
      </c>
      <c r="BM85" s="4" t="s">
        <v>95</v>
      </c>
      <c r="BN85" s="4" t="s">
        <v>96</v>
      </c>
      <c r="BO85" s="6">
        <v>0</v>
      </c>
      <c r="BP85" s="4" t="s">
        <v>85</v>
      </c>
      <c r="BQ85" s="4" t="s">
        <v>85</v>
      </c>
      <c r="BR85" s="4" t="s">
        <v>91</v>
      </c>
      <c r="BS85" s="4" t="s">
        <v>85</v>
      </c>
      <c r="BT85" s="26" t="s">
        <v>388</v>
      </c>
      <c r="BU85" s="26" t="s">
        <v>1273</v>
      </c>
      <c r="BV85" s="26" t="s">
        <v>1226</v>
      </c>
      <c r="BW85" s="19" t="s">
        <v>1275</v>
      </c>
      <c r="BX85" s="19" t="s">
        <v>1266</v>
      </c>
      <c r="BY85" s="19"/>
    </row>
    <row r="86" spans="1:78">
      <c r="A86" s="24">
        <v>46042</v>
      </c>
      <c r="B86" s="24">
        <v>46042</v>
      </c>
      <c r="C86" s="3">
        <v>0.44366898148147998</v>
      </c>
      <c r="D86" s="4" t="s">
        <v>237</v>
      </c>
      <c r="E86" s="24">
        <v>46042</v>
      </c>
      <c r="F86" s="26" t="s">
        <v>308</v>
      </c>
      <c r="G86" s="26" t="s">
        <v>101</v>
      </c>
      <c r="H86" s="26" t="s">
        <v>76</v>
      </c>
      <c r="I86" s="4" t="s">
        <v>312</v>
      </c>
      <c r="J86" s="26">
        <v>1219001022</v>
      </c>
      <c r="K86" s="26" t="str">
        <f>VLOOKUP(J:J,'[2]Inventory Codes'!$B:$D,3,0)</f>
        <v>MDD</v>
      </c>
      <c r="L86" s="26" t="s">
        <v>238</v>
      </c>
      <c r="M86" s="27">
        <v>50000</v>
      </c>
      <c r="N86" s="26" t="s">
        <v>79</v>
      </c>
      <c r="O86" s="26" t="s">
        <v>253</v>
      </c>
      <c r="P86" s="26" t="s">
        <v>85</v>
      </c>
      <c r="Q86" s="5">
        <v>50000</v>
      </c>
      <c r="R86" s="4" t="s">
        <v>311</v>
      </c>
      <c r="S86" s="4" t="s">
        <v>122</v>
      </c>
      <c r="T86" s="83" t="s">
        <v>84</v>
      </c>
      <c r="U86" s="6">
        <v>2386500</v>
      </c>
      <c r="V86" s="4" t="s">
        <v>85</v>
      </c>
      <c r="W86" s="4" t="s">
        <v>85</v>
      </c>
      <c r="X86" s="4" t="s">
        <v>86</v>
      </c>
      <c r="Y86" s="4" t="s">
        <v>87</v>
      </c>
      <c r="Z86" s="4" t="s">
        <v>88</v>
      </c>
      <c r="AA86" s="4" t="s">
        <v>89</v>
      </c>
      <c r="AB86" s="4" t="s">
        <v>85</v>
      </c>
      <c r="AC86" s="4" t="s">
        <v>98</v>
      </c>
      <c r="AD86" s="4" t="s">
        <v>85</v>
      </c>
      <c r="AE86" s="4" t="s">
        <v>85</v>
      </c>
      <c r="AF86" s="4" t="s">
        <v>91</v>
      </c>
      <c r="AG86" s="4" t="s">
        <v>85</v>
      </c>
      <c r="AH86" s="4" t="s">
        <v>91</v>
      </c>
      <c r="AI86" s="5">
        <v>50000</v>
      </c>
      <c r="AJ86" s="4" t="s">
        <v>79</v>
      </c>
      <c r="AK86" s="4" t="s">
        <v>79</v>
      </c>
      <c r="AL86" s="5">
        <v>50000</v>
      </c>
      <c r="AM86" s="4" t="s">
        <v>87</v>
      </c>
      <c r="AN86" s="4" t="s">
        <v>85</v>
      </c>
      <c r="AO86" s="4" t="s">
        <v>85</v>
      </c>
      <c r="AP86" s="4" t="s">
        <v>118</v>
      </c>
      <c r="AQ86" s="4" t="s">
        <v>85</v>
      </c>
      <c r="AR86" s="4" t="s">
        <v>85</v>
      </c>
      <c r="AS86" s="6">
        <v>0</v>
      </c>
      <c r="AT86" s="6">
        <v>0</v>
      </c>
      <c r="AU86" s="4" t="s">
        <v>91</v>
      </c>
      <c r="AV86" s="4" t="s">
        <v>85</v>
      </c>
      <c r="AW86" s="4" t="s">
        <v>91</v>
      </c>
      <c r="AX86" s="4" t="s">
        <v>91</v>
      </c>
      <c r="AY86" s="4" t="s">
        <v>85</v>
      </c>
      <c r="AZ86" s="4" t="s">
        <v>93</v>
      </c>
      <c r="BA86" s="4" t="s">
        <v>85</v>
      </c>
      <c r="BB86" s="4" t="s">
        <v>85</v>
      </c>
      <c r="BC86" s="4" t="s">
        <v>91</v>
      </c>
      <c r="BD86" s="4" t="s">
        <v>79</v>
      </c>
      <c r="BE86" s="4" t="s">
        <v>300</v>
      </c>
      <c r="BF86" s="4" t="s">
        <v>85</v>
      </c>
      <c r="BG86" s="4" t="s">
        <v>85</v>
      </c>
      <c r="BH86" s="4" t="s">
        <v>85</v>
      </c>
      <c r="BI86" s="4" t="s">
        <v>91</v>
      </c>
      <c r="BJ86" s="4" t="s">
        <v>91</v>
      </c>
      <c r="BK86" s="4" t="s">
        <v>85</v>
      </c>
      <c r="BL86" s="4" t="s">
        <v>85</v>
      </c>
      <c r="BM86" s="4" t="s">
        <v>95</v>
      </c>
      <c r="BN86" s="4" t="s">
        <v>96</v>
      </c>
      <c r="BO86" s="6">
        <v>0</v>
      </c>
      <c r="BP86" s="4" t="s">
        <v>85</v>
      </c>
      <c r="BQ86" s="4" t="s">
        <v>85</v>
      </c>
      <c r="BR86" s="4" t="s">
        <v>91</v>
      </c>
      <c r="BS86" s="4" t="s">
        <v>85</v>
      </c>
      <c r="BT86" s="26" t="s">
        <v>388</v>
      </c>
      <c r="BU86" s="26" t="s">
        <v>1273</v>
      </c>
      <c r="BV86" s="26" t="s">
        <v>1226</v>
      </c>
      <c r="BW86" s="19" t="s">
        <v>1275</v>
      </c>
      <c r="BX86" s="19" t="s">
        <v>1266</v>
      </c>
      <c r="BY86" s="19"/>
    </row>
    <row r="87" spans="1:78">
      <c r="A87" s="24">
        <v>46042</v>
      </c>
      <c r="B87" s="24">
        <v>46042</v>
      </c>
      <c r="C87" s="3">
        <v>0.44430555555556001</v>
      </c>
      <c r="D87" s="4" t="s">
        <v>237</v>
      </c>
      <c r="E87" s="24">
        <v>46042</v>
      </c>
      <c r="F87" s="26" t="s">
        <v>267</v>
      </c>
      <c r="G87" s="26" t="s">
        <v>101</v>
      </c>
      <c r="H87" s="26" t="s">
        <v>76</v>
      </c>
      <c r="I87" s="4" t="s">
        <v>314</v>
      </c>
      <c r="J87" s="26">
        <v>1219001022</v>
      </c>
      <c r="K87" s="26" t="str">
        <f>VLOOKUP(J:J,'[2]Inventory Codes'!$B:$D,3,0)</f>
        <v>MDD</v>
      </c>
      <c r="L87" s="26" t="s">
        <v>238</v>
      </c>
      <c r="M87" s="27">
        <v>4000</v>
      </c>
      <c r="N87" s="26" t="s">
        <v>79</v>
      </c>
      <c r="O87" s="26" t="s">
        <v>253</v>
      </c>
      <c r="P87" s="26" t="s">
        <v>85</v>
      </c>
      <c r="Q87" s="5">
        <v>4000</v>
      </c>
      <c r="R87" s="4" t="s">
        <v>256</v>
      </c>
      <c r="S87" s="4" t="s">
        <v>122</v>
      </c>
      <c r="T87" s="83" t="s">
        <v>84</v>
      </c>
      <c r="U87" s="6">
        <v>190920</v>
      </c>
      <c r="V87" s="4" t="s">
        <v>85</v>
      </c>
      <c r="W87" s="4" t="s">
        <v>85</v>
      </c>
      <c r="X87" s="4" t="s">
        <v>86</v>
      </c>
      <c r="Y87" s="4" t="s">
        <v>87</v>
      </c>
      <c r="Z87" s="4" t="s">
        <v>88</v>
      </c>
      <c r="AA87" s="4" t="s">
        <v>89</v>
      </c>
      <c r="AB87" s="4" t="s">
        <v>85</v>
      </c>
      <c r="AC87" s="4" t="s">
        <v>98</v>
      </c>
      <c r="AD87" s="4" t="s">
        <v>85</v>
      </c>
      <c r="AE87" s="4" t="s">
        <v>85</v>
      </c>
      <c r="AF87" s="4" t="s">
        <v>91</v>
      </c>
      <c r="AG87" s="4" t="s">
        <v>85</v>
      </c>
      <c r="AH87" s="4" t="s">
        <v>91</v>
      </c>
      <c r="AI87" s="5">
        <v>4000</v>
      </c>
      <c r="AJ87" s="4" t="s">
        <v>79</v>
      </c>
      <c r="AK87" s="4" t="s">
        <v>79</v>
      </c>
      <c r="AL87" s="5">
        <v>4000</v>
      </c>
      <c r="AM87" s="4" t="s">
        <v>87</v>
      </c>
      <c r="AN87" s="4" t="s">
        <v>85</v>
      </c>
      <c r="AO87" s="4" t="s">
        <v>85</v>
      </c>
      <c r="AP87" s="4" t="s">
        <v>107</v>
      </c>
      <c r="AQ87" s="4" t="s">
        <v>85</v>
      </c>
      <c r="AR87" s="4" t="s">
        <v>85</v>
      </c>
      <c r="AS87" s="6">
        <v>0</v>
      </c>
      <c r="AT87" s="6">
        <v>0</v>
      </c>
      <c r="AU87" s="4" t="s">
        <v>91</v>
      </c>
      <c r="AV87" s="4" t="s">
        <v>85</v>
      </c>
      <c r="AW87" s="4" t="s">
        <v>91</v>
      </c>
      <c r="AX87" s="4" t="s">
        <v>91</v>
      </c>
      <c r="AY87" s="4" t="s">
        <v>85</v>
      </c>
      <c r="AZ87" s="4" t="s">
        <v>93</v>
      </c>
      <c r="BA87" s="4" t="s">
        <v>85</v>
      </c>
      <c r="BB87" s="4" t="s">
        <v>85</v>
      </c>
      <c r="BC87" s="4" t="s">
        <v>91</v>
      </c>
      <c r="BD87" s="4" t="s">
        <v>79</v>
      </c>
      <c r="BE87" s="4" t="s">
        <v>300</v>
      </c>
      <c r="BF87" s="4" t="s">
        <v>85</v>
      </c>
      <c r="BG87" s="4" t="s">
        <v>85</v>
      </c>
      <c r="BH87" s="4" t="s">
        <v>85</v>
      </c>
      <c r="BI87" s="4" t="s">
        <v>91</v>
      </c>
      <c r="BJ87" s="4" t="s">
        <v>91</v>
      </c>
      <c r="BK87" s="4" t="s">
        <v>85</v>
      </c>
      <c r="BL87" s="4" t="s">
        <v>85</v>
      </c>
      <c r="BM87" s="4" t="s">
        <v>95</v>
      </c>
      <c r="BN87" s="4" t="s">
        <v>96</v>
      </c>
      <c r="BO87" s="6">
        <v>0</v>
      </c>
      <c r="BP87" s="4" t="s">
        <v>85</v>
      </c>
      <c r="BQ87" s="4" t="s">
        <v>85</v>
      </c>
      <c r="BR87" s="4" t="s">
        <v>91</v>
      </c>
      <c r="BS87" s="4" t="s">
        <v>85</v>
      </c>
      <c r="BT87" s="26" t="s">
        <v>388</v>
      </c>
      <c r="BU87" s="26" t="s">
        <v>1249</v>
      </c>
      <c r="BV87" s="26" t="s">
        <v>1226</v>
      </c>
      <c r="BW87" s="19" t="s">
        <v>1259</v>
      </c>
      <c r="BX87" s="19" t="s">
        <v>1258</v>
      </c>
      <c r="BY87" s="19"/>
    </row>
    <row r="88" spans="1:78">
      <c r="A88" s="24">
        <v>46042</v>
      </c>
      <c r="B88" s="24">
        <v>46042</v>
      </c>
      <c r="C88" s="3">
        <v>0.44557870370370001</v>
      </c>
      <c r="D88" s="4" t="s">
        <v>136</v>
      </c>
      <c r="E88" s="24">
        <v>46042</v>
      </c>
      <c r="F88" s="26" t="s">
        <v>290</v>
      </c>
      <c r="G88" s="26" t="s">
        <v>75</v>
      </c>
      <c r="H88" s="26" t="s">
        <v>76</v>
      </c>
      <c r="I88" s="4" t="s">
        <v>315</v>
      </c>
      <c r="J88" s="26">
        <v>1219000754</v>
      </c>
      <c r="K88" s="26" t="str">
        <f>VLOOKUP(J:J,'[2]Inventory Codes'!$B:$D,3,0)</f>
        <v>CC</v>
      </c>
      <c r="L88" s="26" t="s">
        <v>139</v>
      </c>
      <c r="M88" s="27">
        <v>785</v>
      </c>
      <c r="N88" s="26" t="s">
        <v>79</v>
      </c>
      <c r="O88" s="26" t="s">
        <v>276</v>
      </c>
      <c r="P88" s="26" t="s">
        <v>85</v>
      </c>
      <c r="Q88" s="5">
        <v>785</v>
      </c>
      <c r="R88" s="4" t="s">
        <v>292</v>
      </c>
      <c r="S88" s="4" t="s">
        <v>122</v>
      </c>
      <c r="T88" s="83" t="s">
        <v>106</v>
      </c>
      <c r="U88" s="6">
        <v>564140.25</v>
      </c>
      <c r="V88" s="4" t="s">
        <v>85</v>
      </c>
      <c r="W88" s="4" t="s">
        <v>85</v>
      </c>
      <c r="X88" s="4" t="s">
        <v>86</v>
      </c>
      <c r="Y88" s="4" t="s">
        <v>87</v>
      </c>
      <c r="Z88" s="4" t="s">
        <v>88</v>
      </c>
      <c r="AA88" s="4" t="s">
        <v>89</v>
      </c>
      <c r="AB88" s="4" t="s">
        <v>85</v>
      </c>
      <c r="AC88" s="4" t="s">
        <v>98</v>
      </c>
      <c r="AD88" s="4" t="s">
        <v>85</v>
      </c>
      <c r="AE88" s="4" t="s">
        <v>85</v>
      </c>
      <c r="AF88" s="4" t="s">
        <v>91</v>
      </c>
      <c r="AG88" s="4" t="s">
        <v>85</v>
      </c>
      <c r="AH88" s="4" t="s">
        <v>91</v>
      </c>
      <c r="AI88" s="5">
        <v>785</v>
      </c>
      <c r="AJ88" s="4" t="s">
        <v>79</v>
      </c>
      <c r="AK88" s="4" t="s">
        <v>79</v>
      </c>
      <c r="AL88" s="5">
        <v>785</v>
      </c>
      <c r="AM88" s="4" t="s">
        <v>87</v>
      </c>
      <c r="AN88" s="4" t="s">
        <v>85</v>
      </c>
      <c r="AO88" s="4" t="s">
        <v>85</v>
      </c>
      <c r="AP88" s="4" t="s">
        <v>118</v>
      </c>
      <c r="AQ88" s="4" t="s">
        <v>85</v>
      </c>
      <c r="AR88" s="4" t="s">
        <v>85</v>
      </c>
      <c r="AS88" s="6">
        <v>0</v>
      </c>
      <c r="AT88" s="6">
        <v>0</v>
      </c>
      <c r="AU88" s="4" t="s">
        <v>91</v>
      </c>
      <c r="AV88" s="4" t="s">
        <v>85</v>
      </c>
      <c r="AW88" s="4" t="s">
        <v>91</v>
      </c>
      <c r="AX88" s="4" t="s">
        <v>91</v>
      </c>
      <c r="AY88" s="4" t="s">
        <v>85</v>
      </c>
      <c r="AZ88" s="4" t="s">
        <v>93</v>
      </c>
      <c r="BA88" s="4" t="s">
        <v>85</v>
      </c>
      <c r="BB88" s="4" t="s">
        <v>85</v>
      </c>
      <c r="BC88" s="4" t="s">
        <v>91</v>
      </c>
      <c r="BD88" s="4" t="s">
        <v>79</v>
      </c>
      <c r="BE88" s="4" t="s">
        <v>300</v>
      </c>
      <c r="BF88" s="4" t="s">
        <v>85</v>
      </c>
      <c r="BG88" s="4" t="s">
        <v>85</v>
      </c>
      <c r="BH88" s="4" t="s">
        <v>85</v>
      </c>
      <c r="BI88" s="4" t="s">
        <v>91</v>
      </c>
      <c r="BJ88" s="4" t="s">
        <v>91</v>
      </c>
      <c r="BK88" s="4" t="s">
        <v>85</v>
      </c>
      <c r="BL88" s="4" t="s">
        <v>85</v>
      </c>
      <c r="BM88" s="4" t="s">
        <v>95</v>
      </c>
      <c r="BN88" s="4" t="s">
        <v>96</v>
      </c>
      <c r="BO88" s="6">
        <v>0</v>
      </c>
      <c r="BP88" s="4" t="s">
        <v>85</v>
      </c>
      <c r="BQ88" s="4" t="s">
        <v>85</v>
      </c>
      <c r="BR88" s="4" t="s">
        <v>91</v>
      </c>
      <c r="BS88" s="4" t="s">
        <v>85</v>
      </c>
      <c r="BT88" s="26" t="s">
        <v>388</v>
      </c>
      <c r="BU88" s="26" t="s">
        <v>1267</v>
      </c>
      <c r="BV88" s="26" t="s">
        <v>1260</v>
      </c>
      <c r="BW88" s="19" t="s">
        <v>1268</v>
      </c>
      <c r="BX88" s="19" t="s">
        <v>1266</v>
      </c>
      <c r="BY88" s="19"/>
    </row>
    <row r="89" spans="1:78">
      <c r="A89" s="24">
        <v>46042</v>
      </c>
      <c r="B89" s="24">
        <v>46042</v>
      </c>
      <c r="C89" s="3">
        <v>0.44557870370370001</v>
      </c>
      <c r="D89" s="4" t="s">
        <v>136</v>
      </c>
      <c r="E89" s="24">
        <v>46042</v>
      </c>
      <c r="F89" s="26" t="s">
        <v>290</v>
      </c>
      <c r="G89" s="26" t="s">
        <v>75</v>
      </c>
      <c r="H89" s="26" t="s">
        <v>76</v>
      </c>
      <c r="I89" s="4" t="s">
        <v>315</v>
      </c>
      <c r="J89" s="26">
        <v>1219000754</v>
      </c>
      <c r="K89" s="26" t="str">
        <f>VLOOKUP(J:J,'[2]Inventory Codes'!$B:$D,3,0)</f>
        <v>CC</v>
      </c>
      <c r="L89" s="26" t="s">
        <v>139</v>
      </c>
      <c r="M89" s="27">
        <v>49215</v>
      </c>
      <c r="N89" s="26" t="s">
        <v>79</v>
      </c>
      <c r="O89" s="26" t="s">
        <v>316</v>
      </c>
      <c r="P89" s="26" t="s">
        <v>85</v>
      </c>
      <c r="Q89" s="5">
        <v>49215</v>
      </c>
      <c r="R89" s="4" t="s">
        <v>292</v>
      </c>
      <c r="S89" s="4" t="s">
        <v>122</v>
      </c>
      <c r="T89" s="83" t="s">
        <v>106</v>
      </c>
      <c r="U89" s="6">
        <v>35368359.75</v>
      </c>
      <c r="V89" s="4" t="s">
        <v>85</v>
      </c>
      <c r="W89" s="4" t="s">
        <v>85</v>
      </c>
      <c r="X89" s="4" t="s">
        <v>86</v>
      </c>
      <c r="Y89" s="4" t="s">
        <v>87</v>
      </c>
      <c r="Z89" s="4" t="s">
        <v>88</v>
      </c>
      <c r="AA89" s="4" t="s">
        <v>89</v>
      </c>
      <c r="AB89" s="4" t="s">
        <v>85</v>
      </c>
      <c r="AC89" s="4" t="s">
        <v>90</v>
      </c>
      <c r="AD89" s="4" t="s">
        <v>85</v>
      </c>
      <c r="AE89" s="4" t="s">
        <v>85</v>
      </c>
      <c r="AF89" s="4" t="s">
        <v>91</v>
      </c>
      <c r="AG89" s="4" t="s">
        <v>85</v>
      </c>
      <c r="AH89" s="4" t="s">
        <v>91</v>
      </c>
      <c r="AI89" s="5">
        <v>49215</v>
      </c>
      <c r="AJ89" s="4" t="s">
        <v>79</v>
      </c>
      <c r="AK89" s="4" t="s">
        <v>79</v>
      </c>
      <c r="AL89" s="5">
        <v>49215</v>
      </c>
      <c r="AM89" s="4" t="s">
        <v>87</v>
      </c>
      <c r="AN89" s="4" t="s">
        <v>85</v>
      </c>
      <c r="AO89" s="4" t="s">
        <v>85</v>
      </c>
      <c r="AP89" s="4" t="s">
        <v>118</v>
      </c>
      <c r="AQ89" s="4" t="s">
        <v>85</v>
      </c>
      <c r="AR89" s="4" t="s">
        <v>85</v>
      </c>
      <c r="AS89" s="6">
        <v>0</v>
      </c>
      <c r="AT89" s="6">
        <v>0</v>
      </c>
      <c r="AU89" s="4" t="s">
        <v>91</v>
      </c>
      <c r="AV89" s="4" t="s">
        <v>85</v>
      </c>
      <c r="AW89" s="4" t="s">
        <v>91</v>
      </c>
      <c r="AX89" s="4" t="s">
        <v>91</v>
      </c>
      <c r="AY89" s="4" t="s">
        <v>85</v>
      </c>
      <c r="AZ89" s="4" t="s">
        <v>93</v>
      </c>
      <c r="BA89" s="4" t="s">
        <v>85</v>
      </c>
      <c r="BB89" s="4" t="s">
        <v>85</v>
      </c>
      <c r="BC89" s="4" t="s">
        <v>91</v>
      </c>
      <c r="BD89" s="4" t="s">
        <v>79</v>
      </c>
      <c r="BE89" s="4" t="s">
        <v>300</v>
      </c>
      <c r="BF89" s="4" t="s">
        <v>85</v>
      </c>
      <c r="BG89" s="4" t="s">
        <v>85</v>
      </c>
      <c r="BH89" s="4" t="s">
        <v>85</v>
      </c>
      <c r="BI89" s="4" t="s">
        <v>91</v>
      </c>
      <c r="BJ89" s="4" t="s">
        <v>91</v>
      </c>
      <c r="BK89" s="4" t="s">
        <v>85</v>
      </c>
      <c r="BL89" s="4" t="s">
        <v>85</v>
      </c>
      <c r="BM89" s="4" t="s">
        <v>95</v>
      </c>
      <c r="BN89" s="4" t="s">
        <v>96</v>
      </c>
      <c r="BO89" s="6">
        <v>0</v>
      </c>
      <c r="BP89" s="4" t="s">
        <v>85</v>
      </c>
      <c r="BQ89" s="4" t="s">
        <v>85</v>
      </c>
      <c r="BR89" s="4" t="s">
        <v>91</v>
      </c>
      <c r="BS89" s="4" t="s">
        <v>85</v>
      </c>
      <c r="BT89" s="26" t="s">
        <v>388</v>
      </c>
      <c r="BU89" s="26" t="s">
        <v>1267</v>
      </c>
      <c r="BV89" s="26" t="s">
        <v>1260</v>
      </c>
      <c r="BW89" s="19" t="s">
        <v>1268</v>
      </c>
      <c r="BX89" s="19" t="s">
        <v>1266</v>
      </c>
      <c r="BY89" s="19"/>
    </row>
    <row r="90" spans="1:78">
      <c r="A90" s="24">
        <v>46042</v>
      </c>
      <c r="B90" s="24">
        <v>46042</v>
      </c>
      <c r="C90" s="3">
        <v>0.44651620370369999</v>
      </c>
      <c r="D90" s="4" t="s">
        <v>136</v>
      </c>
      <c r="E90" s="24">
        <v>46042</v>
      </c>
      <c r="F90" s="26" t="s">
        <v>290</v>
      </c>
      <c r="G90" s="26" t="s">
        <v>75</v>
      </c>
      <c r="H90" s="26" t="s">
        <v>76</v>
      </c>
      <c r="I90" s="4" t="s">
        <v>317</v>
      </c>
      <c r="J90" s="26">
        <v>1219000754</v>
      </c>
      <c r="K90" s="26" t="str">
        <f>VLOOKUP(J:J,'[2]Inventory Codes'!$B:$D,3,0)</f>
        <v>CC</v>
      </c>
      <c r="L90" s="26" t="s">
        <v>139</v>
      </c>
      <c r="M90" s="27">
        <v>35536</v>
      </c>
      <c r="N90" s="26" t="s">
        <v>79</v>
      </c>
      <c r="O90" s="26" t="s">
        <v>293</v>
      </c>
      <c r="P90" s="26" t="s">
        <v>85</v>
      </c>
      <c r="Q90" s="5">
        <v>35536</v>
      </c>
      <c r="R90" s="4" t="s">
        <v>292</v>
      </c>
      <c r="S90" s="4" t="s">
        <v>122</v>
      </c>
      <c r="T90" s="83" t="s">
        <v>84</v>
      </c>
      <c r="U90" s="6">
        <v>25537946.399999999</v>
      </c>
      <c r="V90" s="4" t="s">
        <v>85</v>
      </c>
      <c r="W90" s="4" t="s">
        <v>85</v>
      </c>
      <c r="X90" s="4" t="s">
        <v>86</v>
      </c>
      <c r="Y90" s="4" t="s">
        <v>87</v>
      </c>
      <c r="Z90" s="4" t="s">
        <v>88</v>
      </c>
      <c r="AA90" s="4" t="s">
        <v>89</v>
      </c>
      <c r="AB90" s="4" t="s">
        <v>85</v>
      </c>
      <c r="AC90" s="4" t="s">
        <v>98</v>
      </c>
      <c r="AD90" s="4" t="s">
        <v>85</v>
      </c>
      <c r="AE90" s="4" t="s">
        <v>85</v>
      </c>
      <c r="AF90" s="4" t="s">
        <v>91</v>
      </c>
      <c r="AG90" s="4" t="s">
        <v>85</v>
      </c>
      <c r="AH90" s="4" t="s">
        <v>91</v>
      </c>
      <c r="AI90" s="5">
        <v>35536</v>
      </c>
      <c r="AJ90" s="4" t="s">
        <v>79</v>
      </c>
      <c r="AK90" s="4" t="s">
        <v>79</v>
      </c>
      <c r="AL90" s="5">
        <v>35536</v>
      </c>
      <c r="AM90" s="4" t="s">
        <v>87</v>
      </c>
      <c r="AN90" s="4" t="s">
        <v>85</v>
      </c>
      <c r="AO90" s="4" t="s">
        <v>85</v>
      </c>
      <c r="AP90" s="4" t="s">
        <v>118</v>
      </c>
      <c r="AQ90" s="4" t="s">
        <v>85</v>
      </c>
      <c r="AR90" s="4" t="s">
        <v>85</v>
      </c>
      <c r="AS90" s="6">
        <v>0</v>
      </c>
      <c r="AT90" s="6">
        <v>0</v>
      </c>
      <c r="AU90" s="4" t="s">
        <v>91</v>
      </c>
      <c r="AV90" s="4" t="s">
        <v>85</v>
      </c>
      <c r="AW90" s="4" t="s">
        <v>91</v>
      </c>
      <c r="AX90" s="4" t="s">
        <v>91</v>
      </c>
      <c r="AY90" s="4" t="s">
        <v>85</v>
      </c>
      <c r="AZ90" s="4" t="s">
        <v>93</v>
      </c>
      <c r="BA90" s="4" t="s">
        <v>85</v>
      </c>
      <c r="BB90" s="4" t="s">
        <v>85</v>
      </c>
      <c r="BC90" s="4" t="s">
        <v>91</v>
      </c>
      <c r="BD90" s="4" t="s">
        <v>79</v>
      </c>
      <c r="BE90" s="4" t="s">
        <v>300</v>
      </c>
      <c r="BF90" s="4" t="s">
        <v>85</v>
      </c>
      <c r="BG90" s="4" t="s">
        <v>85</v>
      </c>
      <c r="BH90" s="4" t="s">
        <v>85</v>
      </c>
      <c r="BI90" s="4" t="s">
        <v>91</v>
      </c>
      <c r="BJ90" s="4" t="s">
        <v>91</v>
      </c>
      <c r="BK90" s="4" t="s">
        <v>85</v>
      </c>
      <c r="BL90" s="4" t="s">
        <v>85</v>
      </c>
      <c r="BM90" s="4" t="s">
        <v>95</v>
      </c>
      <c r="BN90" s="4" t="s">
        <v>96</v>
      </c>
      <c r="BO90" s="6">
        <v>0</v>
      </c>
      <c r="BP90" s="4" t="s">
        <v>85</v>
      </c>
      <c r="BQ90" s="4" t="s">
        <v>85</v>
      </c>
      <c r="BR90" s="4" t="s">
        <v>91</v>
      </c>
      <c r="BS90" s="4" t="s">
        <v>85</v>
      </c>
      <c r="BT90" s="26" t="s">
        <v>388</v>
      </c>
      <c r="BU90" s="26" t="s">
        <v>1267</v>
      </c>
      <c r="BV90" s="26" t="s">
        <v>1260</v>
      </c>
      <c r="BW90" s="19" t="s">
        <v>1268</v>
      </c>
      <c r="BX90" s="19" t="s">
        <v>1266</v>
      </c>
      <c r="BY90" s="19"/>
    </row>
    <row r="91" spans="1:78">
      <c r="A91" s="32">
        <v>46045</v>
      </c>
      <c r="B91" s="32">
        <v>46045</v>
      </c>
      <c r="C91" s="3">
        <v>0.49425925925926001</v>
      </c>
      <c r="D91" s="4" t="s">
        <v>318</v>
      </c>
      <c r="E91" s="32">
        <v>46045</v>
      </c>
      <c r="F91" s="34" t="s">
        <v>319</v>
      </c>
      <c r="G91" s="34" t="s">
        <v>320</v>
      </c>
      <c r="H91" s="34" t="s">
        <v>76</v>
      </c>
      <c r="I91" s="4" t="s">
        <v>321</v>
      </c>
      <c r="J91" s="34">
        <v>1219000923</v>
      </c>
      <c r="K91" s="34" t="str">
        <f>VLOOKUP(J:J,'[2]Inventory Codes'!$B:$D,3,0)</f>
        <v>HC</v>
      </c>
      <c r="L91" s="34" t="s">
        <v>322</v>
      </c>
      <c r="M91" s="35">
        <v>50000</v>
      </c>
      <c r="N91" s="34" t="s">
        <v>79</v>
      </c>
      <c r="O91" s="34" t="s">
        <v>307</v>
      </c>
      <c r="P91" s="34" t="s">
        <v>319</v>
      </c>
      <c r="Q91" s="5">
        <v>50000</v>
      </c>
      <c r="R91" s="4" t="s">
        <v>319</v>
      </c>
      <c r="S91" s="4" t="s">
        <v>83</v>
      </c>
      <c r="T91" s="83" t="s">
        <v>84</v>
      </c>
      <c r="U91" s="6">
        <v>765500</v>
      </c>
      <c r="V91" s="4" t="s">
        <v>85</v>
      </c>
      <c r="W91" s="4" t="s">
        <v>85</v>
      </c>
      <c r="X91" s="4" t="s">
        <v>86</v>
      </c>
      <c r="Y91" s="4" t="s">
        <v>87</v>
      </c>
      <c r="Z91" s="4" t="s">
        <v>88</v>
      </c>
      <c r="AA91" s="4" t="s">
        <v>89</v>
      </c>
      <c r="AB91" s="4" t="s">
        <v>85</v>
      </c>
      <c r="AC91" s="4" t="s">
        <v>98</v>
      </c>
      <c r="AD91" s="4" t="s">
        <v>85</v>
      </c>
      <c r="AE91" s="4" t="s">
        <v>85</v>
      </c>
      <c r="AF91" s="4" t="s">
        <v>91</v>
      </c>
      <c r="AG91" s="4" t="s">
        <v>85</v>
      </c>
      <c r="AH91" s="4" t="s">
        <v>91</v>
      </c>
      <c r="AI91" s="5">
        <v>50000</v>
      </c>
      <c r="AJ91" s="4" t="s">
        <v>79</v>
      </c>
      <c r="AK91" s="4" t="s">
        <v>79</v>
      </c>
      <c r="AL91" s="5">
        <v>50000</v>
      </c>
      <c r="AM91" s="4" t="s">
        <v>87</v>
      </c>
      <c r="AN91" s="4" t="s">
        <v>85</v>
      </c>
      <c r="AO91" s="4" t="s">
        <v>85</v>
      </c>
      <c r="AP91" s="4" t="s">
        <v>118</v>
      </c>
      <c r="AQ91" s="4" t="s">
        <v>85</v>
      </c>
      <c r="AR91" s="4" t="s">
        <v>85</v>
      </c>
      <c r="AS91" s="6">
        <v>0</v>
      </c>
      <c r="AT91" s="6">
        <v>0</v>
      </c>
      <c r="AU91" s="4" t="s">
        <v>91</v>
      </c>
      <c r="AV91" s="4" t="s">
        <v>85</v>
      </c>
      <c r="AW91" s="4" t="s">
        <v>91</v>
      </c>
      <c r="AX91" s="4" t="s">
        <v>91</v>
      </c>
      <c r="AY91" s="4" t="s">
        <v>85</v>
      </c>
      <c r="AZ91" s="4" t="s">
        <v>93</v>
      </c>
      <c r="BA91" s="4" t="s">
        <v>85</v>
      </c>
      <c r="BB91" s="4" t="s">
        <v>85</v>
      </c>
      <c r="BC91" s="4" t="s">
        <v>91</v>
      </c>
      <c r="BD91" s="4" t="s">
        <v>79</v>
      </c>
      <c r="BE91" s="4" t="s">
        <v>300</v>
      </c>
      <c r="BF91" s="4" t="s">
        <v>85</v>
      </c>
      <c r="BG91" s="4" t="s">
        <v>85</v>
      </c>
      <c r="BH91" s="4" t="s">
        <v>85</v>
      </c>
      <c r="BI91" s="4" t="s">
        <v>91</v>
      </c>
      <c r="BJ91" s="4" t="s">
        <v>91</v>
      </c>
      <c r="BK91" s="4" t="s">
        <v>85</v>
      </c>
      <c r="BL91" s="4" t="s">
        <v>85</v>
      </c>
      <c r="BM91" s="4" t="s">
        <v>95</v>
      </c>
      <c r="BN91" s="4" t="s">
        <v>96</v>
      </c>
      <c r="BO91" s="6">
        <v>0</v>
      </c>
      <c r="BP91" s="4" t="s">
        <v>85</v>
      </c>
      <c r="BQ91" s="4" t="s">
        <v>85</v>
      </c>
      <c r="BR91" s="4" t="s">
        <v>91</v>
      </c>
      <c r="BS91" s="4" t="s">
        <v>85</v>
      </c>
      <c r="BT91" s="34" t="s">
        <v>388</v>
      </c>
      <c r="BU91" s="34"/>
      <c r="BV91" s="34" t="s">
        <v>1277</v>
      </c>
      <c r="BW91" s="37" t="s">
        <v>1278</v>
      </c>
      <c r="BX91" s="37" t="s">
        <v>1276</v>
      </c>
      <c r="BY91" s="37"/>
      <c r="BZ91" s="85" t="s">
        <v>391</v>
      </c>
    </row>
    <row r="92" spans="1:78">
      <c r="A92" s="29">
        <v>46090</v>
      </c>
      <c r="B92" s="29">
        <v>46090</v>
      </c>
      <c r="C92" s="3">
        <v>0.53131944444444001</v>
      </c>
      <c r="D92" s="4" t="s">
        <v>183</v>
      </c>
      <c r="E92" s="29">
        <v>46090</v>
      </c>
      <c r="F92" s="30" t="s">
        <v>328</v>
      </c>
      <c r="G92" s="30" t="s">
        <v>185</v>
      </c>
      <c r="H92" s="30" t="s">
        <v>76</v>
      </c>
      <c r="I92" s="4" t="s">
        <v>329</v>
      </c>
      <c r="J92" s="30">
        <v>1219001002</v>
      </c>
      <c r="K92" s="30" t="str">
        <f>VLOOKUP(J:J,'[2]Inventory Codes'!$B:$D,3,0)</f>
        <v>CC</v>
      </c>
      <c r="L92" s="30" t="s">
        <v>187</v>
      </c>
      <c r="M92" s="31">
        <v>2413</v>
      </c>
      <c r="N92" s="30" t="s">
        <v>79</v>
      </c>
      <c r="O92" s="30" t="s">
        <v>330</v>
      </c>
      <c r="P92" s="30" t="s">
        <v>85</v>
      </c>
      <c r="Q92" s="5">
        <v>2413</v>
      </c>
      <c r="R92" s="4" t="s">
        <v>85</v>
      </c>
      <c r="S92" s="4" t="s">
        <v>122</v>
      </c>
      <c r="T92" s="83" t="s">
        <v>84</v>
      </c>
      <c r="U92" s="6">
        <v>418317.68</v>
      </c>
      <c r="V92" s="4" t="s">
        <v>85</v>
      </c>
      <c r="W92" s="4" t="s">
        <v>85</v>
      </c>
      <c r="X92" s="4" t="s">
        <v>86</v>
      </c>
      <c r="Y92" s="4" t="s">
        <v>87</v>
      </c>
      <c r="Z92" s="4" t="s">
        <v>88</v>
      </c>
      <c r="AA92" s="4" t="s">
        <v>89</v>
      </c>
      <c r="AB92" s="4" t="s">
        <v>85</v>
      </c>
      <c r="AC92" s="4" t="s">
        <v>98</v>
      </c>
      <c r="AD92" s="4" t="s">
        <v>85</v>
      </c>
      <c r="AE92" s="4" t="s">
        <v>85</v>
      </c>
      <c r="AF92" s="4" t="s">
        <v>91</v>
      </c>
      <c r="AG92" s="4" t="s">
        <v>85</v>
      </c>
      <c r="AH92" s="4" t="s">
        <v>91</v>
      </c>
      <c r="AI92" s="5">
        <v>2413</v>
      </c>
      <c r="AJ92" s="4" t="s">
        <v>79</v>
      </c>
      <c r="AK92" s="4" t="s">
        <v>79</v>
      </c>
      <c r="AL92" s="5">
        <v>2413</v>
      </c>
      <c r="AM92" s="4" t="s">
        <v>87</v>
      </c>
      <c r="AN92" s="4" t="s">
        <v>85</v>
      </c>
      <c r="AO92" s="4" t="s">
        <v>85</v>
      </c>
      <c r="AP92" s="4" t="s">
        <v>118</v>
      </c>
      <c r="AQ92" s="4" t="s">
        <v>85</v>
      </c>
      <c r="AR92" s="4" t="s">
        <v>85</v>
      </c>
      <c r="AS92" s="6">
        <v>0</v>
      </c>
      <c r="AT92" s="6">
        <v>0</v>
      </c>
      <c r="AU92" s="4" t="s">
        <v>91</v>
      </c>
      <c r="AV92" s="4" t="s">
        <v>85</v>
      </c>
      <c r="AW92" s="4" t="s">
        <v>91</v>
      </c>
      <c r="AX92" s="4" t="s">
        <v>91</v>
      </c>
      <c r="AY92" s="4" t="s">
        <v>85</v>
      </c>
      <c r="AZ92" s="4" t="s">
        <v>93</v>
      </c>
      <c r="BA92" s="4" t="s">
        <v>85</v>
      </c>
      <c r="BB92" s="4" t="s">
        <v>85</v>
      </c>
      <c r="BC92" s="4" t="s">
        <v>91</v>
      </c>
      <c r="BD92" s="4" t="s">
        <v>79</v>
      </c>
      <c r="BE92" s="4" t="s">
        <v>300</v>
      </c>
      <c r="BF92" s="4" t="s">
        <v>85</v>
      </c>
      <c r="BG92" s="4" t="s">
        <v>85</v>
      </c>
      <c r="BH92" s="4" t="s">
        <v>85</v>
      </c>
      <c r="BI92" s="4" t="s">
        <v>91</v>
      </c>
      <c r="BJ92" s="4" t="s">
        <v>91</v>
      </c>
      <c r="BK92" s="4" t="s">
        <v>85</v>
      </c>
      <c r="BL92" s="4" t="s">
        <v>85</v>
      </c>
      <c r="BM92" s="4" t="s">
        <v>95</v>
      </c>
      <c r="BN92" s="4" t="s">
        <v>96</v>
      </c>
      <c r="BO92" s="6">
        <v>0</v>
      </c>
      <c r="BP92" s="4" t="s">
        <v>85</v>
      </c>
      <c r="BQ92" s="4" t="s">
        <v>85</v>
      </c>
      <c r="BR92" s="4" t="s">
        <v>91</v>
      </c>
      <c r="BS92" s="4" t="s">
        <v>85</v>
      </c>
      <c r="BT92" s="30"/>
      <c r="BU92" s="30"/>
      <c r="BV92" s="30"/>
      <c r="BW92" s="20"/>
      <c r="BX92" s="20"/>
      <c r="BY92" s="20"/>
      <c r="BZ92" s="38" t="s">
        <v>1279</v>
      </c>
    </row>
    <row r="93" spans="1:78">
      <c r="A93" s="29">
        <v>46111</v>
      </c>
      <c r="B93" s="29">
        <v>46111</v>
      </c>
      <c r="C93" s="3">
        <v>0.57288194444443996</v>
      </c>
      <c r="D93" s="4" t="s">
        <v>183</v>
      </c>
      <c r="E93" s="29">
        <v>46111</v>
      </c>
      <c r="F93" s="30" t="s">
        <v>328</v>
      </c>
      <c r="G93" s="30" t="s">
        <v>185</v>
      </c>
      <c r="H93" s="30" t="s">
        <v>76</v>
      </c>
      <c r="I93" s="4" t="s">
        <v>331</v>
      </c>
      <c r="J93" s="30">
        <v>1219001002</v>
      </c>
      <c r="K93" s="30" t="str">
        <f>VLOOKUP(J:J,'[2]Inventory Codes'!$B:$D,3,0)</f>
        <v>CC</v>
      </c>
      <c r="L93" s="30" t="s">
        <v>187</v>
      </c>
      <c r="M93" s="31">
        <v>7587</v>
      </c>
      <c r="N93" s="30" t="s">
        <v>79</v>
      </c>
      <c r="O93" s="30" t="s">
        <v>330</v>
      </c>
      <c r="P93" s="30" t="s">
        <v>85</v>
      </c>
      <c r="Q93" s="5">
        <v>7587</v>
      </c>
      <c r="R93" s="4" t="s">
        <v>85</v>
      </c>
      <c r="S93" s="4" t="s">
        <v>122</v>
      </c>
      <c r="T93" s="83" t="s">
        <v>84</v>
      </c>
      <c r="U93" s="6">
        <v>1315282.32</v>
      </c>
      <c r="V93" s="4" t="s">
        <v>85</v>
      </c>
      <c r="W93" s="4" t="s">
        <v>85</v>
      </c>
      <c r="X93" s="4" t="s">
        <v>86</v>
      </c>
      <c r="Y93" s="4" t="s">
        <v>87</v>
      </c>
      <c r="Z93" s="4" t="s">
        <v>88</v>
      </c>
      <c r="AA93" s="4" t="s">
        <v>89</v>
      </c>
      <c r="AB93" s="4" t="s">
        <v>85</v>
      </c>
      <c r="AC93" s="4" t="s">
        <v>98</v>
      </c>
      <c r="AD93" s="4" t="s">
        <v>85</v>
      </c>
      <c r="AE93" s="4" t="s">
        <v>85</v>
      </c>
      <c r="AF93" s="4" t="s">
        <v>91</v>
      </c>
      <c r="AG93" s="4" t="s">
        <v>85</v>
      </c>
      <c r="AH93" s="4" t="s">
        <v>91</v>
      </c>
      <c r="AI93" s="5">
        <v>7587</v>
      </c>
      <c r="AJ93" s="4" t="s">
        <v>79</v>
      </c>
      <c r="AK93" s="4" t="s">
        <v>79</v>
      </c>
      <c r="AL93" s="5">
        <v>7587</v>
      </c>
      <c r="AM93" s="4" t="s">
        <v>87</v>
      </c>
      <c r="AN93" s="4" t="s">
        <v>85</v>
      </c>
      <c r="AO93" s="4" t="s">
        <v>85</v>
      </c>
      <c r="AP93" s="4" t="s">
        <v>118</v>
      </c>
      <c r="AQ93" s="4" t="s">
        <v>85</v>
      </c>
      <c r="AR93" s="4" t="s">
        <v>85</v>
      </c>
      <c r="AS93" s="6">
        <v>0</v>
      </c>
      <c r="AT93" s="6">
        <v>0</v>
      </c>
      <c r="AU93" s="4" t="s">
        <v>91</v>
      </c>
      <c r="AV93" s="4" t="s">
        <v>85</v>
      </c>
      <c r="AW93" s="4" t="s">
        <v>91</v>
      </c>
      <c r="AX93" s="4" t="s">
        <v>91</v>
      </c>
      <c r="AY93" s="4" t="s">
        <v>85</v>
      </c>
      <c r="AZ93" s="4" t="s">
        <v>93</v>
      </c>
      <c r="BA93" s="4" t="s">
        <v>85</v>
      </c>
      <c r="BB93" s="4" t="s">
        <v>85</v>
      </c>
      <c r="BC93" s="4" t="s">
        <v>91</v>
      </c>
      <c r="BD93" s="4" t="s">
        <v>79</v>
      </c>
      <c r="BE93" s="4" t="s">
        <v>300</v>
      </c>
      <c r="BF93" s="4" t="s">
        <v>85</v>
      </c>
      <c r="BG93" s="4" t="s">
        <v>85</v>
      </c>
      <c r="BH93" s="4" t="s">
        <v>85</v>
      </c>
      <c r="BI93" s="4" t="s">
        <v>91</v>
      </c>
      <c r="BJ93" s="4" t="s">
        <v>91</v>
      </c>
      <c r="BK93" s="4" t="s">
        <v>85</v>
      </c>
      <c r="BL93" s="4" t="s">
        <v>85</v>
      </c>
      <c r="BM93" s="4" t="s">
        <v>95</v>
      </c>
      <c r="BN93" s="4" t="s">
        <v>96</v>
      </c>
      <c r="BO93" s="6">
        <v>0</v>
      </c>
      <c r="BP93" s="4" t="s">
        <v>85</v>
      </c>
      <c r="BQ93" s="4" t="s">
        <v>85</v>
      </c>
      <c r="BR93" s="4" t="s">
        <v>91</v>
      </c>
      <c r="BS93" s="4" t="s">
        <v>85</v>
      </c>
      <c r="BT93" s="30"/>
      <c r="BU93" s="30"/>
      <c r="BV93" s="30"/>
      <c r="BW93" s="20"/>
      <c r="BX93" s="20"/>
      <c r="BY93" s="20"/>
      <c r="BZ93" s="38" t="s">
        <v>1279</v>
      </c>
    </row>
    <row r="94" spans="1:78">
      <c r="A94" s="29">
        <v>46125</v>
      </c>
      <c r="B94" s="29">
        <v>46125</v>
      </c>
      <c r="C94" s="3">
        <v>0.57923611111110995</v>
      </c>
      <c r="D94" s="4" t="s">
        <v>334</v>
      </c>
      <c r="E94" s="29">
        <v>46125</v>
      </c>
      <c r="F94" s="30" t="s">
        <v>335</v>
      </c>
      <c r="G94" s="30" t="s">
        <v>336</v>
      </c>
      <c r="H94" s="30" t="s">
        <v>76</v>
      </c>
      <c r="I94" s="4" t="s">
        <v>337</v>
      </c>
      <c r="J94" s="30">
        <v>1219000540</v>
      </c>
      <c r="K94" s="30" t="str">
        <f>VLOOKUP(J:J,'[2]Inventory Codes'!$B:$D,3,0)</f>
        <v>CC</v>
      </c>
      <c r="L94" s="30" t="s">
        <v>338</v>
      </c>
      <c r="M94" s="31">
        <v>350</v>
      </c>
      <c r="N94" s="30" t="s">
        <v>79</v>
      </c>
      <c r="O94" s="30" t="s">
        <v>339</v>
      </c>
      <c r="P94" s="30" t="s">
        <v>85</v>
      </c>
      <c r="Q94" s="5">
        <v>350</v>
      </c>
      <c r="R94" s="4" t="s">
        <v>85</v>
      </c>
      <c r="S94" s="4" t="s">
        <v>122</v>
      </c>
      <c r="T94" s="83" t="s">
        <v>84</v>
      </c>
      <c r="U94" s="6">
        <v>17279.5</v>
      </c>
      <c r="V94" s="4" t="s">
        <v>85</v>
      </c>
      <c r="W94" s="4" t="s">
        <v>85</v>
      </c>
      <c r="X94" s="4" t="s">
        <v>86</v>
      </c>
      <c r="Y94" s="4" t="s">
        <v>87</v>
      </c>
      <c r="Z94" s="4" t="s">
        <v>88</v>
      </c>
      <c r="AA94" s="4" t="s">
        <v>89</v>
      </c>
      <c r="AB94" s="4" t="s">
        <v>85</v>
      </c>
      <c r="AC94" s="4" t="s">
        <v>112</v>
      </c>
      <c r="AD94" s="4" t="s">
        <v>85</v>
      </c>
      <c r="AE94" s="4" t="s">
        <v>85</v>
      </c>
      <c r="AF94" s="4" t="s">
        <v>91</v>
      </c>
      <c r="AG94" s="4" t="s">
        <v>85</v>
      </c>
      <c r="AH94" s="4" t="s">
        <v>91</v>
      </c>
      <c r="AI94" s="5">
        <v>350</v>
      </c>
      <c r="AJ94" s="4" t="s">
        <v>79</v>
      </c>
      <c r="AK94" s="4" t="s">
        <v>79</v>
      </c>
      <c r="AL94" s="5">
        <v>350</v>
      </c>
      <c r="AM94" s="4" t="s">
        <v>87</v>
      </c>
      <c r="AN94" s="4" t="s">
        <v>85</v>
      </c>
      <c r="AO94" s="4" t="s">
        <v>85</v>
      </c>
      <c r="AP94" s="4" t="s">
        <v>107</v>
      </c>
      <c r="AQ94" s="4" t="s">
        <v>85</v>
      </c>
      <c r="AR94" s="4" t="s">
        <v>85</v>
      </c>
      <c r="AS94" s="6">
        <v>0</v>
      </c>
      <c r="AT94" s="6">
        <v>0</v>
      </c>
      <c r="AU94" s="4" t="s">
        <v>91</v>
      </c>
      <c r="AV94" s="4" t="s">
        <v>85</v>
      </c>
      <c r="AW94" s="4" t="s">
        <v>91</v>
      </c>
      <c r="AX94" s="4" t="s">
        <v>91</v>
      </c>
      <c r="AY94" s="4" t="s">
        <v>85</v>
      </c>
      <c r="AZ94" s="4" t="s">
        <v>93</v>
      </c>
      <c r="BA94" s="4" t="s">
        <v>85</v>
      </c>
      <c r="BB94" s="4" t="s">
        <v>85</v>
      </c>
      <c r="BC94" s="4" t="s">
        <v>91</v>
      </c>
      <c r="BD94" s="4" t="s">
        <v>79</v>
      </c>
      <c r="BE94" s="4" t="s">
        <v>300</v>
      </c>
      <c r="BF94" s="4" t="s">
        <v>85</v>
      </c>
      <c r="BG94" s="4" t="s">
        <v>85</v>
      </c>
      <c r="BH94" s="4" t="s">
        <v>85</v>
      </c>
      <c r="BI94" s="4" t="s">
        <v>91</v>
      </c>
      <c r="BJ94" s="4" t="s">
        <v>91</v>
      </c>
      <c r="BK94" s="4" t="s">
        <v>85</v>
      </c>
      <c r="BL94" s="4" t="s">
        <v>85</v>
      </c>
      <c r="BM94" s="4" t="s">
        <v>95</v>
      </c>
      <c r="BN94" s="4" t="s">
        <v>96</v>
      </c>
      <c r="BO94" s="6">
        <v>0</v>
      </c>
      <c r="BP94" s="4" t="s">
        <v>85</v>
      </c>
      <c r="BQ94" s="4" t="s">
        <v>85</v>
      </c>
      <c r="BR94" s="4" t="s">
        <v>91</v>
      </c>
      <c r="BS94" s="4" t="s">
        <v>85</v>
      </c>
      <c r="BT94" s="30"/>
      <c r="BU94" s="30"/>
      <c r="BV94" s="30"/>
      <c r="BW94" s="20"/>
      <c r="BX94" s="20"/>
      <c r="BY94" s="20"/>
      <c r="BZ94" s="38" t="s">
        <v>1279</v>
      </c>
    </row>
    <row r="95" spans="1:78">
      <c r="A95" s="29">
        <v>46125</v>
      </c>
      <c r="B95" s="29">
        <v>46125</v>
      </c>
      <c r="C95" s="3">
        <v>0.57923611111110995</v>
      </c>
      <c r="D95" s="4" t="s">
        <v>323</v>
      </c>
      <c r="E95" s="29">
        <v>46125</v>
      </c>
      <c r="F95" s="30" t="s">
        <v>335</v>
      </c>
      <c r="G95" s="30" t="s">
        <v>336</v>
      </c>
      <c r="H95" s="30" t="s">
        <v>76</v>
      </c>
      <c r="I95" s="4" t="s">
        <v>337</v>
      </c>
      <c r="J95" s="30">
        <v>1219000541</v>
      </c>
      <c r="K95" s="30" t="str">
        <f>VLOOKUP(J:J,'[2]Inventory Codes'!$B:$D,3,0)</f>
        <v>CC</v>
      </c>
      <c r="L95" s="30" t="s">
        <v>324</v>
      </c>
      <c r="M95" s="31">
        <v>3000</v>
      </c>
      <c r="N95" s="30" t="s">
        <v>79</v>
      </c>
      <c r="O95" s="30" t="s">
        <v>340</v>
      </c>
      <c r="P95" s="30" t="s">
        <v>85</v>
      </c>
      <c r="Q95" s="5">
        <v>3000</v>
      </c>
      <c r="R95" s="4" t="s">
        <v>85</v>
      </c>
      <c r="S95" s="4" t="s">
        <v>122</v>
      </c>
      <c r="T95" s="83" t="s">
        <v>84</v>
      </c>
      <c r="U95" s="6">
        <v>125880</v>
      </c>
      <c r="V95" s="4" t="s">
        <v>85</v>
      </c>
      <c r="W95" s="4" t="s">
        <v>85</v>
      </c>
      <c r="X95" s="4" t="s">
        <v>86</v>
      </c>
      <c r="Y95" s="4" t="s">
        <v>87</v>
      </c>
      <c r="Z95" s="4" t="s">
        <v>88</v>
      </c>
      <c r="AA95" s="4" t="s">
        <v>89</v>
      </c>
      <c r="AB95" s="4" t="s">
        <v>85</v>
      </c>
      <c r="AC95" s="4" t="s">
        <v>134</v>
      </c>
      <c r="AD95" s="4" t="s">
        <v>85</v>
      </c>
      <c r="AE95" s="4" t="s">
        <v>85</v>
      </c>
      <c r="AF95" s="4" t="s">
        <v>91</v>
      </c>
      <c r="AG95" s="4" t="s">
        <v>85</v>
      </c>
      <c r="AH95" s="4" t="s">
        <v>91</v>
      </c>
      <c r="AI95" s="5">
        <v>3000</v>
      </c>
      <c r="AJ95" s="4" t="s">
        <v>79</v>
      </c>
      <c r="AK95" s="4" t="s">
        <v>79</v>
      </c>
      <c r="AL95" s="5">
        <v>3000</v>
      </c>
      <c r="AM95" s="4" t="s">
        <v>87</v>
      </c>
      <c r="AN95" s="4" t="s">
        <v>85</v>
      </c>
      <c r="AO95" s="4" t="s">
        <v>85</v>
      </c>
      <c r="AP95" s="4" t="s">
        <v>92</v>
      </c>
      <c r="AQ95" s="4" t="s">
        <v>85</v>
      </c>
      <c r="AR95" s="4" t="s">
        <v>85</v>
      </c>
      <c r="AS95" s="6">
        <v>0</v>
      </c>
      <c r="AT95" s="6">
        <v>0</v>
      </c>
      <c r="AU95" s="4" t="s">
        <v>91</v>
      </c>
      <c r="AV95" s="4" t="s">
        <v>85</v>
      </c>
      <c r="AW95" s="4" t="s">
        <v>91</v>
      </c>
      <c r="AX95" s="4" t="s">
        <v>91</v>
      </c>
      <c r="AY95" s="4" t="s">
        <v>85</v>
      </c>
      <c r="AZ95" s="4" t="s">
        <v>93</v>
      </c>
      <c r="BA95" s="4" t="s">
        <v>85</v>
      </c>
      <c r="BB95" s="4" t="s">
        <v>85</v>
      </c>
      <c r="BC95" s="4" t="s">
        <v>91</v>
      </c>
      <c r="BD95" s="4" t="s">
        <v>79</v>
      </c>
      <c r="BE95" s="4" t="s">
        <v>300</v>
      </c>
      <c r="BF95" s="4" t="s">
        <v>85</v>
      </c>
      <c r="BG95" s="4" t="s">
        <v>85</v>
      </c>
      <c r="BH95" s="4" t="s">
        <v>85</v>
      </c>
      <c r="BI95" s="4" t="s">
        <v>91</v>
      </c>
      <c r="BJ95" s="4" t="s">
        <v>91</v>
      </c>
      <c r="BK95" s="4" t="s">
        <v>85</v>
      </c>
      <c r="BL95" s="4" t="s">
        <v>85</v>
      </c>
      <c r="BM95" s="4" t="s">
        <v>95</v>
      </c>
      <c r="BN95" s="4" t="s">
        <v>96</v>
      </c>
      <c r="BO95" s="6">
        <v>0</v>
      </c>
      <c r="BP95" s="4" t="s">
        <v>85</v>
      </c>
      <c r="BQ95" s="4" t="s">
        <v>85</v>
      </c>
      <c r="BR95" s="4" t="s">
        <v>91</v>
      </c>
      <c r="BS95" s="4" t="s">
        <v>85</v>
      </c>
      <c r="BT95" s="30"/>
      <c r="BU95" s="30"/>
      <c r="BV95" s="30"/>
      <c r="BW95" s="20"/>
      <c r="BX95" s="20"/>
      <c r="BY95" s="20"/>
      <c r="BZ95" s="38" t="s">
        <v>1279</v>
      </c>
    </row>
    <row r="96" spans="1:78">
      <c r="A96" s="29">
        <v>46125</v>
      </c>
      <c r="B96" s="29">
        <v>46125</v>
      </c>
      <c r="C96" s="3">
        <v>0.57923611111110995</v>
      </c>
      <c r="D96" s="4" t="s">
        <v>325</v>
      </c>
      <c r="E96" s="29">
        <v>46125</v>
      </c>
      <c r="F96" s="30" t="s">
        <v>335</v>
      </c>
      <c r="G96" s="30" t="s">
        <v>336</v>
      </c>
      <c r="H96" s="30" t="s">
        <v>76</v>
      </c>
      <c r="I96" s="4" t="s">
        <v>337</v>
      </c>
      <c r="J96" s="30">
        <v>1219000610</v>
      </c>
      <c r="K96" s="30" t="str">
        <f>VLOOKUP(J:J,'[2]Inventory Codes'!$B:$D,3,0)</f>
        <v>CC</v>
      </c>
      <c r="L96" s="30" t="s">
        <v>326</v>
      </c>
      <c r="M96" s="31">
        <v>240</v>
      </c>
      <c r="N96" s="30" t="s">
        <v>79</v>
      </c>
      <c r="O96" s="30" t="s">
        <v>341</v>
      </c>
      <c r="P96" s="30" t="s">
        <v>85</v>
      </c>
      <c r="Q96" s="5">
        <v>240</v>
      </c>
      <c r="R96" s="4" t="s">
        <v>85</v>
      </c>
      <c r="S96" s="4" t="s">
        <v>122</v>
      </c>
      <c r="T96" s="83" t="s">
        <v>84</v>
      </c>
      <c r="U96" s="6">
        <v>96720</v>
      </c>
      <c r="V96" s="4" t="s">
        <v>85</v>
      </c>
      <c r="W96" s="4" t="s">
        <v>85</v>
      </c>
      <c r="X96" s="4" t="s">
        <v>86</v>
      </c>
      <c r="Y96" s="4" t="s">
        <v>87</v>
      </c>
      <c r="Z96" s="4" t="s">
        <v>88</v>
      </c>
      <c r="AA96" s="4" t="s">
        <v>89</v>
      </c>
      <c r="AB96" s="4" t="s">
        <v>85</v>
      </c>
      <c r="AC96" s="4" t="s">
        <v>98</v>
      </c>
      <c r="AD96" s="4" t="s">
        <v>85</v>
      </c>
      <c r="AE96" s="4" t="s">
        <v>85</v>
      </c>
      <c r="AF96" s="4" t="s">
        <v>91</v>
      </c>
      <c r="AG96" s="4" t="s">
        <v>85</v>
      </c>
      <c r="AH96" s="4" t="s">
        <v>91</v>
      </c>
      <c r="AI96" s="5">
        <v>240</v>
      </c>
      <c r="AJ96" s="4" t="s">
        <v>79</v>
      </c>
      <c r="AK96" s="4" t="s">
        <v>79</v>
      </c>
      <c r="AL96" s="5">
        <v>240</v>
      </c>
      <c r="AM96" s="4" t="s">
        <v>87</v>
      </c>
      <c r="AN96" s="4" t="s">
        <v>85</v>
      </c>
      <c r="AO96" s="4" t="s">
        <v>85</v>
      </c>
      <c r="AP96" s="4" t="s">
        <v>118</v>
      </c>
      <c r="AQ96" s="4" t="s">
        <v>85</v>
      </c>
      <c r="AR96" s="4" t="s">
        <v>85</v>
      </c>
      <c r="AS96" s="6">
        <v>0</v>
      </c>
      <c r="AT96" s="6">
        <v>0</v>
      </c>
      <c r="AU96" s="4" t="s">
        <v>91</v>
      </c>
      <c r="AV96" s="4" t="s">
        <v>85</v>
      </c>
      <c r="AW96" s="4" t="s">
        <v>91</v>
      </c>
      <c r="AX96" s="4" t="s">
        <v>91</v>
      </c>
      <c r="AY96" s="4" t="s">
        <v>85</v>
      </c>
      <c r="AZ96" s="4" t="s">
        <v>93</v>
      </c>
      <c r="BA96" s="4" t="s">
        <v>85</v>
      </c>
      <c r="BB96" s="4" t="s">
        <v>85</v>
      </c>
      <c r="BC96" s="4" t="s">
        <v>91</v>
      </c>
      <c r="BD96" s="4" t="s">
        <v>79</v>
      </c>
      <c r="BE96" s="4" t="s">
        <v>300</v>
      </c>
      <c r="BF96" s="4" t="s">
        <v>85</v>
      </c>
      <c r="BG96" s="4" t="s">
        <v>85</v>
      </c>
      <c r="BH96" s="4" t="s">
        <v>85</v>
      </c>
      <c r="BI96" s="4" t="s">
        <v>91</v>
      </c>
      <c r="BJ96" s="4" t="s">
        <v>91</v>
      </c>
      <c r="BK96" s="4" t="s">
        <v>85</v>
      </c>
      <c r="BL96" s="4" t="s">
        <v>85</v>
      </c>
      <c r="BM96" s="4" t="s">
        <v>95</v>
      </c>
      <c r="BN96" s="4" t="s">
        <v>96</v>
      </c>
      <c r="BO96" s="6">
        <v>0</v>
      </c>
      <c r="BP96" s="4" t="s">
        <v>85</v>
      </c>
      <c r="BQ96" s="4" t="s">
        <v>85</v>
      </c>
      <c r="BR96" s="4" t="s">
        <v>91</v>
      </c>
      <c r="BS96" s="4" t="s">
        <v>85</v>
      </c>
      <c r="BT96" s="30"/>
      <c r="BU96" s="30"/>
      <c r="BV96" s="30"/>
      <c r="BW96" s="20"/>
      <c r="BX96" s="20"/>
      <c r="BY96" s="20"/>
      <c r="BZ96" s="38" t="s">
        <v>1279</v>
      </c>
    </row>
    <row r="97" spans="1:78">
      <c r="A97" s="29">
        <v>46125</v>
      </c>
      <c r="B97" s="29">
        <v>46125</v>
      </c>
      <c r="C97" s="3">
        <v>0.57923611111110995</v>
      </c>
      <c r="D97" s="4" t="s">
        <v>325</v>
      </c>
      <c r="E97" s="29">
        <v>46125</v>
      </c>
      <c r="F97" s="30" t="s">
        <v>335</v>
      </c>
      <c r="G97" s="30" t="s">
        <v>336</v>
      </c>
      <c r="H97" s="30" t="s">
        <v>76</v>
      </c>
      <c r="I97" s="4" t="s">
        <v>337</v>
      </c>
      <c r="J97" s="30">
        <v>1219000610</v>
      </c>
      <c r="K97" s="30" t="str">
        <f>VLOOKUP(J:J,'[2]Inventory Codes'!$B:$D,3,0)</f>
        <v>CC</v>
      </c>
      <c r="L97" s="30" t="s">
        <v>326</v>
      </c>
      <c r="M97" s="31">
        <v>6600</v>
      </c>
      <c r="N97" s="30" t="s">
        <v>79</v>
      </c>
      <c r="O97" s="30" t="s">
        <v>342</v>
      </c>
      <c r="P97" s="30" t="s">
        <v>85</v>
      </c>
      <c r="Q97" s="5">
        <v>6600</v>
      </c>
      <c r="R97" s="4" t="s">
        <v>85</v>
      </c>
      <c r="S97" s="4" t="s">
        <v>122</v>
      </c>
      <c r="T97" s="83" t="s">
        <v>84</v>
      </c>
      <c r="U97" s="6">
        <v>2659800</v>
      </c>
      <c r="V97" s="4" t="s">
        <v>85</v>
      </c>
      <c r="W97" s="4" t="s">
        <v>85</v>
      </c>
      <c r="X97" s="4" t="s">
        <v>86</v>
      </c>
      <c r="Y97" s="4" t="s">
        <v>87</v>
      </c>
      <c r="Z97" s="4" t="s">
        <v>88</v>
      </c>
      <c r="AA97" s="4" t="s">
        <v>89</v>
      </c>
      <c r="AB97" s="4" t="s">
        <v>85</v>
      </c>
      <c r="AC97" s="4" t="s">
        <v>90</v>
      </c>
      <c r="AD97" s="4" t="s">
        <v>85</v>
      </c>
      <c r="AE97" s="4" t="s">
        <v>85</v>
      </c>
      <c r="AF97" s="4" t="s">
        <v>91</v>
      </c>
      <c r="AG97" s="4" t="s">
        <v>85</v>
      </c>
      <c r="AH97" s="4" t="s">
        <v>91</v>
      </c>
      <c r="AI97" s="5">
        <v>6600</v>
      </c>
      <c r="AJ97" s="4" t="s">
        <v>79</v>
      </c>
      <c r="AK97" s="4" t="s">
        <v>79</v>
      </c>
      <c r="AL97" s="5">
        <v>6600</v>
      </c>
      <c r="AM97" s="4" t="s">
        <v>87</v>
      </c>
      <c r="AN97" s="4" t="s">
        <v>85</v>
      </c>
      <c r="AO97" s="4" t="s">
        <v>85</v>
      </c>
      <c r="AP97" s="4" t="s">
        <v>118</v>
      </c>
      <c r="AQ97" s="4" t="s">
        <v>85</v>
      </c>
      <c r="AR97" s="4" t="s">
        <v>85</v>
      </c>
      <c r="AS97" s="6">
        <v>0</v>
      </c>
      <c r="AT97" s="6">
        <v>0</v>
      </c>
      <c r="AU97" s="4" t="s">
        <v>91</v>
      </c>
      <c r="AV97" s="4" t="s">
        <v>85</v>
      </c>
      <c r="AW97" s="4" t="s">
        <v>91</v>
      </c>
      <c r="AX97" s="4" t="s">
        <v>91</v>
      </c>
      <c r="AY97" s="4" t="s">
        <v>85</v>
      </c>
      <c r="AZ97" s="4" t="s">
        <v>93</v>
      </c>
      <c r="BA97" s="4" t="s">
        <v>85</v>
      </c>
      <c r="BB97" s="4" t="s">
        <v>85</v>
      </c>
      <c r="BC97" s="4" t="s">
        <v>91</v>
      </c>
      <c r="BD97" s="4" t="s">
        <v>79</v>
      </c>
      <c r="BE97" s="4" t="s">
        <v>300</v>
      </c>
      <c r="BF97" s="4" t="s">
        <v>85</v>
      </c>
      <c r="BG97" s="4" t="s">
        <v>85</v>
      </c>
      <c r="BH97" s="4" t="s">
        <v>85</v>
      </c>
      <c r="BI97" s="4" t="s">
        <v>91</v>
      </c>
      <c r="BJ97" s="4" t="s">
        <v>91</v>
      </c>
      <c r="BK97" s="4" t="s">
        <v>85</v>
      </c>
      <c r="BL97" s="4" t="s">
        <v>85</v>
      </c>
      <c r="BM97" s="4" t="s">
        <v>95</v>
      </c>
      <c r="BN97" s="4" t="s">
        <v>96</v>
      </c>
      <c r="BO97" s="6">
        <v>0</v>
      </c>
      <c r="BP97" s="4" t="s">
        <v>85</v>
      </c>
      <c r="BQ97" s="4" t="s">
        <v>85</v>
      </c>
      <c r="BR97" s="4" t="s">
        <v>91</v>
      </c>
      <c r="BS97" s="4" t="s">
        <v>85</v>
      </c>
      <c r="BT97" s="30"/>
      <c r="BU97" s="30"/>
      <c r="BV97" s="30"/>
      <c r="BW97" s="20"/>
      <c r="BX97" s="20"/>
      <c r="BY97" s="20"/>
      <c r="BZ97" s="38" t="s">
        <v>1279</v>
      </c>
    </row>
    <row r="98" spans="1:78">
      <c r="A98" s="24">
        <v>46126</v>
      </c>
      <c r="B98" s="24">
        <v>46126</v>
      </c>
      <c r="C98" s="3">
        <v>0.73326388888889005</v>
      </c>
      <c r="D98" s="4" t="s">
        <v>214</v>
      </c>
      <c r="E98" s="24">
        <v>46126</v>
      </c>
      <c r="F98" s="26" t="s">
        <v>343</v>
      </c>
      <c r="G98" s="26" t="s">
        <v>216</v>
      </c>
      <c r="H98" s="26" t="s">
        <v>76</v>
      </c>
      <c r="I98" s="4" t="s">
        <v>344</v>
      </c>
      <c r="J98" s="26">
        <v>1219001017</v>
      </c>
      <c r="K98" s="26" t="str">
        <f>VLOOKUP(J:J,'[2]Inventory Codes'!$B:$D,3,0)</f>
        <v>CC</v>
      </c>
      <c r="L98" s="26" t="s">
        <v>218</v>
      </c>
      <c r="M98" s="27">
        <v>809</v>
      </c>
      <c r="N98" s="26" t="s">
        <v>219</v>
      </c>
      <c r="O98" s="26" t="s">
        <v>345</v>
      </c>
      <c r="P98" s="26" t="s">
        <v>85</v>
      </c>
      <c r="Q98" s="5">
        <v>809</v>
      </c>
      <c r="R98" s="4" t="s">
        <v>85</v>
      </c>
      <c r="S98" s="4" t="s">
        <v>122</v>
      </c>
      <c r="T98" s="83" t="s">
        <v>84</v>
      </c>
      <c r="U98" s="6">
        <v>1143036.1000000001</v>
      </c>
      <c r="V98" s="4" t="s">
        <v>85</v>
      </c>
      <c r="W98" s="4" t="s">
        <v>85</v>
      </c>
      <c r="X98" s="4" t="s">
        <v>86</v>
      </c>
      <c r="Y98" s="4" t="s">
        <v>87</v>
      </c>
      <c r="Z98" s="4" t="s">
        <v>88</v>
      </c>
      <c r="AA98" s="4" t="s">
        <v>89</v>
      </c>
      <c r="AB98" s="4" t="s">
        <v>85</v>
      </c>
      <c r="AC98" s="4" t="s">
        <v>281</v>
      </c>
      <c r="AD98" s="4" t="s">
        <v>85</v>
      </c>
      <c r="AE98" s="4" t="s">
        <v>85</v>
      </c>
      <c r="AF98" s="4" t="s">
        <v>91</v>
      </c>
      <c r="AG98" s="4" t="s">
        <v>85</v>
      </c>
      <c r="AH98" s="4" t="s">
        <v>91</v>
      </c>
      <c r="AI98" s="5">
        <v>809</v>
      </c>
      <c r="AJ98" s="4" t="s">
        <v>219</v>
      </c>
      <c r="AK98" s="4" t="s">
        <v>219</v>
      </c>
      <c r="AL98" s="5">
        <v>809</v>
      </c>
      <c r="AM98" s="4" t="s">
        <v>87</v>
      </c>
      <c r="AN98" s="4" t="s">
        <v>85</v>
      </c>
      <c r="AO98" s="4" t="s">
        <v>85</v>
      </c>
      <c r="AP98" s="4" t="s">
        <v>118</v>
      </c>
      <c r="AQ98" s="4" t="s">
        <v>85</v>
      </c>
      <c r="AR98" s="4" t="s">
        <v>85</v>
      </c>
      <c r="AS98" s="6">
        <v>0</v>
      </c>
      <c r="AT98" s="6">
        <v>0</v>
      </c>
      <c r="AU98" s="4" t="s">
        <v>91</v>
      </c>
      <c r="AV98" s="4" t="s">
        <v>85</v>
      </c>
      <c r="AW98" s="4" t="s">
        <v>91</v>
      </c>
      <c r="AX98" s="4" t="s">
        <v>91</v>
      </c>
      <c r="AY98" s="4" t="s">
        <v>85</v>
      </c>
      <c r="AZ98" s="4" t="s">
        <v>93</v>
      </c>
      <c r="BA98" s="4" t="s">
        <v>85</v>
      </c>
      <c r="BB98" s="4" t="s">
        <v>85</v>
      </c>
      <c r="BC98" s="4" t="s">
        <v>91</v>
      </c>
      <c r="BD98" s="4" t="s">
        <v>219</v>
      </c>
      <c r="BE98" s="4" t="s">
        <v>300</v>
      </c>
      <c r="BF98" s="4" t="s">
        <v>85</v>
      </c>
      <c r="BG98" s="4" t="s">
        <v>85</v>
      </c>
      <c r="BH98" s="4" t="s">
        <v>85</v>
      </c>
      <c r="BI98" s="4" t="s">
        <v>91</v>
      </c>
      <c r="BJ98" s="4" t="s">
        <v>91</v>
      </c>
      <c r="BK98" s="4" t="s">
        <v>85</v>
      </c>
      <c r="BL98" s="4" t="s">
        <v>85</v>
      </c>
      <c r="BM98" s="4" t="s">
        <v>95</v>
      </c>
      <c r="BN98" s="4" t="s">
        <v>96</v>
      </c>
      <c r="BO98" s="6">
        <v>0</v>
      </c>
      <c r="BP98" s="4" t="s">
        <v>85</v>
      </c>
      <c r="BQ98" s="4" t="s">
        <v>85</v>
      </c>
      <c r="BR98" s="4" t="s">
        <v>91</v>
      </c>
      <c r="BS98" s="4" t="s">
        <v>85</v>
      </c>
      <c r="BT98" s="26" t="s">
        <v>388</v>
      </c>
      <c r="BU98" s="26" t="s">
        <v>1281</v>
      </c>
      <c r="BV98" s="26" t="s">
        <v>1260</v>
      </c>
      <c r="BW98" s="19" t="s">
        <v>1282</v>
      </c>
      <c r="BX98" s="19" t="s">
        <v>1280</v>
      </c>
      <c r="BY98" s="19"/>
    </row>
    <row r="99" spans="1:78">
      <c r="A99" s="24">
        <v>46126</v>
      </c>
      <c r="B99" s="24">
        <v>46126</v>
      </c>
      <c r="C99" s="3">
        <v>0.73326388888889005</v>
      </c>
      <c r="D99" s="4" t="s">
        <v>214</v>
      </c>
      <c r="E99" s="24">
        <v>46126</v>
      </c>
      <c r="F99" s="26" t="s">
        <v>343</v>
      </c>
      <c r="G99" s="26" t="s">
        <v>216</v>
      </c>
      <c r="H99" s="26" t="s">
        <v>76</v>
      </c>
      <c r="I99" s="4" t="s">
        <v>344</v>
      </c>
      <c r="J99" s="26">
        <v>1219001017</v>
      </c>
      <c r="K99" s="26" t="str">
        <f>VLOOKUP(J:J,'[2]Inventory Codes'!$B:$D,3,0)</f>
        <v>CC</v>
      </c>
      <c r="L99" s="26" t="s">
        <v>218</v>
      </c>
      <c r="M99" s="27">
        <v>1469</v>
      </c>
      <c r="N99" s="26" t="s">
        <v>219</v>
      </c>
      <c r="O99" s="26" t="s">
        <v>346</v>
      </c>
      <c r="P99" s="26" t="s">
        <v>85</v>
      </c>
      <c r="Q99" s="5">
        <v>1469</v>
      </c>
      <c r="R99" s="4" t="s">
        <v>85</v>
      </c>
      <c r="S99" s="4" t="s">
        <v>122</v>
      </c>
      <c r="T99" s="83" t="s">
        <v>84</v>
      </c>
      <c r="U99" s="6">
        <v>2075550.1</v>
      </c>
      <c r="V99" s="4" t="s">
        <v>85</v>
      </c>
      <c r="W99" s="4" t="s">
        <v>85</v>
      </c>
      <c r="X99" s="4" t="s">
        <v>86</v>
      </c>
      <c r="Y99" s="4" t="s">
        <v>87</v>
      </c>
      <c r="Z99" s="4" t="s">
        <v>88</v>
      </c>
      <c r="AA99" s="4" t="s">
        <v>89</v>
      </c>
      <c r="AB99" s="4" t="s">
        <v>85</v>
      </c>
      <c r="AC99" s="4" t="s">
        <v>130</v>
      </c>
      <c r="AD99" s="4" t="s">
        <v>85</v>
      </c>
      <c r="AE99" s="4" t="s">
        <v>85</v>
      </c>
      <c r="AF99" s="4" t="s">
        <v>91</v>
      </c>
      <c r="AG99" s="4" t="s">
        <v>85</v>
      </c>
      <c r="AH99" s="4" t="s">
        <v>91</v>
      </c>
      <c r="AI99" s="5">
        <v>1469</v>
      </c>
      <c r="AJ99" s="4" t="s">
        <v>219</v>
      </c>
      <c r="AK99" s="4" t="s">
        <v>219</v>
      </c>
      <c r="AL99" s="5">
        <v>1469</v>
      </c>
      <c r="AM99" s="4" t="s">
        <v>87</v>
      </c>
      <c r="AN99" s="4" t="s">
        <v>85</v>
      </c>
      <c r="AO99" s="4" t="s">
        <v>85</v>
      </c>
      <c r="AP99" s="4" t="s">
        <v>118</v>
      </c>
      <c r="AQ99" s="4" t="s">
        <v>85</v>
      </c>
      <c r="AR99" s="4" t="s">
        <v>85</v>
      </c>
      <c r="AS99" s="6">
        <v>0</v>
      </c>
      <c r="AT99" s="6">
        <v>0</v>
      </c>
      <c r="AU99" s="4" t="s">
        <v>91</v>
      </c>
      <c r="AV99" s="4" t="s">
        <v>85</v>
      </c>
      <c r="AW99" s="4" t="s">
        <v>91</v>
      </c>
      <c r="AX99" s="4" t="s">
        <v>91</v>
      </c>
      <c r="AY99" s="4" t="s">
        <v>85</v>
      </c>
      <c r="AZ99" s="4" t="s">
        <v>93</v>
      </c>
      <c r="BA99" s="4" t="s">
        <v>85</v>
      </c>
      <c r="BB99" s="4" t="s">
        <v>85</v>
      </c>
      <c r="BC99" s="4" t="s">
        <v>91</v>
      </c>
      <c r="BD99" s="4" t="s">
        <v>219</v>
      </c>
      <c r="BE99" s="4" t="s">
        <v>300</v>
      </c>
      <c r="BF99" s="4" t="s">
        <v>85</v>
      </c>
      <c r="BG99" s="4" t="s">
        <v>85</v>
      </c>
      <c r="BH99" s="4" t="s">
        <v>85</v>
      </c>
      <c r="BI99" s="4" t="s">
        <v>91</v>
      </c>
      <c r="BJ99" s="4" t="s">
        <v>91</v>
      </c>
      <c r="BK99" s="4" t="s">
        <v>85</v>
      </c>
      <c r="BL99" s="4" t="s">
        <v>85</v>
      </c>
      <c r="BM99" s="4" t="s">
        <v>95</v>
      </c>
      <c r="BN99" s="4" t="s">
        <v>96</v>
      </c>
      <c r="BO99" s="6">
        <v>0</v>
      </c>
      <c r="BP99" s="4" t="s">
        <v>85</v>
      </c>
      <c r="BQ99" s="4" t="s">
        <v>85</v>
      </c>
      <c r="BR99" s="4" t="s">
        <v>91</v>
      </c>
      <c r="BS99" s="4" t="s">
        <v>85</v>
      </c>
      <c r="BT99" s="26" t="s">
        <v>388</v>
      </c>
      <c r="BU99" s="26" t="s">
        <v>1281</v>
      </c>
      <c r="BV99" s="26" t="s">
        <v>1260</v>
      </c>
      <c r="BW99" s="19" t="s">
        <v>1282</v>
      </c>
      <c r="BX99" s="19" t="s">
        <v>1280</v>
      </c>
      <c r="BY99" s="19"/>
    </row>
    <row r="100" spans="1:78">
      <c r="A100" s="24">
        <v>46126</v>
      </c>
      <c r="B100" s="24">
        <v>46126</v>
      </c>
      <c r="C100" s="3">
        <v>0.73326388888889005</v>
      </c>
      <c r="D100" s="4" t="s">
        <v>214</v>
      </c>
      <c r="E100" s="24">
        <v>46126</v>
      </c>
      <c r="F100" s="26" t="s">
        <v>343</v>
      </c>
      <c r="G100" s="26" t="s">
        <v>216</v>
      </c>
      <c r="H100" s="26" t="s">
        <v>76</v>
      </c>
      <c r="I100" s="4" t="s">
        <v>344</v>
      </c>
      <c r="J100" s="26">
        <v>1219001017</v>
      </c>
      <c r="K100" s="26" t="str">
        <f>VLOOKUP(J:J,'[2]Inventory Codes'!$B:$D,3,0)</f>
        <v>CC</v>
      </c>
      <c r="L100" s="26" t="s">
        <v>218</v>
      </c>
      <c r="M100" s="27">
        <v>2873</v>
      </c>
      <c r="N100" s="26" t="s">
        <v>219</v>
      </c>
      <c r="O100" s="26" t="s">
        <v>347</v>
      </c>
      <c r="P100" s="26" t="s">
        <v>85</v>
      </c>
      <c r="Q100" s="5">
        <v>2873</v>
      </c>
      <c r="R100" s="4" t="s">
        <v>85</v>
      </c>
      <c r="S100" s="4" t="s">
        <v>122</v>
      </c>
      <c r="T100" s="83" t="s">
        <v>84</v>
      </c>
      <c r="U100" s="6">
        <v>4059261.7</v>
      </c>
      <c r="V100" s="4" t="s">
        <v>85</v>
      </c>
      <c r="W100" s="4" t="s">
        <v>85</v>
      </c>
      <c r="X100" s="4" t="s">
        <v>86</v>
      </c>
      <c r="Y100" s="4" t="s">
        <v>87</v>
      </c>
      <c r="Z100" s="4" t="s">
        <v>88</v>
      </c>
      <c r="AA100" s="4" t="s">
        <v>89</v>
      </c>
      <c r="AB100" s="4" t="s">
        <v>85</v>
      </c>
      <c r="AC100" s="4" t="s">
        <v>128</v>
      </c>
      <c r="AD100" s="4" t="s">
        <v>85</v>
      </c>
      <c r="AE100" s="4" t="s">
        <v>85</v>
      </c>
      <c r="AF100" s="4" t="s">
        <v>91</v>
      </c>
      <c r="AG100" s="4" t="s">
        <v>85</v>
      </c>
      <c r="AH100" s="4" t="s">
        <v>91</v>
      </c>
      <c r="AI100" s="5">
        <v>2873</v>
      </c>
      <c r="AJ100" s="4" t="s">
        <v>219</v>
      </c>
      <c r="AK100" s="4" t="s">
        <v>219</v>
      </c>
      <c r="AL100" s="5">
        <v>2873</v>
      </c>
      <c r="AM100" s="4" t="s">
        <v>87</v>
      </c>
      <c r="AN100" s="4" t="s">
        <v>85</v>
      </c>
      <c r="AO100" s="4" t="s">
        <v>85</v>
      </c>
      <c r="AP100" s="4" t="s">
        <v>118</v>
      </c>
      <c r="AQ100" s="4" t="s">
        <v>85</v>
      </c>
      <c r="AR100" s="4" t="s">
        <v>85</v>
      </c>
      <c r="AS100" s="6">
        <v>0</v>
      </c>
      <c r="AT100" s="6">
        <v>0</v>
      </c>
      <c r="AU100" s="4" t="s">
        <v>91</v>
      </c>
      <c r="AV100" s="4" t="s">
        <v>85</v>
      </c>
      <c r="AW100" s="4" t="s">
        <v>91</v>
      </c>
      <c r="AX100" s="4" t="s">
        <v>91</v>
      </c>
      <c r="AY100" s="4" t="s">
        <v>85</v>
      </c>
      <c r="AZ100" s="4" t="s">
        <v>93</v>
      </c>
      <c r="BA100" s="4" t="s">
        <v>85</v>
      </c>
      <c r="BB100" s="4" t="s">
        <v>85</v>
      </c>
      <c r="BC100" s="4" t="s">
        <v>91</v>
      </c>
      <c r="BD100" s="4" t="s">
        <v>219</v>
      </c>
      <c r="BE100" s="4" t="s">
        <v>300</v>
      </c>
      <c r="BF100" s="4" t="s">
        <v>85</v>
      </c>
      <c r="BG100" s="4" t="s">
        <v>85</v>
      </c>
      <c r="BH100" s="4" t="s">
        <v>85</v>
      </c>
      <c r="BI100" s="4" t="s">
        <v>91</v>
      </c>
      <c r="BJ100" s="4" t="s">
        <v>91</v>
      </c>
      <c r="BK100" s="4" t="s">
        <v>85</v>
      </c>
      <c r="BL100" s="4" t="s">
        <v>85</v>
      </c>
      <c r="BM100" s="4" t="s">
        <v>95</v>
      </c>
      <c r="BN100" s="4" t="s">
        <v>96</v>
      </c>
      <c r="BO100" s="6">
        <v>0</v>
      </c>
      <c r="BP100" s="4" t="s">
        <v>85</v>
      </c>
      <c r="BQ100" s="4" t="s">
        <v>85</v>
      </c>
      <c r="BR100" s="4" t="s">
        <v>91</v>
      </c>
      <c r="BS100" s="4" t="s">
        <v>85</v>
      </c>
      <c r="BT100" s="26" t="s">
        <v>388</v>
      </c>
      <c r="BU100" s="26" t="s">
        <v>1281</v>
      </c>
      <c r="BV100" s="26" t="s">
        <v>1260</v>
      </c>
      <c r="BW100" s="19" t="s">
        <v>1282</v>
      </c>
      <c r="BX100" s="19" t="s">
        <v>1280</v>
      </c>
      <c r="BY100" s="19"/>
    </row>
    <row r="101" spans="1:78">
      <c r="A101" s="24">
        <v>46126</v>
      </c>
      <c r="B101" s="24">
        <v>46126</v>
      </c>
      <c r="C101" s="3">
        <v>0.73326388888889005</v>
      </c>
      <c r="D101" s="4" t="s">
        <v>214</v>
      </c>
      <c r="E101" s="24">
        <v>46126</v>
      </c>
      <c r="F101" s="26" t="s">
        <v>343</v>
      </c>
      <c r="G101" s="26" t="s">
        <v>216</v>
      </c>
      <c r="H101" s="26" t="s">
        <v>76</v>
      </c>
      <c r="I101" s="4" t="s">
        <v>344</v>
      </c>
      <c r="J101" s="26">
        <v>1219001017</v>
      </c>
      <c r="K101" s="26" t="str">
        <f>VLOOKUP(J:J,'[2]Inventory Codes'!$B:$D,3,0)</f>
        <v>CC</v>
      </c>
      <c r="L101" s="26" t="s">
        <v>218</v>
      </c>
      <c r="M101" s="27">
        <v>1300</v>
      </c>
      <c r="N101" s="26" t="s">
        <v>219</v>
      </c>
      <c r="O101" s="26" t="s">
        <v>348</v>
      </c>
      <c r="P101" s="26" t="s">
        <v>85</v>
      </c>
      <c r="Q101" s="5">
        <v>1300</v>
      </c>
      <c r="R101" s="4" t="s">
        <v>85</v>
      </c>
      <c r="S101" s="4" t="s">
        <v>122</v>
      </c>
      <c r="T101" s="83" t="s">
        <v>84</v>
      </c>
      <c r="U101" s="6">
        <v>1836770</v>
      </c>
      <c r="V101" s="4" t="s">
        <v>85</v>
      </c>
      <c r="W101" s="4" t="s">
        <v>85</v>
      </c>
      <c r="X101" s="4" t="s">
        <v>86</v>
      </c>
      <c r="Y101" s="4" t="s">
        <v>87</v>
      </c>
      <c r="Z101" s="4" t="s">
        <v>88</v>
      </c>
      <c r="AA101" s="4" t="s">
        <v>89</v>
      </c>
      <c r="AB101" s="4" t="s">
        <v>85</v>
      </c>
      <c r="AC101" s="4" t="s">
        <v>126</v>
      </c>
      <c r="AD101" s="4" t="s">
        <v>85</v>
      </c>
      <c r="AE101" s="4" t="s">
        <v>85</v>
      </c>
      <c r="AF101" s="4" t="s">
        <v>91</v>
      </c>
      <c r="AG101" s="4" t="s">
        <v>85</v>
      </c>
      <c r="AH101" s="4" t="s">
        <v>91</v>
      </c>
      <c r="AI101" s="5">
        <v>1300</v>
      </c>
      <c r="AJ101" s="4" t="s">
        <v>219</v>
      </c>
      <c r="AK101" s="4" t="s">
        <v>219</v>
      </c>
      <c r="AL101" s="5">
        <v>1300</v>
      </c>
      <c r="AM101" s="4" t="s">
        <v>87</v>
      </c>
      <c r="AN101" s="4" t="s">
        <v>85</v>
      </c>
      <c r="AO101" s="4" t="s">
        <v>85</v>
      </c>
      <c r="AP101" s="4" t="s">
        <v>118</v>
      </c>
      <c r="AQ101" s="4" t="s">
        <v>85</v>
      </c>
      <c r="AR101" s="4" t="s">
        <v>85</v>
      </c>
      <c r="AS101" s="6">
        <v>0</v>
      </c>
      <c r="AT101" s="6">
        <v>0</v>
      </c>
      <c r="AU101" s="4" t="s">
        <v>91</v>
      </c>
      <c r="AV101" s="4" t="s">
        <v>85</v>
      </c>
      <c r="AW101" s="4" t="s">
        <v>91</v>
      </c>
      <c r="AX101" s="4" t="s">
        <v>91</v>
      </c>
      <c r="AY101" s="4" t="s">
        <v>85</v>
      </c>
      <c r="AZ101" s="4" t="s">
        <v>93</v>
      </c>
      <c r="BA101" s="4" t="s">
        <v>85</v>
      </c>
      <c r="BB101" s="4" t="s">
        <v>85</v>
      </c>
      <c r="BC101" s="4" t="s">
        <v>91</v>
      </c>
      <c r="BD101" s="4" t="s">
        <v>219</v>
      </c>
      <c r="BE101" s="4" t="s">
        <v>300</v>
      </c>
      <c r="BF101" s="4" t="s">
        <v>85</v>
      </c>
      <c r="BG101" s="4" t="s">
        <v>85</v>
      </c>
      <c r="BH101" s="4" t="s">
        <v>85</v>
      </c>
      <c r="BI101" s="4" t="s">
        <v>91</v>
      </c>
      <c r="BJ101" s="4" t="s">
        <v>91</v>
      </c>
      <c r="BK101" s="4" t="s">
        <v>85</v>
      </c>
      <c r="BL101" s="4" t="s">
        <v>85</v>
      </c>
      <c r="BM101" s="4" t="s">
        <v>95</v>
      </c>
      <c r="BN101" s="4" t="s">
        <v>96</v>
      </c>
      <c r="BO101" s="6">
        <v>0</v>
      </c>
      <c r="BP101" s="4" t="s">
        <v>85</v>
      </c>
      <c r="BQ101" s="4" t="s">
        <v>85</v>
      </c>
      <c r="BR101" s="4" t="s">
        <v>91</v>
      </c>
      <c r="BS101" s="4" t="s">
        <v>85</v>
      </c>
      <c r="BT101" s="26" t="s">
        <v>388</v>
      </c>
      <c r="BU101" s="26" t="s">
        <v>1281</v>
      </c>
      <c r="BV101" s="26" t="s">
        <v>1260</v>
      </c>
      <c r="BW101" s="19" t="s">
        <v>1282</v>
      </c>
      <c r="BX101" s="19" t="s">
        <v>1280</v>
      </c>
      <c r="BY101" s="19"/>
    </row>
    <row r="102" spans="1:78">
      <c r="A102" s="24">
        <v>46126</v>
      </c>
      <c r="B102" s="24">
        <v>46126</v>
      </c>
      <c r="C102" s="3">
        <v>0.73326388888889005</v>
      </c>
      <c r="D102" s="4" t="s">
        <v>214</v>
      </c>
      <c r="E102" s="24">
        <v>46126</v>
      </c>
      <c r="F102" s="26" t="s">
        <v>343</v>
      </c>
      <c r="G102" s="26" t="s">
        <v>216</v>
      </c>
      <c r="H102" s="26" t="s">
        <v>76</v>
      </c>
      <c r="I102" s="4" t="s">
        <v>344</v>
      </c>
      <c r="J102" s="26">
        <v>1219001017</v>
      </c>
      <c r="K102" s="26" t="str">
        <f>VLOOKUP(J:J,'[2]Inventory Codes'!$B:$D,3,0)</f>
        <v>CC</v>
      </c>
      <c r="L102" s="26" t="s">
        <v>218</v>
      </c>
      <c r="M102" s="27">
        <v>2769</v>
      </c>
      <c r="N102" s="26" t="s">
        <v>219</v>
      </c>
      <c r="O102" s="26" t="s">
        <v>349</v>
      </c>
      <c r="P102" s="26" t="s">
        <v>85</v>
      </c>
      <c r="Q102" s="5">
        <v>2769</v>
      </c>
      <c r="R102" s="4" t="s">
        <v>85</v>
      </c>
      <c r="S102" s="4" t="s">
        <v>122</v>
      </c>
      <c r="T102" s="83" t="s">
        <v>84</v>
      </c>
      <c r="U102" s="6">
        <v>3912320.1</v>
      </c>
      <c r="V102" s="4" t="s">
        <v>85</v>
      </c>
      <c r="W102" s="4" t="s">
        <v>85</v>
      </c>
      <c r="X102" s="4" t="s">
        <v>86</v>
      </c>
      <c r="Y102" s="4" t="s">
        <v>87</v>
      </c>
      <c r="Z102" s="4" t="s">
        <v>88</v>
      </c>
      <c r="AA102" s="4" t="s">
        <v>89</v>
      </c>
      <c r="AB102" s="4" t="s">
        <v>85</v>
      </c>
      <c r="AC102" s="4" t="s">
        <v>131</v>
      </c>
      <c r="AD102" s="4" t="s">
        <v>85</v>
      </c>
      <c r="AE102" s="4" t="s">
        <v>85</v>
      </c>
      <c r="AF102" s="4" t="s">
        <v>91</v>
      </c>
      <c r="AG102" s="4" t="s">
        <v>85</v>
      </c>
      <c r="AH102" s="4" t="s">
        <v>91</v>
      </c>
      <c r="AI102" s="5">
        <v>2769</v>
      </c>
      <c r="AJ102" s="4" t="s">
        <v>219</v>
      </c>
      <c r="AK102" s="4" t="s">
        <v>219</v>
      </c>
      <c r="AL102" s="5">
        <v>2769</v>
      </c>
      <c r="AM102" s="4" t="s">
        <v>87</v>
      </c>
      <c r="AN102" s="4" t="s">
        <v>85</v>
      </c>
      <c r="AO102" s="4" t="s">
        <v>85</v>
      </c>
      <c r="AP102" s="4" t="s">
        <v>118</v>
      </c>
      <c r="AQ102" s="4" t="s">
        <v>85</v>
      </c>
      <c r="AR102" s="4" t="s">
        <v>85</v>
      </c>
      <c r="AS102" s="6">
        <v>0</v>
      </c>
      <c r="AT102" s="6">
        <v>0</v>
      </c>
      <c r="AU102" s="4" t="s">
        <v>91</v>
      </c>
      <c r="AV102" s="4" t="s">
        <v>85</v>
      </c>
      <c r="AW102" s="4" t="s">
        <v>91</v>
      </c>
      <c r="AX102" s="4" t="s">
        <v>91</v>
      </c>
      <c r="AY102" s="4" t="s">
        <v>85</v>
      </c>
      <c r="AZ102" s="4" t="s">
        <v>93</v>
      </c>
      <c r="BA102" s="4" t="s">
        <v>85</v>
      </c>
      <c r="BB102" s="4" t="s">
        <v>85</v>
      </c>
      <c r="BC102" s="4" t="s">
        <v>91</v>
      </c>
      <c r="BD102" s="4" t="s">
        <v>219</v>
      </c>
      <c r="BE102" s="4" t="s">
        <v>300</v>
      </c>
      <c r="BF102" s="4" t="s">
        <v>85</v>
      </c>
      <c r="BG102" s="4" t="s">
        <v>85</v>
      </c>
      <c r="BH102" s="4" t="s">
        <v>85</v>
      </c>
      <c r="BI102" s="4" t="s">
        <v>91</v>
      </c>
      <c r="BJ102" s="4" t="s">
        <v>91</v>
      </c>
      <c r="BK102" s="4" t="s">
        <v>85</v>
      </c>
      <c r="BL102" s="4" t="s">
        <v>85</v>
      </c>
      <c r="BM102" s="4" t="s">
        <v>95</v>
      </c>
      <c r="BN102" s="4" t="s">
        <v>96</v>
      </c>
      <c r="BO102" s="6">
        <v>0</v>
      </c>
      <c r="BP102" s="4" t="s">
        <v>85</v>
      </c>
      <c r="BQ102" s="4" t="s">
        <v>85</v>
      </c>
      <c r="BR102" s="4" t="s">
        <v>91</v>
      </c>
      <c r="BS102" s="4" t="s">
        <v>85</v>
      </c>
      <c r="BT102" s="26" t="s">
        <v>388</v>
      </c>
      <c r="BU102" s="26" t="s">
        <v>1281</v>
      </c>
      <c r="BV102" s="26" t="s">
        <v>1260</v>
      </c>
      <c r="BW102" s="19" t="s">
        <v>1282</v>
      </c>
      <c r="BX102" s="19" t="s">
        <v>1280</v>
      </c>
      <c r="BY102" s="19"/>
    </row>
    <row r="103" spans="1:78">
      <c r="A103" s="24">
        <v>46126</v>
      </c>
      <c r="B103" s="24">
        <v>46126</v>
      </c>
      <c r="C103" s="3">
        <v>0.73326388888889005</v>
      </c>
      <c r="D103" s="4" t="s">
        <v>214</v>
      </c>
      <c r="E103" s="24">
        <v>46126</v>
      </c>
      <c r="F103" s="26" t="s">
        <v>343</v>
      </c>
      <c r="G103" s="26" t="s">
        <v>216</v>
      </c>
      <c r="H103" s="26" t="s">
        <v>76</v>
      </c>
      <c r="I103" s="4" t="s">
        <v>344</v>
      </c>
      <c r="J103" s="26">
        <v>1219001017</v>
      </c>
      <c r="K103" s="26" t="str">
        <f>VLOOKUP(J:J,'[2]Inventory Codes'!$B:$D,3,0)</f>
        <v>CC</v>
      </c>
      <c r="L103" s="26" t="s">
        <v>218</v>
      </c>
      <c r="M103" s="27">
        <v>1404</v>
      </c>
      <c r="N103" s="26" t="s">
        <v>219</v>
      </c>
      <c r="O103" s="26" t="s">
        <v>350</v>
      </c>
      <c r="P103" s="26" t="s">
        <v>85</v>
      </c>
      <c r="Q103" s="5">
        <v>1404</v>
      </c>
      <c r="R103" s="4" t="s">
        <v>85</v>
      </c>
      <c r="S103" s="4" t="s">
        <v>122</v>
      </c>
      <c r="T103" s="83" t="s">
        <v>84</v>
      </c>
      <c r="U103" s="6">
        <v>1983711.6</v>
      </c>
      <c r="V103" s="4" t="s">
        <v>85</v>
      </c>
      <c r="W103" s="4" t="s">
        <v>85</v>
      </c>
      <c r="X103" s="4" t="s">
        <v>86</v>
      </c>
      <c r="Y103" s="4" t="s">
        <v>87</v>
      </c>
      <c r="Z103" s="4" t="s">
        <v>88</v>
      </c>
      <c r="AA103" s="4" t="s">
        <v>89</v>
      </c>
      <c r="AB103" s="4" t="s">
        <v>85</v>
      </c>
      <c r="AC103" s="4" t="s">
        <v>134</v>
      </c>
      <c r="AD103" s="4" t="s">
        <v>85</v>
      </c>
      <c r="AE103" s="4" t="s">
        <v>85</v>
      </c>
      <c r="AF103" s="4" t="s">
        <v>91</v>
      </c>
      <c r="AG103" s="4" t="s">
        <v>85</v>
      </c>
      <c r="AH103" s="4" t="s">
        <v>91</v>
      </c>
      <c r="AI103" s="5">
        <v>1404</v>
      </c>
      <c r="AJ103" s="4" t="s">
        <v>219</v>
      </c>
      <c r="AK103" s="4" t="s">
        <v>219</v>
      </c>
      <c r="AL103" s="5">
        <v>1404</v>
      </c>
      <c r="AM103" s="4" t="s">
        <v>87</v>
      </c>
      <c r="AN103" s="4" t="s">
        <v>85</v>
      </c>
      <c r="AO103" s="4" t="s">
        <v>85</v>
      </c>
      <c r="AP103" s="4" t="s">
        <v>118</v>
      </c>
      <c r="AQ103" s="4" t="s">
        <v>85</v>
      </c>
      <c r="AR103" s="4" t="s">
        <v>85</v>
      </c>
      <c r="AS103" s="6">
        <v>0</v>
      </c>
      <c r="AT103" s="6">
        <v>0</v>
      </c>
      <c r="AU103" s="4" t="s">
        <v>91</v>
      </c>
      <c r="AV103" s="4" t="s">
        <v>85</v>
      </c>
      <c r="AW103" s="4" t="s">
        <v>91</v>
      </c>
      <c r="AX103" s="4" t="s">
        <v>91</v>
      </c>
      <c r="AY103" s="4" t="s">
        <v>85</v>
      </c>
      <c r="AZ103" s="4" t="s">
        <v>93</v>
      </c>
      <c r="BA103" s="4" t="s">
        <v>85</v>
      </c>
      <c r="BB103" s="4" t="s">
        <v>85</v>
      </c>
      <c r="BC103" s="4" t="s">
        <v>91</v>
      </c>
      <c r="BD103" s="4" t="s">
        <v>219</v>
      </c>
      <c r="BE103" s="4" t="s">
        <v>300</v>
      </c>
      <c r="BF103" s="4" t="s">
        <v>85</v>
      </c>
      <c r="BG103" s="4" t="s">
        <v>85</v>
      </c>
      <c r="BH103" s="4" t="s">
        <v>85</v>
      </c>
      <c r="BI103" s="4" t="s">
        <v>91</v>
      </c>
      <c r="BJ103" s="4" t="s">
        <v>91</v>
      </c>
      <c r="BK103" s="4" t="s">
        <v>85</v>
      </c>
      <c r="BL103" s="4" t="s">
        <v>85</v>
      </c>
      <c r="BM103" s="4" t="s">
        <v>95</v>
      </c>
      <c r="BN103" s="4" t="s">
        <v>96</v>
      </c>
      <c r="BO103" s="6">
        <v>0</v>
      </c>
      <c r="BP103" s="4" t="s">
        <v>85</v>
      </c>
      <c r="BQ103" s="4" t="s">
        <v>85</v>
      </c>
      <c r="BR103" s="4" t="s">
        <v>91</v>
      </c>
      <c r="BS103" s="4" t="s">
        <v>85</v>
      </c>
      <c r="BT103" s="26" t="s">
        <v>388</v>
      </c>
      <c r="BU103" s="26" t="s">
        <v>1281</v>
      </c>
      <c r="BV103" s="26" t="s">
        <v>1260</v>
      </c>
      <c r="BW103" s="19" t="s">
        <v>1282</v>
      </c>
      <c r="BX103" s="19" t="s">
        <v>1280</v>
      </c>
      <c r="BY103" s="19"/>
    </row>
    <row r="104" spans="1:78">
      <c r="A104" s="24">
        <v>46126</v>
      </c>
      <c r="B104" s="24">
        <v>46126</v>
      </c>
      <c r="C104" s="3">
        <v>0.73326388888889005</v>
      </c>
      <c r="D104" s="4" t="s">
        <v>214</v>
      </c>
      <c r="E104" s="24">
        <v>46126</v>
      </c>
      <c r="F104" s="26" t="s">
        <v>343</v>
      </c>
      <c r="G104" s="26" t="s">
        <v>216</v>
      </c>
      <c r="H104" s="26" t="s">
        <v>76</v>
      </c>
      <c r="I104" s="4" t="s">
        <v>344</v>
      </c>
      <c r="J104" s="26">
        <v>1219001017</v>
      </c>
      <c r="K104" s="26" t="str">
        <f>VLOOKUP(J:J,'[2]Inventory Codes'!$B:$D,3,0)</f>
        <v>CC</v>
      </c>
      <c r="L104" s="26" t="s">
        <v>218</v>
      </c>
      <c r="M104" s="27">
        <v>2873</v>
      </c>
      <c r="N104" s="26" t="s">
        <v>219</v>
      </c>
      <c r="O104" s="26" t="s">
        <v>351</v>
      </c>
      <c r="P104" s="26" t="s">
        <v>85</v>
      </c>
      <c r="Q104" s="5">
        <v>2873</v>
      </c>
      <c r="R104" s="4" t="s">
        <v>85</v>
      </c>
      <c r="S104" s="4" t="s">
        <v>122</v>
      </c>
      <c r="T104" s="83" t="s">
        <v>84</v>
      </c>
      <c r="U104" s="6">
        <v>4059261.7</v>
      </c>
      <c r="V104" s="4" t="s">
        <v>85</v>
      </c>
      <c r="W104" s="4" t="s">
        <v>85</v>
      </c>
      <c r="X104" s="4" t="s">
        <v>86</v>
      </c>
      <c r="Y104" s="4" t="s">
        <v>87</v>
      </c>
      <c r="Z104" s="4" t="s">
        <v>88</v>
      </c>
      <c r="AA104" s="4" t="s">
        <v>89</v>
      </c>
      <c r="AB104" s="4" t="s">
        <v>85</v>
      </c>
      <c r="AC104" s="4" t="s">
        <v>112</v>
      </c>
      <c r="AD104" s="4" t="s">
        <v>85</v>
      </c>
      <c r="AE104" s="4" t="s">
        <v>85</v>
      </c>
      <c r="AF104" s="4" t="s">
        <v>91</v>
      </c>
      <c r="AG104" s="4" t="s">
        <v>85</v>
      </c>
      <c r="AH104" s="4" t="s">
        <v>91</v>
      </c>
      <c r="AI104" s="5">
        <v>2873</v>
      </c>
      <c r="AJ104" s="4" t="s">
        <v>219</v>
      </c>
      <c r="AK104" s="4" t="s">
        <v>219</v>
      </c>
      <c r="AL104" s="5">
        <v>2873</v>
      </c>
      <c r="AM104" s="4" t="s">
        <v>87</v>
      </c>
      <c r="AN104" s="4" t="s">
        <v>85</v>
      </c>
      <c r="AO104" s="4" t="s">
        <v>85</v>
      </c>
      <c r="AP104" s="4" t="s">
        <v>118</v>
      </c>
      <c r="AQ104" s="4" t="s">
        <v>85</v>
      </c>
      <c r="AR104" s="4" t="s">
        <v>85</v>
      </c>
      <c r="AS104" s="6">
        <v>0</v>
      </c>
      <c r="AT104" s="6">
        <v>0</v>
      </c>
      <c r="AU104" s="4" t="s">
        <v>91</v>
      </c>
      <c r="AV104" s="4" t="s">
        <v>85</v>
      </c>
      <c r="AW104" s="4" t="s">
        <v>91</v>
      </c>
      <c r="AX104" s="4" t="s">
        <v>91</v>
      </c>
      <c r="AY104" s="4" t="s">
        <v>85</v>
      </c>
      <c r="AZ104" s="4" t="s">
        <v>93</v>
      </c>
      <c r="BA104" s="4" t="s">
        <v>85</v>
      </c>
      <c r="BB104" s="4" t="s">
        <v>85</v>
      </c>
      <c r="BC104" s="4" t="s">
        <v>91</v>
      </c>
      <c r="BD104" s="4" t="s">
        <v>219</v>
      </c>
      <c r="BE104" s="4" t="s">
        <v>300</v>
      </c>
      <c r="BF104" s="4" t="s">
        <v>85</v>
      </c>
      <c r="BG104" s="4" t="s">
        <v>85</v>
      </c>
      <c r="BH104" s="4" t="s">
        <v>85</v>
      </c>
      <c r="BI104" s="4" t="s">
        <v>91</v>
      </c>
      <c r="BJ104" s="4" t="s">
        <v>91</v>
      </c>
      <c r="BK104" s="4" t="s">
        <v>85</v>
      </c>
      <c r="BL104" s="4" t="s">
        <v>85</v>
      </c>
      <c r="BM104" s="4" t="s">
        <v>95</v>
      </c>
      <c r="BN104" s="4" t="s">
        <v>96</v>
      </c>
      <c r="BO104" s="6">
        <v>0</v>
      </c>
      <c r="BP104" s="4" t="s">
        <v>85</v>
      </c>
      <c r="BQ104" s="4" t="s">
        <v>85</v>
      </c>
      <c r="BR104" s="4" t="s">
        <v>91</v>
      </c>
      <c r="BS104" s="4" t="s">
        <v>85</v>
      </c>
      <c r="BT104" s="26" t="s">
        <v>388</v>
      </c>
      <c r="BU104" s="26" t="s">
        <v>1281</v>
      </c>
      <c r="BV104" s="26" t="s">
        <v>1260</v>
      </c>
      <c r="BW104" s="19" t="s">
        <v>1282</v>
      </c>
      <c r="BX104" s="19" t="s">
        <v>1280</v>
      </c>
      <c r="BY104" s="19"/>
    </row>
    <row r="105" spans="1:78">
      <c r="A105" s="24">
        <v>46126</v>
      </c>
      <c r="B105" s="24">
        <v>46126</v>
      </c>
      <c r="C105" s="3">
        <v>0.73326388888889005</v>
      </c>
      <c r="D105" s="4" t="s">
        <v>214</v>
      </c>
      <c r="E105" s="24">
        <v>46126</v>
      </c>
      <c r="F105" s="26" t="s">
        <v>343</v>
      </c>
      <c r="G105" s="26" t="s">
        <v>216</v>
      </c>
      <c r="H105" s="26" t="s">
        <v>76</v>
      </c>
      <c r="I105" s="4" t="s">
        <v>344</v>
      </c>
      <c r="J105" s="26">
        <v>1219001017</v>
      </c>
      <c r="K105" s="26" t="str">
        <f>VLOOKUP(J:J,'[2]Inventory Codes'!$B:$D,3,0)</f>
        <v>CC</v>
      </c>
      <c r="L105" s="26" t="s">
        <v>218</v>
      </c>
      <c r="M105" s="27">
        <v>1495</v>
      </c>
      <c r="N105" s="26" t="s">
        <v>219</v>
      </c>
      <c r="O105" s="26" t="s">
        <v>352</v>
      </c>
      <c r="P105" s="26" t="s">
        <v>85</v>
      </c>
      <c r="Q105" s="5">
        <v>1495</v>
      </c>
      <c r="R105" s="4" t="s">
        <v>85</v>
      </c>
      <c r="S105" s="4" t="s">
        <v>122</v>
      </c>
      <c r="T105" s="83" t="s">
        <v>84</v>
      </c>
      <c r="U105" s="6">
        <v>2112285.5</v>
      </c>
      <c r="V105" s="4" t="s">
        <v>85</v>
      </c>
      <c r="W105" s="4" t="s">
        <v>85</v>
      </c>
      <c r="X105" s="4" t="s">
        <v>86</v>
      </c>
      <c r="Y105" s="4" t="s">
        <v>87</v>
      </c>
      <c r="Z105" s="4" t="s">
        <v>88</v>
      </c>
      <c r="AA105" s="4" t="s">
        <v>89</v>
      </c>
      <c r="AB105" s="4" t="s">
        <v>85</v>
      </c>
      <c r="AC105" s="4" t="s">
        <v>90</v>
      </c>
      <c r="AD105" s="4" t="s">
        <v>85</v>
      </c>
      <c r="AE105" s="4" t="s">
        <v>85</v>
      </c>
      <c r="AF105" s="4" t="s">
        <v>91</v>
      </c>
      <c r="AG105" s="4" t="s">
        <v>85</v>
      </c>
      <c r="AH105" s="4" t="s">
        <v>91</v>
      </c>
      <c r="AI105" s="5">
        <v>1495</v>
      </c>
      <c r="AJ105" s="4" t="s">
        <v>219</v>
      </c>
      <c r="AK105" s="4" t="s">
        <v>219</v>
      </c>
      <c r="AL105" s="5">
        <v>1495</v>
      </c>
      <c r="AM105" s="4" t="s">
        <v>87</v>
      </c>
      <c r="AN105" s="4" t="s">
        <v>85</v>
      </c>
      <c r="AO105" s="4" t="s">
        <v>85</v>
      </c>
      <c r="AP105" s="4" t="s">
        <v>118</v>
      </c>
      <c r="AQ105" s="4" t="s">
        <v>85</v>
      </c>
      <c r="AR105" s="4" t="s">
        <v>85</v>
      </c>
      <c r="AS105" s="6">
        <v>0</v>
      </c>
      <c r="AT105" s="6">
        <v>0</v>
      </c>
      <c r="AU105" s="4" t="s">
        <v>91</v>
      </c>
      <c r="AV105" s="4" t="s">
        <v>85</v>
      </c>
      <c r="AW105" s="4" t="s">
        <v>91</v>
      </c>
      <c r="AX105" s="4" t="s">
        <v>91</v>
      </c>
      <c r="AY105" s="4" t="s">
        <v>85</v>
      </c>
      <c r="AZ105" s="4" t="s">
        <v>93</v>
      </c>
      <c r="BA105" s="4" t="s">
        <v>85</v>
      </c>
      <c r="BB105" s="4" t="s">
        <v>85</v>
      </c>
      <c r="BC105" s="4" t="s">
        <v>91</v>
      </c>
      <c r="BD105" s="4" t="s">
        <v>219</v>
      </c>
      <c r="BE105" s="4" t="s">
        <v>300</v>
      </c>
      <c r="BF105" s="4" t="s">
        <v>85</v>
      </c>
      <c r="BG105" s="4" t="s">
        <v>85</v>
      </c>
      <c r="BH105" s="4" t="s">
        <v>85</v>
      </c>
      <c r="BI105" s="4" t="s">
        <v>91</v>
      </c>
      <c r="BJ105" s="4" t="s">
        <v>91</v>
      </c>
      <c r="BK105" s="4" t="s">
        <v>85</v>
      </c>
      <c r="BL105" s="4" t="s">
        <v>85</v>
      </c>
      <c r="BM105" s="4" t="s">
        <v>95</v>
      </c>
      <c r="BN105" s="4" t="s">
        <v>96</v>
      </c>
      <c r="BO105" s="6">
        <v>0</v>
      </c>
      <c r="BP105" s="4" t="s">
        <v>85</v>
      </c>
      <c r="BQ105" s="4" t="s">
        <v>85</v>
      </c>
      <c r="BR105" s="4" t="s">
        <v>91</v>
      </c>
      <c r="BS105" s="4" t="s">
        <v>85</v>
      </c>
      <c r="BT105" s="26" t="s">
        <v>388</v>
      </c>
      <c r="BU105" s="26" t="s">
        <v>1281</v>
      </c>
      <c r="BV105" s="26" t="s">
        <v>1260</v>
      </c>
      <c r="BW105" s="19" t="s">
        <v>1282</v>
      </c>
      <c r="BX105" s="19" t="s">
        <v>1280</v>
      </c>
      <c r="BY105" s="19"/>
    </row>
    <row r="106" spans="1:78">
      <c r="A106" s="24">
        <v>46126</v>
      </c>
      <c r="B106" s="24">
        <v>46126</v>
      </c>
      <c r="C106" s="3">
        <v>0.73326388888889005</v>
      </c>
      <c r="D106" s="4" t="s">
        <v>214</v>
      </c>
      <c r="E106" s="24">
        <v>46126</v>
      </c>
      <c r="F106" s="26" t="s">
        <v>343</v>
      </c>
      <c r="G106" s="26" t="s">
        <v>216</v>
      </c>
      <c r="H106" s="26" t="s">
        <v>76</v>
      </c>
      <c r="I106" s="4" t="s">
        <v>344</v>
      </c>
      <c r="J106" s="26">
        <v>1219001017</v>
      </c>
      <c r="K106" s="26" t="str">
        <f>VLOOKUP(J:J,'[2]Inventory Codes'!$B:$D,3,0)</f>
        <v>CC</v>
      </c>
      <c r="L106" s="26" t="s">
        <v>218</v>
      </c>
      <c r="M106" s="27">
        <v>2808</v>
      </c>
      <c r="N106" s="26" t="s">
        <v>219</v>
      </c>
      <c r="O106" s="26" t="s">
        <v>353</v>
      </c>
      <c r="P106" s="26" t="s">
        <v>85</v>
      </c>
      <c r="Q106" s="5">
        <v>2808</v>
      </c>
      <c r="R106" s="4" t="s">
        <v>85</v>
      </c>
      <c r="S106" s="4" t="s">
        <v>122</v>
      </c>
      <c r="T106" s="83" t="s">
        <v>84</v>
      </c>
      <c r="U106" s="6">
        <v>3967423.2</v>
      </c>
      <c r="V106" s="4" t="s">
        <v>85</v>
      </c>
      <c r="W106" s="4" t="s">
        <v>85</v>
      </c>
      <c r="X106" s="4" t="s">
        <v>86</v>
      </c>
      <c r="Y106" s="4" t="s">
        <v>87</v>
      </c>
      <c r="Z106" s="4" t="s">
        <v>88</v>
      </c>
      <c r="AA106" s="4" t="s">
        <v>89</v>
      </c>
      <c r="AB106" s="4" t="s">
        <v>85</v>
      </c>
      <c r="AC106" s="4" t="s">
        <v>98</v>
      </c>
      <c r="AD106" s="4" t="s">
        <v>85</v>
      </c>
      <c r="AE106" s="4" t="s">
        <v>85</v>
      </c>
      <c r="AF106" s="4" t="s">
        <v>91</v>
      </c>
      <c r="AG106" s="4" t="s">
        <v>85</v>
      </c>
      <c r="AH106" s="4" t="s">
        <v>91</v>
      </c>
      <c r="AI106" s="5">
        <v>2808</v>
      </c>
      <c r="AJ106" s="4" t="s">
        <v>219</v>
      </c>
      <c r="AK106" s="4" t="s">
        <v>219</v>
      </c>
      <c r="AL106" s="5">
        <v>2808</v>
      </c>
      <c r="AM106" s="4" t="s">
        <v>87</v>
      </c>
      <c r="AN106" s="4" t="s">
        <v>85</v>
      </c>
      <c r="AO106" s="4" t="s">
        <v>85</v>
      </c>
      <c r="AP106" s="4" t="s">
        <v>118</v>
      </c>
      <c r="AQ106" s="4" t="s">
        <v>85</v>
      </c>
      <c r="AR106" s="4" t="s">
        <v>85</v>
      </c>
      <c r="AS106" s="6">
        <v>0</v>
      </c>
      <c r="AT106" s="6">
        <v>0</v>
      </c>
      <c r="AU106" s="4" t="s">
        <v>91</v>
      </c>
      <c r="AV106" s="4" t="s">
        <v>85</v>
      </c>
      <c r="AW106" s="4" t="s">
        <v>91</v>
      </c>
      <c r="AX106" s="4" t="s">
        <v>91</v>
      </c>
      <c r="AY106" s="4" t="s">
        <v>85</v>
      </c>
      <c r="AZ106" s="4" t="s">
        <v>93</v>
      </c>
      <c r="BA106" s="4" t="s">
        <v>85</v>
      </c>
      <c r="BB106" s="4" t="s">
        <v>85</v>
      </c>
      <c r="BC106" s="4" t="s">
        <v>91</v>
      </c>
      <c r="BD106" s="4" t="s">
        <v>219</v>
      </c>
      <c r="BE106" s="4" t="s">
        <v>300</v>
      </c>
      <c r="BF106" s="4" t="s">
        <v>85</v>
      </c>
      <c r="BG106" s="4" t="s">
        <v>85</v>
      </c>
      <c r="BH106" s="4" t="s">
        <v>85</v>
      </c>
      <c r="BI106" s="4" t="s">
        <v>91</v>
      </c>
      <c r="BJ106" s="4" t="s">
        <v>91</v>
      </c>
      <c r="BK106" s="4" t="s">
        <v>85</v>
      </c>
      <c r="BL106" s="4" t="s">
        <v>85</v>
      </c>
      <c r="BM106" s="4" t="s">
        <v>95</v>
      </c>
      <c r="BN106" s="4" t="s">
        <v>96</v>
      </c>
      <c r="BO106" s="6">
        <v>0</v>
      </c>
      <c r="BP106" s="4" t="s">
        <v>85</v>
      </c>
      <c r="BQ106" s="4" t="s">
        <v>85</v>
      </c>
      <c r="BR106" s="4" t="s">
        <v>91</v>
      </c>
      <c r="BS106" s="4" t="s">
        <v>85</v>
      </c>
      <c r="BT106" s="26" t="s">
        <v>388</v>
      </c>
      <c r="BU106" s="26" t="s">
        <v>1281</v>
      </c>
      <c r="BV106" s="26" t="s">
        <v>1260</v>
      </c>
      <c r="BW106" s="19" t="s">
        <v>1282</v>
      </c>
      <c r="BX106" s="19" t="s">
        <v>1280</v>
      </c>
      <c r="BY106" s="19"/>
    </row>
    <row r="107" spans="1:78">
      <c r="A107" s="24">
        <v>46140</v>
      </c>
      <c r="B107" s="24">
        <v>46140</v>
      </c>
      <c r="C107" s="3">
        <v>0.71762731481481001</v>
      </c>
      <c r="D107" s="4" t="s">
        <v>136</v>
      </c>
      <c r="E107" s="24">
        <v>46140</v>
      </c>
      <c r="F107" s="26" t="s">
        <v>354</v>
      </c>
      <c r="G107" s="26" t="s">
        <v>75</v>
      </c>
      <c r="H107" s="26" t="s">
        <v>76</v>
      </c>
      <c r="I107" s="4" t="s">
        <v>355</v>
      </c>
      <c r="J107" s="26">
        <v>1219000754</v>
      </c>
      <c r="K107" s="26" t="str">
        <f>VLOOKUP(J:J,'[2]Inventory Codes'!$B:$D,3,0)</f>
        <v>CC</v>
      </c>
      <c r="L107" s="26" t="s">
        <v>139</v>
      </c>
      <c r="M107" s="27">
        <v>228</v>
      </c>
      <c r="N107" s="26" t="s">
        <v>79</v>
      </c>
      <c r="O107" s="26" t="s">
        <v>293</v>
      </c>
      <c r="P107" s="26" t="s">
        <v>85</v>
      </c>
      <c r="Q107" s="5">
        <v>228</v>
      </c>
      <c r="R107" s="4" t="s">
        <v>85</v>
      </c>
      <c r="S107" s="4" t="s">
        <v>122</v>
      </c>
      <c r="T107" s="83" t="s">
        <v>84</v>
      </c>
      <c r="U107" s="6">
        <v>165240.72</v>
      </c>
      <c r="V107" s="4" t="s">
        <v>85</v>
      </c>
      <c r="W107" s="4" t="s">
        <v>85</v>
      </c>
      <c r="X107" s="4" t="s">
        <v>86</v>
      </c>
      <c r="Y107" s="4" t="s">
        <v>87</v>
      </c>
      <c r="Z107" s="4" t="s">
        <v>88</v>
      </c>
      <c r="AA107" s="4" t="s">
        <v>89</v>
      </c>
      <c r="AB107" s="4" t="s">
        <v>85</v>
      </c>
      <c r="AC107" s="4" t="s">
        <v>98</v>
      </c>
      <c r="AD107" s="4" t="s">
        <v>85</v>
      </c>
      <c r="AE107" s="4" t="s">
        <v>85</v>
      </c>
      <c r="AF107" s="4" t="s">
        <v>91</v>
      </c>
      <c r="AG107" s="4" t="s">
        <v>85</v>
      </c>
      <c r="AH107" s="4" t="s">
        <v>91</v>
      </c>
      <c r="AI107" s="5">
        <v>228</v>
      </c>
      <c r="AJ107" s="4" t="s">
        <v>79</v>
      </c>
      <c r="AK107" s="4" t="s">
        <v>79</v>
      </c>
      <c r="AL107" s="5">
        <v>228</v>
      </c>
      <c r="AM107" s="4" t="s">
        <v>87</v>
      </c>
      <c r="AN107" s="4" t="s">
        <v>85</v>
      </c>
      <c r="AO107" s="4" t="s">
        <v>85</v>
      </c>
      <c r="AP107" s="4" t="s">
        <v>107</v>
      </c>
      <c r="AQ107" s="4" t="s">
        <v>85</v>
      </c>
      <c r="AR107" s="4" t="s">
        <v>85</v>
      </c>
      <c r="AS107" s="6">
        <v>0</v>
      </c>
      <c r="AT107" s="6">
        <v>0</v>
      </c>
      <c r="AU107" s="4" t="s">
        <v>91</v>
      </c>
      <c r="AV107" s="4" t="s">
        <v>85</v>
      </c>
      <c r="AW107" s="4" t="s">
        <v>91</v>
      </c>
      <c r="AX107" s="4" t="s">
        <v>91</v>
      </c>
      <c r="AY107" s="4" t="s">
        <v>85</v>
      </c>
      <c r="AZ107" s="4" t="s">
        <v>93</v>
      </c>
      <c r="BA107" s="4" t="s">
        <v>85</v>
      </c>
      <c r="BB107" s="4" t="s">
        <v>85</v>
      </c>
      <c r="BC107" s="4" t="s">
        <v>91</v>
      </c>
      <c r="BD107" s="4" t="s">
        <v>79</v>
      </c>
      <c r="BE107" s="4" t="s">
        <v>300</v>
      </c>
      <c r="BF107" s="4" t="s">
        <v>85</v>
      </c>
      <c r="BG107" s="4" t="s">
        <v>85</v>
      </c>
      <c r="BH107" s="4" t="s">
        <v>85</v>
      </c>
      <c r="BI107" s="4" t="s">
        <v>91</v>
      </c>
      <c r="BJ107" s="4" t="s">
        <v>91</v>
      </c>
      <c r="BK107" s="4" t="s">
        <v>85</v>
      </c>
      <c r="BL107" s="4" t="s">
        <v>85</v>
      </c>
      <c r="BM107" s="4" t="s">
        <v>95</v>
      </c>
      <c r="BN107" s="4" t="s">
        <v>96</v>
      </c>
      <c r="BO107" s="6">
        <v>0</v>
      </c>
      <c r="BP107" s="4" t="s">
        <v>85</v>
      </c>
      <c r="BQ107" s="4" t="s">
        <v>85</v>
      </c>
      <c r="BR107" s="4" t="s">
        <v>91</v>
      </c>
      <c r="BS107" s="4" t="s">
        <v>85</v>
      </c>
      <c r="BT107" s="26" t="s">
        <v>388</v>
      </c>
      <c r="BU107" s="26" t="s">
        <v>1284</v>
      </c>
      <c r="BV107" s="26" t="s">
        <v>1260</v>
      </c>
      <c r="BW107" s="19" t="s">
        <v>1285</v>
      </c>
      <c r="BX107" s="19" t="s">
        <v>1283</v>
      </c>
      <c r="BY107" s="19"/>
    </row>
    <row r="108" spans="1:78">
      <c r="A108" s="24">
        <v>46140</v>
      </c>
      <c r="B108" s="24">
        <v>46140</v>
      </c>
      <c r="C108" s="3">
        <v>0.71762731481481001</v>
      </c>
      <c r="D108" s="4" t="s">
        <v>136</v>
      </c>
      <c r="E108" s="24">
        <v>46140</v>
      </c>
      <c r="F108" s="26" t="s">
        <v>354</v>
      </c>
      <c r="G108" s="26" t="s">
        <v>75</v>
      </c>
      <c r="H108" s="26" t="s">
        <v>76</v>
      </c>
      <c r="I108" s="4" t="s">
        <v>355</v>
      </c>
      <c r="J108" s="26">
        <v>1219000754</v>
      </c>
      <c r="K108" s="26" t="str">
        <f>VLOOKUP(J:J,'[2]Inventory Codes'!$B:$D,3,0)</f>
        <v>CC</v>
      </c>
      <c r="L108" s="26" t="s">
        <v>139</v>
      </c>
      <c r="M108" s="27">
        <v>42540</v>
      </c>
      <c r="N108" s="26" t="s">
        <v>79</v>
      </c>
      <c r="O108" s="26" t="s">
        <v>356</v>
      </c>
      <c r="P108" s="26" t="s">
        <v>85</v>
      </c>
      <c r="Q108" s="5">
        <v>42540</v>
      </c>
      <c r="R108" s="4" t="s">
        <v>85</v>
      </c>
      <c r="S108" s="4" t="s">
        <v>122</v>
      </c>
      <c r="T108" s="83" t="s">
        <v>84</v>
      </c>
      <c r="U108" s="6">
        <v>30830439.600000001</v>
      </c>
      <c r="V108" s="4" t="s">
        <v>85</v>
      </c>
      <c r="W108" s="4" t="s">
        <v>85</v>
      </c>
      <c r="X108" s="4" t="s">
        <v>86</v>
      </c>
      <c r="Y108" s="4" t="s">
        <v>87</v>
      </c>
      <c r="Z108" s="4" t="s">
        <v>88</v>
      </c>
      <c r="AA108" s="4" t="s">
        <v>89</v>
      </c>
      <c r="AB108" s="4" t="s">
        <v>85</v>
      </c>
      <c r="AC108" s="4" t="s">
        <v>90</v>
      </c>
      <c r="AD108" s="4" t="s">
        <v>85</v>
      </c>
      <c r="AE108" s="4" t="s">
        <v>85</v>
      </c>
      <c r="AF108" s="4" t="s">
        <v>91</v>
      </c>
      <c r="AG108" s="4" t="s">
        <v>85</v>
      </c>
      <c r="AH108" s="4" t="s">
        <v>91</v>
      </c>
      <c r="AI108" s="5">
        <v>42540</v>
      </c>
      <c r="AJ108" s="4" t="s">
        <v>79</v>
      </c>
      <c r="AK108" s="4" t="s">
        <v>79</v>
      </c>
      <c r="AL108" s="5">
        <v>42540</v>
      </c>
      <c r="AM108" s="4" t="s">
        <v>87</v>
      </c>
      <c r="AN108" s="4" t="s">
        <v>85</v>
      </c>
      <c r="AO108" s="4" t="s">
        <v>85</v>
      </c>
      <c r="AP108" s="4" t="s">
        <v>107</v>
      </c>
      <c r="AQ108" s="4" t="s">
        <v>85</v>
      </c>
      <c r="AR108" s="4" t="s">
        <v>85</v>
      </c>
      <c r="AS108" s="6">
        <v>0</v>
      </c>
      <c r="AT108" s="6">
        <v>0</v>
      </c>
      <c r="AU108" s="4" t="s">
        <v>91</v>
      </c>
      <c r="AV108" s="4" t="s">
        <v>85</v>
      </c>
      <c r="AW108" s="4" t="s">
        <v>91</v>
      </c>
      <c r="AX108" s="4" t="s">
        <v>91</v>
      </c>
      <c r="AY108" s="4" t="s">
        <v>85</v>
      </c>
      <c r="AZ108" s="4" t="s">
        <v>93</v>
      </c>
      <c r="BA108" s="4" t="s">
        <v>85</v>
      </c>
      <c r="BB108" s="4" t="s">
        <v>85</v>
      </c>
      <c r="BC108" s="4" t="s">
        <v>91</v>
      </c>
      <c r="BD108" s="4" t="s">
        <v>79</v>
      </c>
      <c r="BE108" s="4" t="s">
        <v>300</v>
      </c>
      <c r="BF108" s="4" t="s">
        <v>85</v>
      </c>
      <c r="BG108" s="4" t="s">
        <v>85</v>
      </c>
      <c r="BH108" s="4" t="s">
        <v>85</v>
      </c>
      <c r="BI108" s="4" t="s">
        <v>91</v>
      </c>
      <c r="BJ108" s="4" t="s">
        <v>91</v>
      </c>
      <c r="BK108" s="4" t="s">
        <v>85</v>
      </c>
      <c r="BL108" s="4" t="s">
        <v>85</v>
      </c>
      <c r="BM108" s="4" t="s">
        <v>95</v>
      </c>
      <c r="BN108" s="4" t="s">
        <v>96</v>
      </c>
      <c r="BO108" s="6">
        <v>0</v>
      </c>
      <c r="BP108" s="4" t="s">
        <v>85</v>
      </c>
      <c r="BQ108" s="4" t="s">
        <v>85</v>
      </c>
      <c r="BR108" s="4" t="s">
        <v>91</v>
      </c>
      <c r="BS108" s="4" t="s">
        <v>85</v>
      </c>
      <c r="BT108" s="26" t="s">
        <v>388</v>
      </c>
      <c r="BU108" s="26" t="s">
        <v>1284</v>
      </c>
      <c r="BV108" s="26" t="s">
        <v>1260</v>
      </c>
      <c r="BW108" s="19" t="s">
        <v>1285</v>
      </c>
      <c r="BX108" s="19" t="s">
        <v>1283</v>
      </c>
      <c r="BY108" s="19"/>
    </row>
    <row r="109" spans="1:78">
      <c r="A109" s="14">
        <v>46151</v>
      </c>
      <c r="B109" s="14">
        <v>46151</v>
      </c>
      <c r="C109" s="15">
        <v>0.56138888888889005</v>
      </c>
      <c r="D109" s="16" t="s">
        <v>136</v>
      </c>
      <c r="E109" s="14">
        <v>46151</v>
      </c>
      <c r="F109" s="16" t="s">
        <v>1324</v>
      </c>
      <c r="G109" s="16" t="s">
        <v>75</v>
      </c>
      <c r="H109" s="16" t="s">
        <v>76</v>
      </c>
      <c r="I109" s="16" t="s">
        <v>1335</v>
      </c>
      <c r="J109" s="16" t="s">
        <v>577</v>
      </c>
      <c r="K109" s="86"/>
      <c r="L109" s="16" t="s">
        <v>139</v>
      </c>
      <c r="M109" s="17">
        <v>19768</v>
      </c>
      <c r="N109" s="86"/>
      <c r="O109" s="16" t="s">
        <v>1302</v>
      </c>
      <c r="P109" s="16" t="s">
        <v>1324</v>
      </c>
      <c r="Q109" s="17">
        <v>19768</v>
      </c>
      <c r="R109" s="16" t="s">
        <v>1324</v>
      </c>
      <c r="S109" s="16" t="s">
        <v>83</v>
      </c>
      <c r="T109" s="16" t="s">
        <v>106</v>
      </c>
      <c r="U109" s="28">
        <v>15515310.16</v>
      </c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 t="s">
        <v>388</v>
      </c>
      <c r="BU109" s="19" t="s">
        <v>1351</v>
      </c>
      <c r="BV109" s="26" t="s">
        <v>1260</v>
      </c>
      <c r="BW109" s="19" t="s">
        <v>1352</v>
      </c>
      <c r="BX109" s="19" t="s">
        <v>1350</v>
      </c>
      <c r="BY109" s="19"/>
    </row>
    <row r="110" spans="1:78">
      <c r="A110" s="14">
        <v>46151</v>
      </c>
      <c r="B110" s="14">
        <v>46151</v>
      </c>
      <c r="C110" s="15">
        <v>0.56138888888889005</v>
      </c>
      <c r="D110" s="16" t="s">
        <v>136</v>
      </c>
      <c r="E110" s="14">
        <v>46151</v>
      </c>
      <c r="F110" s="16" t="s">
        <v>1324</v>
      </c>
      <c r="G110" s="16" t="s">
        <v>75</v>
      </c>
      <c r="H110" s="16" t="s">
        <v>76</v>
      </c>
      <c r="I110" s="16" t="s">
        <v>1335</v>
      </c>
      <c r="J110" s="16" t="s">
        <v>577</v>
      </c>
      <c r="K110" s="86"/>
      <c r="L110" s="16" t="s">
        <v>139</v>
      </c>
      <c r="M110" s="17">
        <v>17187</v>
      </c>
      <c r="N110" s="86"/>
      <c r="O110" s="16" t="s">
        <v>1301</v>
      </c>
      <c r="P110" s="16" t="s">
        <v>1324</v>
      </c>
      <c r="Q110" s="17">
        <v>17187</v>
      </c>
      <c r="R110" s="16" t="s">
        <v>1324</v>
      </c>
      <c r="S110" s="16" t="s">
        <v>83</v>
      </c>
      <c r="T110" s="16" t="s">
        <v>106</v>
      </c>
      <c r="U110" s="28">
        <v>13489560.689999999</v>
      </c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 t="s">
        <v>388</v>
      </c>
      <c r="BU110" s="19" t="s">
        <v>1351</v>
      </c>
      <c r="BV110" s="26" t="s">
        <v>1260</v>
      </c>
      <c r="BW110" s="19" t="s">
        <v>1352</v>
      </c>
      <c r="BX110" s="19" t="s">
        <v>1350</v>
      </c>
      <c r="BY110" s="19"/>
    </row>
    <row r="111" spans="1:78">
      <c r="A111" s="14">
        <v>46151</v>
      </c>
      <c r="B111" s="14">
        <v>46151</v>
      </c>
      <c r="C111" s="15">
        <v>0.56138888888889005</v>
      </c>
      <c r="D111" s="16" t="s">
        <v>136</v>
      </c>
      <c r="E111" s="14">
        <v>46151</v>
      </c>
      <c r="F111" s="16" t="s">
        <v>1324</v>
      </c>
      <c r="G111" s="16" t="s">
        <v>75</v>
      </c>
      <c r="H111" s="16" t="s">
        <v>76</v>
      </c>
      <c r="I111" s="16" t="s">
        <v>1335</v>
      </c>
      <c r="J111" s="16" t="s">
        <v>577</v>
      </c>
      <c r="K111" s="86"/>
      <c r="L111" s="16" t="s">
        <v>139</v>
      </c>
      <c r="M111" s="17">
        <v>5813</v>
      </c>
      <c r="N111" s="86"/>
      <c r="O111" s="16" t="s">
        <v>1300</v>
      </c>
      <c r="P111" s="16" t="s">
        <v>1324</v>
      </c>
      <c r="Q111" s="17">
        <v>5813</v>
      </c>
      <c r="R111" s="16" t="s">
        <v>1324</v>
      </c>
      <c r="S111" s="16" t="s">
        <v>83</v>
      </c>
      <c r="T111" s="16" t="s">
        <v>106</v>
      </c>
      <c r="U111" s="28">
        <v>4562449.3099999996</v>
      </c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 t="s">
        <v>388</v>
      </c>
      <c r="BU111" s="19" t="s">
        <v>1351</v>
      </c>
      <c r="BV111" s="26" t="s">
        <v>1260</v>
      </c>
      <c r="BW111" s="19" t="s">
        <v>1352</v>
      </c>
      <c r="BX111" s="19" t="s">
        <v>1350</v>
      </c>
      <c r="BY111" s="19"/>
    </row>
    <row r="112" spans="1:78">
      <c r="A112" s="14">
        <v>46160</v>
      </c>
      <c r="B112" s="14">
        <v>46160</v>
      </c>
      <c r="C112" s="15">
        <v>0.54964120370369995</v>
      </c>
      <c r="D112" s="16" t="s">
        <v>136</v>
      </c>
      <c r="E112" s="14">
        <v>46160</v>
      </c>
      <c r="F112" s="16" t="s">
        <v>1325</v>
      </c>
      <c r="G112" s="16" t="s">
        <v>75</v>
      </c>
      <c r="H112" s="16" t="s">
        <v>76</v>
      </c>
      <c r="I112" s="16" t="s">
        <v>1336</v>
      </c>
      <c r="J112" s="16" t="s">
        <v>577</v>
      </c>
      <c r="K112" s="86"/>
      <c r="L112" s="16" t="s">
        <v>139</v>
      </c>
      <c r="M112" s="17">
        <v>51769</v>
      </c>
      <c r="N112" s="86"/>
      <c r="O112" s="16" t="s">
        <v>1303</v>
      </c>
      <c r="P112" s="16" t="s">
        <v>1325</v>
      </c>
      <c r="Q112" s="17">
        <v>51769</v>
      </c>
      <c r="R112" s="16" t="s">
        <v>1325</v>
      </c>
      <c r="S112" s="16" t="s">
        <v>83</v>
      </c>
      <c r="T112" s="16" t="s">
        <v>574</v>
      </c>
      <c r="U112" s="28">
        <v>40631935.030000001</v>
      </c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 t="s">
        <v>388</v>
      </c>
      <c r="BU112" s="19" t="s">
        <v>1354</v>
      </c>
      <c r="BV112" s="26" t="s">
        <v>1260</v>
      </c>
      <c r="BW112" s="19" t="s">
        <v>1355</v>
      </c>
      <c r="BX112" s="19" t="s">
        <v>1353</v>
      </c>
      <c r="BY112" s="19"/>
    </row>
    <row r="113" spans="1:78">
      <c r="A113" s="14">
        <v>46160</v>
      </c>
      <c r="B113" s="14">
        <v>46160</v>
      </c>
      <c r="C113" s="15">
        <v>0.54964120370369995</v>
      </c>
      <c r="D113" s="16" t="s">
        <v>136</v>
      </c>
      <c r="E113" s="14">
        <v>46160</v>
      </c>
      <c r="F113" s="16" t="s">
        <v>1325</v>
      </c>
      <c r="G113" s="16" t="s">
        <v>75</v>
      </c>
      <c r="H113" s="16" t="s">
        <v>76</v>
      </c>
      <c r="I113" s="16" t="s">
        <v>1336</v>
      </c>
      <c r="J113" s="16" t="s">
        <v>577</v>
      </c>
      <c r="K113" s="86"/>
      <c r="L113" s="16" t="s">
        <v>139</v>
      </c>
      <c r="M113" s="17">
        <v>52093</v>
      </c>
      <c r="N113" s="86"/>
      <c r="O113" s="16" t="s">
        <v>1305</v>
      </c>
      <c r="P113" s="16" t="s">
        <v>1325</v>
      </c>
      <c r="Q113" s="17">
        <v>52093</v>
      </c>
      <c r="R113" s="16" t="s">
        <v>1325</v>
      </c>
      <c r="S113" s="16" t="s">
        <v>83</v>
      </c>
      <c r="T113" s="16" t="s">
        <v>574</v>
      </c>
      <c r="U113" s="28">
        <v>40886232.909999996</v>
      </c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 t="s">
        <v>388</v>
      </c>
      <c r="BU113" s="19" t="s">
        <v>1354</v>
      </c>
      <c r="BV113" s="26" t="s">
        <v>1260</v>
      </c>
      <c r="BW113" s="19" t="s">
        <v>1355</v>
      </c>
      <c r="BX113" s="19" t="s">
        <v>1353</v>
      </c>
      <c r="BY113" s="19"/>
    </row>
    <row r="114" spans="1:78">
      <c r="A114" s="14">
        <v>46160</v>
      </c>
      <c r="B114" s="14">
        <v>46160</v>
      </c>
      <c r="C114" s="15">
        <v>0.54964120370369995</v>
      </c>
      <c r="D114" s="16" t="s">
        <v>136</v>
      </c>
      <c r="E114" s="14">
        <v>46160</v>
      </c>
      <c r="F114" s="16" t="s">
        <v>1325</v>
      </c>
      <c r="G114" s="16" t="s">
        <v>75</v>
      </c>
      <c r="H114" s="16" t="s">
        <v>76</v>
      </c>
      <c r="I114" s="16" t="s">
        <v>1336</v>
      </c>
      <c r="J114" s="16" t="s">
        <v>577</v>
      </c>
      <c r="K114" s="86"/>
      <c r="L114" s="16" t="s">
        <v>139</v>
      </c>
      <c r="M114" s="17">
        <v>51863</v>
      </c>
      <c r="N114" s="86"/>
      <c r="O114" s="16" t="s">
        <v>1306</v>
      </c>
      <c r="P114" s="16" t="s">
        <v>1325</v>
      </c>
      <c r="Q114" s="17">
        <v>51863</v>
      </c>
      <c r="R114" s="16" t="s">
        <v>1325</v>
      </c>
      <c r="S114" s="16" t="s">
        <v>83</v>
      </c>
      <c r="T114" s="16" t="s">
        <v>574</v>
      </c>
      <c r="U114" s="28">
        <v>40705712.810000002</v>
      </c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 t="s">
        <v>388</v>
      </c>
      <c r="BU114" s="19" t="s">
        <v>1354</v>
      </c>
      <c r="BV114" s="26" t="s">
        <v>1260</v>
      </c>
      <c r="BW114" s="19" t="s">
        <v>1355</v>
      </c>
      <c r="BX114" s="19" t="s">
        <v>1353</v>
      </c>
      <c r="BY114" s="19"/>
    </row>
    <row r="115" spans="1:78">
      <c r="A115" s="14">
        <v>46160</v>
      </c>
      <c r="B115" s="14">
        <v>46160</v>
      </c>
      <c r="C115" s="15">
        <v>0.54964120370369995</v>
      </c>
      <c r="D115" s="16" t="s">
        <v>136</v>
      </c>
      <c r="E115" s="14">
        <v>46160</v>
      </c>
      <c r="F115" s="16" t="s">
        <v>1325</v>
      </c>
      <c r="G115" s="16" t="s">
        <v>75</v>
      </c>
      <c r="H115" s="16" t="s">
        <v>76</v>
      </c>
      <c r="I115" s="16" t="s">
        <v>1336</v>
      </c>
      <c r="J115" s="16" t="s">
        <v>577</v>
      </c>
      <c r="K115" s="86"/>
      <c r="L115" s="16" t="s">
        <v>139</v>
      </c>
      <c r="M115" s="17">
        <v>24223</v>
      </c>
      <c r="N115" s="86"/>
      <c r="O115" s="16" t="s">
        <v>1300</v>
      </c>
      <c r="P115" s="16" t="s">
        <v>1325</v>
      </c>
      <c r="Q115" s="17">
        <v>24223</v>
      </c>
      <c r="R115" s="16" t="s">
        <v>1325</v>
      </c>
      <c r="S115" s="16" t="s">
        <v>83</v>
      </c>
      <c r="T115" s="16" t="s">
        <v>574</v>
      </c>
      <c r="U115" s="28">
        <v>19011906.010000002</v>
      </c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 t="s">
        <v>388</v>
      </c>
      <c r="BU115" s="19" t="s">
        <v>1354</v>
      </c>
      <c r="BV115" s="26" t="s">
        <v>1260</v>
      </c>
      <c r="BW115" s="19" t="s">
        <v>1355</v>
      </c>
      <c r="BX115" s="19" t="s">
        <v>1353</v>
      </c>
      <c r="BY115" s="19"/>
    </row>
    <row r="116" spans="1:78">
      <c r="A116" s="14">
        <v>46160</v>
      </c>
      <c r="B116" s="14">
        <v>46160</v>
      </c>
      <c r="C116" s="15">
        <v>0.54964120370369995</v>
      </c>
      <c r="D116" s="16" t="s">
        <v>136</v>
      </c>
      <c r="E116" s="14">
        <v>46160</v>
      </c>
      <c r="F116" s="16" t="s">
        <v>1325</v>
      </c>
      <c r="G116" s="16" t="s">
        <v>75</v>
      </c>
      <c r="H116" s="16" t="s">
        <v>76</v>
      </c>
      <c r="I116" s="16" t="s">
        <v>1336</v>
      </c>
      <c r="J116" s="16" t="s">
        <v>577</v>
      </c>
      <c r="K116" s="86"/>
      <c r="L116" s="16" t="s">
        <v>139</v>
      </c>
      <c r="M116" s="17">
        <v>33892</v>
      </c>
      <c r="N116" s="86"/>
      <c r="O116" s="16" t="s">
        <v>1304</v>
      </c>
      <c r="P116" s="16" t="s">
        <v>1325</v>
      </c>
      <c r="Q116" s="17">
        <v>33892</v>
      </c>
      <c r="R116" s="16" t="s">
        <v>1325</v>
      </c>
      <c r="S116" s="16" t="s">
        <v>83</v>
      </c>
      <c r="T116" s="16" t="s">
        <v>574</v>
      </c>
      <c r="U116" s="28">
        <v>26600814.039999999</v>
      </c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 t="s">
        <v>388</v>
      </c>
      <c r="BU116" s="19" t="s">
        <v>1354</v>
      </c>
      <c r="BV116" s="26" t="s">
        <v>1260</v>
      </c>
      <c r="BW116" s="19" t="s">
        <v>1355</v>
      </c>
      <c r="BX116" s="19" t="s">
        <v>1353</v>
      </c>
      <c r="BY116" s="19"/>
    </row>
    <row r="117" spans="1:78">
      <c r="A117" s="8">
        <v>46164</v>
      </c>
      <c r="B117" s="8">
        <v>46164</v>
      </c>
      <c r="C117" s="9">
        <v>0.43579861111111001</v>
      </c>
      <c r="D117" s="10" t="s">
        <v>183</v>
      </c>
      <c r="E117" s="8">
        <v>46164</v>
      </c>
      <c r="F117" s="10" t="s">
        <v>1326</v>
      </c>
      <c r="G117" s="10" t="s">
        <v>185</v>
      </c>
      <c r="H117" s="10" t="s">
        <v>76</v>
      </c>
      <c r="I117" s="10" t="s">
        <v>1337</v>
      </c>
      <c r="J117" s="10" t="s">
        <v>641</v>
      </c>
      <c r="K117" s="38"/>
      <c r="L117" s="10" t="s">
        <v>187</v>
      </c>
      <c r="M117" s="11">
        <v>5000</v>
      </c>
      <c r="N117" s="38"/>
      <c r="O117" s="10" t="s">
        <v>1345</v>
      </c>
      <c r="P117" s="10" t="s">
        <v>1326</v>
      </c>
      <c r="Q117" s="11">
        <v>5000</v>
      </c>
      <c r="R117" s="10" t="s">
        <v>1326</v>
      </c>
      <c r="S117" s="10" t="s">
        <v>83</v>
      </c>
      <c r="T117" s="10" t="s">
        <v>84</v>
      </c>
      <c r="U117" s="87">
        <v>850000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38" t="s">
        <v>1279</v>
      </c>
    </row>
    <row r="118" spans="1:78">
      <c r="A118" s="14">
        <v>46168</v>
      </c>
      <c r="B118" s="14">
        <v>46168</v>
      </c>
      <c r="C118" s="15">
        <v>2.8356481481500002E-3</v>
      </c>
      <c r="D118" s="16" t="s">
        <v>136</v>
      </c>
      <c r="E118" s="14">
        <v>46168</v>
      </c>
      <c r="F118" s="16" t="s">
        <v>1327</v>
      </c>
      <c r="G118" s="16" t="s">
        <v>75</v>
      </c>
      <c r="H118" s="16" t="s">
        <v>76</v>
      </c>
      <c r="I118" s="16" t="s">
        <v>1338</v>
      </c>
      <c r="J118" s="16" t="s">
        <v>577</v>
      </c>
      <c r="K118" s="86"/>
      <c r="L118" s="16" t="s">
        <v>139</v>
      </c>
      <c r="M118" s="17">
        <v>28340</v>
      </c>
      <c r="N118" s="86"/>
      <c r="O118" s="16" t="s">
        <v>1308</v>
      </c>
      <c r="P118" s="16" t="s">
        <v>1346</v>
      </c>
      <c r="Q118" s="17">
        <v>28340</v>
      </c>
      <c r="R118" s="16" t="s">
        <v>1349</v>
      </c>
      <c r="S118" s="16" t="s">
        <v>83</v>
      </c>
      <c r="T118" s="16" t="s">
        <v>574</v>
      </c>
      <c r="U118" s="28">
        <v>22243215.800000001</v>
      </c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 t="s">
        <v>388</v>
      </c>
      <c r="BU118" s="19" t="s">
        <v>1357</v>
      </c>
      <c r="BV118" s="26" t="s">
        <v>1260</v>
      </c>
      <c r="BW118" s="19" t="s">
        <v>1358</v>
      </c>
      <c r="BX118" s="19" t="s">
        <v>1356</v>
      </c>
      <c r="BY118" s="19"/>
    </row>
    <row r="119" spans="1:78">
      <c r="A119" s="14">
        <v>46168</v>
      </c>
      <c r="B119" s="14">
        <v>46168</v>
      </c>
      <c r="C119" s="15">
        <v>2.8356481481500002E-3</v>
      </c>
      <c r="D119" s="16" t="s">
        <v>136</v>
      </c>
      <c r="E119" s="14">
        <v>46168</v>
      </c>
      <c r="F119" s="16" t="s">
        <v>1327</v>
      </c>
      <c r="G119" s="16" t="s">
        <v>75</v>
      </c>
      <c r="H119" s="16" t="s">
        <v>76</v>
      </c>
      <c r="I119" s="16" t="s">
        <v>1338</v>
      </c>
      <c r="J119" s="16" t="s">
        <v>577</v>
      </c>
      <c r="K119" s="86"/>
      <c r="L119" s="16" t="s">
        <v>139</v>
      </c>
      <c r="M119" s="17">
        <v>14428</v>
      </c>
      <c r="N119" s="86"/>
      <c r="O119" s="16" t="s">
        <v>1302</v>
      </c>
      <c r="P119" s="16" t="s">
        <v>1346</v>
      </c>
      <c r="Q119" s="17">
        <v>14428</v>
      </c>
      <c r="R119" s="16" t="s">
        <v>1349</v>
      </c>
      <c r="S119" s="16" t="s">
        <v>83</v>
      </c>
      <c r="T119" s="16" t="s">
        <v>574</v>
      </c>
      <c r="U119" s="28">
        <v>11324104.359999999</v>
      </c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 t="s">
        <v>388</v>
      </c>
      <c r="BU119" s="19" t="s">
        <v>1357</v>
      </c>
      <c r="BV119" s="26" t="s">
        <v>1260</v>
      </c>
      <c r="BW119" s="19" t="s">
        <v>1358</v>
      </c>
      <c r="BX119" s="19" t="s">
        <v>1356</v>
      </c>
      <c r="BY119" s="19"/>
    </row>
    <row r="120" spans="1:78">
      <c r="A120" s="14">
        <v>46168</v>
      </c>
      <c r="B120" s="14">
        <v>46168</v>
      </c>
      <c r="C120" s="15">
        <v>4.8379629629600003E-3</v>
      </c>
      <c r="D120" s="16" t="s">
        <v>136</v>
      </c>
      <c r="E120" s="14">
        <v>46168</v>
      </c>
      <c r="F120" s="16" t="s">
        <v>1328</v>
      </c>
      <c r="G120" s="16" t="s">
        <v>75</v>
      </c>
      <c r="H120" s="16" t="s">
        <v>76</v>
      </c>
      <c r="I120" s="16" t="s">
        <v>1339</v>
      </c>
      <c r="J120" s="16" t="s">
        <v>577</v>
      </c>
      <c r="K120" s="86"/>
      <c r="L120" s="16" t="s">
        <v>139</v>
      </c>
      <c r="M120" s="17">
        <v>36717</v>
      </c>
      <c r="N120" s="86"/>
      <c r="O120" s="16" t="s">
        <v>1309</v>
      </c>
      <c r="P120" s="16" t="s">
        <v>1347</v>
      </c>
      <c r="Q120" s="17">
        <v>36717</v>
      </c>
      <c r="R120" s="16" t="s">
        <v>1349</v>
      </c>
      <c r="S120" s="16" t="s">
        <v>83</v>
      </c>
      <c r="T120" s="16" t="s">
        <v>574</v>
      </c>
      <c r="U120" s="28">
        <v>28818071.789999999</v>
      </c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 t="s">
        <v>388</v>
      </c>
      <c r="BU120" s="19" t="s">
        <v>1357</v>
      </c>
      <c r="BV120" s="26" t="s">
        <v>1260</v>
      </c>
      <c r="BW120" s="19" t="s">
        <v>1358</v>
      </c>
      <c r="BX120" s="19" t="s">
        <v>1356</v>
      </c>
      <c r="BY120" s="19"/>
    </row>
    <row r="121" spans="1:78">
      <c r="A121" s="14">
        <v>46168</v>
      </c>
      <c r="B121" s="14">
        <v>46168</v>
      </c>
      <c r="C121" s="15">
        <v>4.8379629629600003E-3</v>
      </c>
      <c r="D121" s="16" t="s">
        <v>136</v>
      </c>
      <c r="E121" s="14">
        <v>46168</v>
      </c>
      <c r="F121" s="16" t="s">
        <v>1328</v>
      </c>
      <c r="G121" s="16" t="s">
        <v>75</v>
      </c>
      <c r="H121" s="16" t="s">
        <v>76</v>
      </c>
      <c r="I121" s="16" t="s">
        <v>1339</v>
      </c>
      <c r="J121" s="16" t="s">
        <v>577</v>
      </c>
      <c r="K121" s="86"/>
      <c r="L121" s="16" t="s">
        <v>139</v>
      </c>
      <c r="M121" s="17">
        <v>6051</v>
      </c>
      <c r="N121" s="86"/>
      <c r="O121" s="16" t="s">
        <v>1308</v>
      </c>
      <c r="P121" s="16" t="s">
        <v>1347</v>
      </c>
      <c r="Q121" s="17">
        <v>6051</v>
      </c>
      <c r="R121" s="16" t="s">
        <v>1349</v>
      </c>
      <c r="S121" s="16" t="s">
        <v>83</v>
      </c>
      <c r="T121" s="16" t="s">
        <v>574</v>
      </c>
      <c r="U121" s="28">
        <v>4749248.37</v>
      </c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 t="s">
        <v>388</v>
      </c>
      <c r="BU121" s="19" t="s">
        <v>1357</v>
      </c>
      <c r="BV121" s="26" t="s">
        <v>1260</v>
      </c>
      <c r="BW121" s="19" t="s">
        <v>1358</v>
      </c>
      <c r="BX121" s="19" t="s">
        <v>1356</v>
      </c>
      <c r="BY121" s="19"/>
    </row>
    <row r="122" spans="1:78">
      <c r="A122" s="14">
        <v>46168</v>
      </c>
      <c r="B122" s="14">
        <v>46168</v>
      </c>
      <c r="C122" s="15">
        <v>6.4004629629599999E-3</v>
      </c>
      <c r="D122" s="16" t="s">
        <v>136</v>
      </c>
      <c r="E122" s="14">
        <v>46168</v>
      </c>
      <c r="F122" s="16" t="s">
        <v>1329</v>
      </c>
      <c r="G122" s="16" t="s">
        <v>75</v>
      </c>
      <c r="H122" s="16" t="s">
        <v>76</v>
      </c>
      <c r="I122" s="16" t="s">
        <v>1340</v>
      </c>
      <c r="J122" s="16" t="s">
        <v>577</v>
      </c>
      <c r="K122" s="86"/>
      <c r="L122" s="16" t="s">
        <v>139</v>
      </c>
      <c r="M122" s="17">
        <v>28758</v>
      </c>
      <c r="N122" s="86"/>
      <c r="O122" s="16" t="s">
        <v>1310</v>
      </c>
      <c r="P122" s="16" t="s">
        <v>1348</v>
      </c>
      <c r="Q122" s="17">
        <v>28758</v>
      </c>
      <c r="R122" s="16" t="s">
        <v>1349</v>
      </c>
      <c r="S122" s="16" t="s">
        <v>83</v>
      </c>
      <c r="T122" s="16" t="s">
        <v>574</v>
      </c>
      <c r="U122" s="28">
        <v>22571291.460000001</v>
      </c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 t="s">
        <v>388</v>
      </c>
      <c r="BU122" s="19" t="s">
        <v>1357</v>
      </c>
      <c r="BV122" s="26" t="s">
        <v>1260</v>
      </c>
      <c r="BW122" s="19" t="s">
        <v>1358</v>
      </c>
      <c r="BX122" s="19" t="s">
        <v>1356</v>
      </c>
      <c r="BY122" s="19"/>
    </row>
    <row r="123" spans="1:78">
      <c r="A123" s="14">
        <v>46168</v>
      </c>
      <c r="B123" s="14">
        <v>46168</v>
      </c>
      <c r="C123" s="15">
        <v>6.4004629629599999E-3</v>
      </c>
      <c r="D123" s="16" t="s">
        <v>136</v>
      </c>
      <c r="E123" s="14">
        <v>46168</v>
      </c>
      <c r="F123" s="16" t="s">
        <v>1329</v>
      </c>
      <c r="G123" s="16" t="s">
        <v>75</v>
      </c>
      <c r="H123" s="16" t="s">
        <v>76</v>
      </c>
      <c r="I123" s="16" t="s">
        <v>1340</v>
      </c>
      <c r="J123" s="16" t="s">
        <v>577</v>
      </c>
      <c r="K123" s="86"/>
      <c r="L123" s="16" t="s">
        <v>139</v>
      </c>
      <c r="M123" s="17">
        <v>14010</v>
      </c>
      <c r="N123" s="86"/>
      <c r="O123" s="16" t="s">
        <v>1309</v>
      </c>
      <c r="P123" s="16" t="s">
        <v>1348</v>
      </c>
      <c r="Q123" s="17">
        <v>14010</v>
      </c>
      <c r="R123" s="16" t="s">
        <v>1349</v>
      </c>
      <c r="S123" s="16" t="s">
        <v>83</v>
      </c>
      <c r="T123" s="16" t="s">
        <v>574</v>
      </c>
      <c r="U123" s="28">
        <v>10996028.699999999</v>
      </c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 t="s">
        <v>388</v>
      </c>
      <c r="BU123" s="19" t="s">
        <v>1357</v>
      </c>
      <c r="BV123" s="26" t="s">
        <v>1260</v>
      </c>
      <c r="BW123" s="19" t="s">
        <v>1358</v>
      </c>
      <c r="BX123" s="19" t="s">
        <v>1356</v>
      </c>
      <c r="BY123" s="19"/>
    </row>
    <row r="124" spans="1:78">
      <c r="A124" s="14">
        <v>46175</v>
      </c>
      <c r="B124" s="14">
        <v>46175</v>
      </c>
      <c r="C124" s="15">
        <v>0.40466435185185001</v>
      </c>
      <c r="D124" s="16" t="s">
        <v>136</v>
      </c>
      <c r="E124" s="14">
        <v>46175</v>
      </c>
      <c r="F124" s="16" t="s">
        <v>1330</v>
      </c>
      <c r="G124" s="16" t="s">
        <v>75</v>
      </c>
      <c r="H124" s="16" t="s">
        <v>76</v>
      </c>
      <c r="I124" s="16" t="s">
        <v>1341</v>
      </c>
      <c r="J124" s="16" t="s">
        <v>577</v>
      </c>
      <c r="K124" s="86"/>
      <c r="L124" s="16" t="s">
        <v>139</v>
      </c>
      <c r="M124" s="17">
        <v>37238</v>
      </c>
      <c r="N124" s="86"/>
      <c r="O124" s="16" t="s">
        <v>1311</v>
      </c>
      <c r="P124" s="16" t="s">
        <v>1330</v>
      </c>
      <c r="Q124" s="17">
        <v>37238</v>
      </c>
      <c r="R124" s="16" t="s">
        <v>1330</v>
      </c>
      <c r="S124" s="16" t="s">
        <v>83</v>
      </c>
      <c r="T124" s="16" t="s">
        <v>574</v>
      </c>
      <c r="U124" s="28">
        <v>26648629.940000001</v>
      </c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 t="s">
        <v>388</v>
      </c>
      <c r="BU124" s="19" t="s">
        <v>1148</v>
      </c>
      <c r="BV124" s="26" t="s">
        <v>1260</v>
      </c>
      <c r="BW124" s="19" t="s">
        <v>1358</v>
      </c>
      <c r="BX124" s="19" t="s">
        <v>1359</v>
      </c>
      <c r="BY124" s="19"/>
    </row>
    <row r="125" spans="1:78">
      <c r="A125" s="14">
        <v>46175</v>
      </c>
      <c r="B125" s="14">
        <v>46175</v>
      </c>
      <c r="C125" s="15">
        <v>0.40466435185185001</v>
      </c>
      <c r="D125" s="16" t="s">
        <v>136</v>
      </c>
      <c r="E125" s="14">
        <v>46175</v>
      </c>
      <c r="F125" s="16" t="s">
        <v>1330</v>
      </c>
      <c r="G125" s="16" t="s">
        <v>75</v>
      </c>
      <c r="H125" s="16" t="s">
        <v>76</v>
      </c>
      <c r="I125" s="16" t="s">
        <v>1341</v>
      </c>
      <c r="J125" s="16" t="s">
        <v>577</v>
      </c>
      <c r="K125" s="86"/>
      <c r="L125" s="16" t="s">
        <v>139</v>
      </c>
      <c r="M125" s="17">
        <v>5530</v>
      </c>
      <c r="N125" s="86"/>
      <c r="O125" s="16" t="s">
        <v>1310</v>
      </c>
      <c r="P125" s="16" t="s">
        <v>1330</v>
      </c>
      <c r="Q125" s="17">
        <v>5530</v>
      </c>
      <c r="R125" s="16" t="s">
        <v>1330</v>
      </c>
      <c r="S125" s="16" t="s">
        <v>83</v>
      </c>
      <c r="T125" s="16" t="s">
        <v>574</v>
      </c>
      <c r="U125" s="28">
        <v>3957433.9</v>
      </c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 t="s">
        <v>388</v>
      </c>
      <c r="BU125" s="19" t="s">
        <v>1148</v>
      </c>
      <c r="BV125" s="26" t="s">
        <v>1260</v>
      </c>
      <c r="BW125" s="19" t="s">
        <v>1358</v>
      </c>
      <c r="BX125" s="19" t="s">
        <v>1359</v>
      </c>
      <c r="BY125" s="19"/>
    </row>
    <row r="126" spans="1:78">
      <c r="A126" s="14">
        <v>46176</v>
      </c>
      <c r="B126" s="14">
        <v>46176</v>
      </c>
      <c r="C126" s="15">
        <v>0.69420138888889005</v>
      </c>
      <c r="D126" s="16" t="s">
        <v>136</v>
      </c>
      <c r="E126" s="14">
        <v>46176</v>
      </c>
      <c r="F126" s="16" t="s">
        <v>1331</v>
      </c>
      <c r="G126" s="16" t="s">
        <v>75</v>
      </c>
      <c r="H126" s="16" t="s">
        <v>76</v>
      </c>
      <c r="I126" s="16" t="s">
        <v>1342</v>
      </c>
      <c r="J126" s="16" t="s">
        <v>577</v>
      </c>
      <c r="K126" s="86"/>
      <c r="L126" s="16" t="s">
        <v>139</v>
      </c>
      <c r="M126" s="17">
        <v>14082</v>
      </c>
      <c r="N126" s="86"/>
      <c r="O126" s="16" t="s">
        <v>1311</v>
      </c>
      <c r="P126" s="16" t="s">
        <v>85</v>
      </c>
      <c r="Q126" s="17">
        <v>14082</v>
      </c>
      <c r="R126" s="16" t="s">
        <v>85</v>
      </c>
      <c r="S126" s="16" t="s">
        <v>122</v>
      </c>
      <c r="T126" s="16" t="s">
        <v>574</v>
      </c>
      <c r="U126" s="28">
        <v>10077501.66</v>
      </c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 t="s">
        <v>388</v>
      </c>
      <c r="BU126" s="19" t="s">
        <v>1362</v>
      </c>
      <c r="BV126" s="26" t="s">
        <v>1260</v>
      </c>
      <c r="BW126" s="19" t="s">
        <v>1360</v>
      </c>
      <c r="BX126" s="19" t="s">
        <v>1361</v>
      </c>
      <c r="BY126" s="19"/>
    </row>
    <row r="127" spans="1:78">
      <c r="A127" s="14">
        <v>46176</v>
      </c>
      <c r="B127" s="14">
        <v>46176</v>
      </c>
      <c r="C127" s="15">
        <v>0.69420138888889005</v>
      </c>
      <c r="D127" s="16" t="s">
        <v>136</v>
      </c>
      <c r="E127" s="14">
        <v>46176</v>
      </c>
      <c r="F127" s="16" t="s">
        <v>1331</v>
      </c>
      <c r="G127" s="16" t="s">
        <v>75</v>
      </c>
      <c r="H127" s="16" t="s">
        <v>76</v>
      </c>
      <c r="I127" s="16" t="s">
        <v>1342</v>
      </c>
      <c r="J127" s="16" t="s">
        <v>577</v>
      </c>
      <c r="K127" s="86"/>
      <c r="L127" s="16" t="s">
        <v>139</v>
      </c>
      <c r="M127" s="17">
        <v>28686</v>
      </c>
      <c r="N127" s="86"/>
      <c r="O127" s="16" t="s">
        <v>1312</v>
      </c>
      <c r="P127" s="16" t="s">
        <v>85</v>
      </c>
      <c r="Q127" s="17">
        <v>28686</v>
      </c>
      <c r="R127" s="16" t="s">
        <v>85</v>
      </c>
      <c r="S127" s="16" t="s">
        <v>122</v>
      </c>
      <c r="T127" s="16" t="s">
        <v>574</v>
      </c>
      <c r="U127" s="28">
        <v>20528562.18</v>
      </c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 t="s">
        <v>388</v>
      </c>
      <c r="BU127" s="19" t="s">
        <v>1362</v>
      </c>
      <c r="BV127" s="26" t="s">
        <v>1260</v>
      </c>
      <c r="BW127" s="19" t="s">
        <v>1360</v>
      </c>
      <c r="BX127" s="19" t="s">
        <v>1361</v>
      </c>
      <c r="BY127" s="19"/>
    </row>
    <row r="128" spans="1:78">
      <c r="A128" s="14">
        <v>46176</v>
      </c>
      <c r="B128" s="14">
        <v>46176</v>
      </c>
      <c r="C128" s="15">
        <v>0.69420138888889005</v>
      </c>
      <c r="D128" s="16" t="s">
        <v>136</v>
      </c>
      <c r="E128" s="14">
        <v>46176</v>
      </c>
      <c r="F128" s="16" t="s">
        <v>1332</v>
      </c>
      <c r="G128" s="16" t="s">
        <v>75</v>
      </c>
      <c r="H128" s="16" t="s">
        <v>76</v>
      </c>
      <c r="I128" s="16" t="s">
        <v>1342</v>
      </c>
      <c r="J128" s="16" t="s">
        <v>577</v>
      </c>
      <c r="K128" s="86"/>
      <c r="L128" s="16" t="s">
        <v>139</v>
      </c>
      <c r="M128" s="17">
        <v>5757</v>
      </c>
      <c r="N128" s="86"/>
      <c r="O128" s="16" t="s">
        <v>1312</v>
      </c>
      <c r="P128" s="16" t="s">
        <v>85</v>
      </c>
      <c r="Q128" s="17">
        <v>5757</v>
      </c>
      <c r="R128" s="16" t="s">
        <v>85</v>
      </c>
      <c r="S128" s="16" t="s">
        <v>122</v>
      </c>
      <c r="T128" s="16" t="s">
        <v>574</v>
      </c>
      <c r="U128" s="28">
        <v>4119881.91</v>
      </c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 t="s">
        <v>388</v>
      </c>
      <c r="BU128" s="19" t="s">
        <v>1362</v>
      </c>
      <c r="BV128" s="26" t="s">
        <v>1260</v>
      </c>
      <c r="BW128" s="19" t="s">
        <v>1360</v>
      </c>
      <c r="BX128" s="19" t="s">
        <v>1361</v>
      </c>
      <c r="BY128" s="19"/>
    </row>
    <row r="129" spans="1:78">
      <c r="A129" s="14">
        <v>46176</v>
      </c>
      <c r="B129" s="14">
        <v>46176</v>
      </c>
      <c r="C129" s="15">
        <v>0.69420138888889005</v>
      </c>
      <c r="D129" s="16" t="s">
        <v>136</v>
      </c>
      <c r="E129" s="14">
        <v>46176</v>
      </c>
      <c r="F129" s="16" t="s">
        <v>1332</v>
      </c>
      <c r="G129" s="16" t="s">
        <v>75</v>
      </c>
      <c r="H129" s="16" t="s">
        <v>76</v>
      </c>
      <c r="I129" s="16" t="s">
        <v>1342</v>
      </c>
      <c r="J129" s="16" t="s">
        <v>577</v>
      </c>
      <c r="K129" s="86"/>
      <c r="L129" s="16" t="s">
        <v>139</v>
      </c>
      <c r="M129" s="17">
        <v>37011</v>
      </c>
      <c r="N129" s="86"/>
      <c r="O129" s="16" t="s">
        <v>1303</v>
      </c>
      <c r="P129" s="16" t="s">
        <v>85</v>
      </c>
      <c r="Q129" s="17">
        <v>37011</v>
      </c>
      <c r="R129" s="16" t="s">
        <v>85</v>
      </c>
      <c r="S129" s="16" t="s">
        <v>122</v>
      </c>
      <c r="T129" s="16" t="s">
        <v>574</v>
      </c>
      <c r="U129" s="28">
        <v>26486181.93</v>
      </c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 t="s">
        <v>388</v>
      </c>
      <c r="BU129" s="19" t="s">
        <v>1362</v>
      </c>
      <c r="BV129" s="26" t="s">
        <v>1260</v>
      </c>
      <c r="BW129" s="19" t="s">
        <v>1360</v>
      </c>
      <c r="BX129" s="19" t="s">
        <v>1361</v>
      </c>
      <c r="BY129" s="19"/>
    </row>
    <row r="130" spans="1:78">
      <c r="A130" s="14">
        <v>46178</v>
      </c>
      <c r="B130" s="14">
        <v>46178</v>
      </c>
      <c r="C130" s="15">
        <v>0.62074074074074004</v>
      </c>
      <c r="D130" s="16" t="s">
        <v>136</v>
      </c>
      <c r="E130" s="14">
        <v>46178</v>
      </c>
      <c r="F130" s="16" t="s">
        <v>1333</v>
      </c>
      <c r="G130" s="16" t="s">
        <v>75</v>
      </c>
      <c r="H130" s="16" t="s">
        <v>76</v>
      </c>
      <c r="I130" s="16" t="s">
        <v>1343</v>
      </c>
      <c r="J130" s="16" t="s">
        <v>577</v>
      </c>
      <c r="K130" s="86"/>
      <c r="L130" s="16" t="s">
        <v>139</v>
      </c>
      <c r="M130" s="17">
        <v>32590</v>
      </c>
      <c r="N130" s="86"/>
      <c r="O130" s="16" t="s">
        <v>1300</v>
      </c>
      <c r="P130" s="16" t="s">
        <v>1333</v>
      </c>
      <c r="Q130" s="17">
        <v>32590</v>
      </c>
      <c r="R130" s="16" t="s">
        <v>1333</v>
      </c>
      <c r="S130" s="16" t="s">
        <v>83</v>
      </c>
      <c r="T130" s="16" t="s">
        <v>574</v>
      </c>
      <c r="U130" s="28">
        <v>23322381.699999999</v>
      </c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 t="s">
        <v>388</v>
      </c>
      <c r="BU130" s="19" t="s">
        <v>1357</v>
      </c>
      <c r="BV130" s="26" t="s">
        <v>1260</v>
      </c>
      <c r="BW130" s="19" t="s">
        <v>1360</v>
      </c>
      <c r="BX130" s="19" t="s">
        <v>1359</v>
      </c>
      <c r="BY130" s="19"/>
    </row>
    <row r="131" spans="1:78">
      <c r="A131" s="14">
        <v>46178</v>
      </c>
      <c r="B131" s="14">
        <v>46178</v>
      </c>
      <c r="C131" s="15">
        <v>0.62074074074074004</v>
      </c>
      <c r="D131" s="16" t="s">
        <v>136</v>
      </c>
      <c r="E131" s="14">
        <v>46178</v>
      </c>
      <c r="F131" s="16" t="s">
        <v>1333</v>
      </c>
      <c r="G131" s="16" t="s">
        <v>75</v>
      </c>
      <c r="H131" s="16" t="s">
        <v>76</v>
      </c>
      <c r="I131" s="16" t="s">
        <v>1343</v>
      </c>
      <c r="J131" s="16" t="s">
        <v>577</v>
      </c>
      <c r="K131" s="86"/>
      <c r="L131" s="16" t="s">
        <v>139</v>
      </c>
      <c r="M131" s="17">
        <v>10178</v>
      </c>
      <c r="N131" s="86"/>
      <c r="O131" s="16" t="s">
        <v>1305</v>
      </c>
      <c r="P131" s="16" t="s">
        <v>1333</v>
      </c>
      <c r="Q131" s="17">
        <v>10178</v>
      </c>
      <c r="R131" s="16" t="s">
        <v>1333</v>
      </c>
      <c r="S131" s="16" t="s">
        <v>83</v>
      </c>
      <c r="T131" s="16" t="s">
        <v>574</v>
      </c>
      <c r="U131" s="28">
        <v>7283682.1399999997</v>
      </c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 t="s">
        <v>388</v>
      </c>
      <c r="BU131" s="19" t="s">
        <v>1357</v>
      </c>
      <c r="BV131" s="26" t="s">
        <v>1260</v>
      </c>
      <c r="BW131" s="19" t="s">
        <v>1360</v>
      </c>
      <c r="BX131" s="19" t="s">
        <v>1359</v>
      </c>
      <c r="BY131" s="19"/>
    </row>
    <row r="132" spans="1:78">
      <c r="A132" s="14">
        <v>46179</v>
      </c>
      <c r="B132" s="14">
        <v>46179</v>
      </c>
      <c r="C132" s="15">
        <v>0.61766203703704003</v>
      </c>
      <c r="D132" s="16" t="s">
        <v>136</v>
      </c>
      <c r="E132" s="14">
        <v>46179</v>
      </c>
      <c r="F132" s="16" t="s">
        <v>1334</v>
      </c>
      <c r="G132" s="16" t="s">
        <v>75</v>
      </c>
      <c r="H132" s="16" t="s">
        <v>76</v>
      </c>
      <c r="I132" s="16" t="s">
        <v>1344</v>
      </c>
      <c r="J132" s="16" t="s">
        <v>577</v>
      </c>
      <c r="K132" s="86"/>
      <c r="L132" s="16" t="s">
        <v>139</v>
      </c>
      <c r="M132" s="17">
        <v>33259</v>
      </c>
      <c r="N132" s="86"/>
      <c r="O132" s="16" t="s">
        <v>1305</v>
      </c>
      <c r="P132" s="16" t="s">
        <v>85</v>
      </c>
      <c r="Q132" s="17">
        <v>33259</v>
      </c>
      <c r="R132" s="16" t="s">
        <v>85</v>
      </c>
      <c r="S132" s="16" t="s">
        <v>83</v>
      </c>
      <c r="T132" s="16" t="s">
        <v>574</v>
      </c>
      <c r="U132" s="28">
        <v>23801138.170000002</v>
      </c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 t="s">
        <v>388</v>
      </c>
      <c r="BU132" s="19" t="s">
        <v>1362</v>
      </c>
      <c r="BV132" s="26" t="s">
        <v>1260</v>
      </c>
      <c r="BW132" s="19" t="s">
        <v>1360</v>
      </c>
      <c r="BX132" s="19" t="s">
        <v>1361</v>
      </c>
      <c r="BY132" s="19"/>
    </row>
    <row r="133" spans="1:78">
      <c r="A133" s="14">
        <v>46179</v>
      </c>
      <c r="B133" s="14">
        <v>46179</v>
      </c>
      <c r="C133" s="15">
        <v>0.61766203703704003</v>
      </c>
      <c r="D133" s="16" t="s">
        <v>136</v>
      </c>
      <c r="E133" s="14">
        <v>46179</v>
      </c>
      <c r="F133" s="16" t="s">
        <v>1334</v>
      </c>
      <c r="G133" s="16" t="s">
        <v>75</v>
      </c>
      <c r="H133" s="16" t="s">
        <v>76</v>
      </c>
      <c r="I133" s="16" t="s">
        <v>1344</v>
      </c>
      <c r="J133" s="16" t="s">
        <v>577</v>
      </c>
      <c r="K133" s="86"/>
      <c r="L133" s="16" t="s">
        <v>139</v>
      </c>
      <c r="M133" s="17">
        <v>9509</v>
      </c>
      <c r="N133" s="86"/>
      <c r="O133" s="16" t="s">
        <v>1303</v>
      </c>
      <c r="P133" s="16" t="s">
        <v>85</v>
      </c>
      <c r="Q133" s="17">
        <v>9509</v>
      </c>
      <c r="R133" s="16" t="s">
        <v>85</v>
      </c>
      <c r="S133" s="16" t="s">
        <v>83</v>
      </c>
      <c r="T133" s="16" t="s">
        <v>574</v>
      </c>
      <c r="U133" s="28">
        <v>6804925.6699999999</v>
      </c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 t="s">
        <v>388</v>
      </c>
      <c r="BU133" s="19" t="s">
        <v>1362</v>
      </c>
      <c r="BV133" s="26" t="s">
        <v>1260</v>
      </c>
      <c r="BW133" s="19" t="s">
        <v>1360</v>
      </c>
      <c r="BX133" s="19" t="s">
        <v>1361</v>
      </c>
      <c r="BY133" s="19"/>
    </row>
    <row r="134" spans="1:78">
      <c r="A134" s="8">
        <v>46192</v>
      </c>
      <c r="B134" s="8">
        <v>46192</v>
      </c>
      <c r="C134" s="9">
        <v>0.64950231481481002</v>
      </c>
      <c r="D134" s="10" t="s">
        <v>585</v>
      </c>
      <c r="E134" s="8">
        <v>46192</v>
      </c>
      <c r="F134" s="10" t="s">
        <v>1406</v>
      </c>
      <c r="G134" s="10" t="s">
        <v>191</v>
      </c>
      <c r="H134" s="10" t="s">
        <v>76</v>
      </c>
      <c r="I134" s="10" t="s">
        <v>1408</v>
      </c>
      <c r="J134" s="10" t="s">
        <v>584</v>
      </c>
      <c r="K134" s="38"/>
      <c r="L134" s="10" t="s">
        <v>586</v>
      </c>
      <c r="M134" s="11">
        <v>660</v>
      </c>
      <c r="N134" s="38"/>
      <c r="O134" s="10" t="s">
        <v>1410</v>
      </c>
      <c r="P134" s="38"/>
      <c r="Q134" s="11">
        <v>660</v>
      </c>
      <c r="R134" s="38"/>
      <c r="S134" s="10" t="s">
        <v>122</v>
      </c>
      <c r="T134" s="10" t="s">
        <v>84</v>
      </c>
      <c r="U134" s="80">
        <v>63208.2</v>
      </c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 t="s">
        <v>1279</v>
      </c>
    </row>
    <row r="135" spans="1:78">
      <c r="A135" s="8">
        <v>46192</v>
      </c>
      <c r="B135" s="8">
        <v>46192</v>
      </c>
      <c r="C135" s="9">
        <v>0.64950231481481002</v>
      </c>
      <c r="D135" s="10" t="s">
        <v>585</v>
      </c>
      <c r="E135" s="8">
        <v>46192</v>
      </c>
      <c r="F135" s="10" t="s">
        <v>1406</v>
      </c>
      <c r="G135" s="10" t="s">
        <v>191</v>
      </c>
      <c r="H135" s="10" t="s">
        <v>76</v>
      </c>
      <c r="I135" s="10" t="s">
        <v>1408</v>
      </c>
      <c r="J135" s="10" t="s">
        <v>815</v>
      </c>
      <c r="K135" s="38"/>
      <c r="L135" s="10" t="s">
        <v>816</v>
      </c>
      <c r="M135" s="11">
        <v>600</v>
      </c>
      <c r="N135" s="38"/>
      <c r="O135" s="10" t="s">
        <v>1410</v>
      </c>
      <c r="P135" s="38"/>
      <c r="Q135" s="11">
        <v>600</v>
      </c>
      <c r="R135" s="38"/>
      <c r="S135" s="10" t="s">
        <v>122</v>
      </c>
      <c r="T135" s="10" t="s">
        <v>84</v>
      </c>
      <c r="U135" s="80">
        <v>44910</v>
      </c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 t="s">
        <v>1279</v>
      </c>
    </row>
    <row r="136" spans="1:78">
      <c r="A136" s="14">
        <v>46202</v>
      </c>
      <c r="B136" s="14">
        <v>46202</v>
      </c>
      <c r="C136" s="15">
        <v>0.49070601851852003</v>
      </c>
      <c r="D136" s="16" t="s">
        <v>136</v>
      </c>
      <c r="E136" s="14">
        <v>46202</v>
      </c>
      <c r="F136" s="16" t="s">
        <v>1407</v>
      </c>
      <c r="G136" s="16" t="s">
        <v>75</v>
      </c>
      <c r="H136" s="16" t="s">
        <v>76</v>
      </c>
      <c r="I136" s="16" t="s">
        <v>1409</v>
      </c>
      <c r="J136" s="16" t="s">
        <v>577</v>
      </c>
      <c r="K136" s="86"/>
      <c r="L136" s="16" t="s">
        <v>139</v>
      </c>
      <c r="M136" s="17">
        <v>1248</v>
      </c>
      <c r="N136" s="86"/>
      <c r="O136" s="16" t="s">
        <v>1300</v>
      </c>
      <c r="P136" s="86"/>
      <c r="Q136" s="17">
        <v>1248</v>
      </c>
      <c r="R136" s="86"/>
      <c r="S136" s="16" t="s">
        <v>122</v>
      </c>
      <c r="T136" s="16" t="s">
        <v>106</v>
      </c>
      <c r="U136" s="39">
        <v>893106.24</v>
      </c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/>
      <c r="BK136" s="86"/>
      <c r="BL136" s="86"/>
      <c r="BM136" s="86"/>
      <c r="BN136" s="86"/>
      <c r="BO136" s="86"/>
      <c r="BP136" s="86"/>
      <c r="BQ136" s="86"/>
      <c r="BR136" s="86"/>
      <c r="BS136" s="86"/>
      <c r="BT136" s="86" t="s">
        <v>388</v>
      </c>
      <c r="BU136" s="86" t="s">
        <v>1362</v>
      </c>
      <c r="BV136" s="26" t="s">
        <v>1260</v>
      </c>
      <c r="BW136" s="86" t="s">
        <v>1412</v>
      </c>
      <c r="BX136" s="86" t="s">
        <v>1359</v>
      </c>
      <c r="BY136" s="86"/>
    </row>
    <row r="137" spans="1:78">
      <c r="A137" s="14">
        <v>46202</v>
      </c>
      <c r="B137" s="14">
        <v>46202</v>
      </c>
      <c r="C137" s="15">
        <v>0.49070601851852003</v>
      </c>
      <c r="D137" s="16" t="s">
        <v>136</v>
      </c>
      <c r="E137" s="14">
        <v>46202</v>
      </c>
      <c r="F137" s="16" t="s">
        <v>1407</v>
      </c>
      <c r="G137" s="16" t="s">
        <v>75</v>
      </c>
      <c r="H137" s="16" t="s">
        <v>76</v>
      </c>
      <c r="I137" s="16" t="s">
        <v>1409</v>
      </c>
      <c r="J137" s="16" t="s">
        <v>577</v>
      </c>
      <c r="K137" s="86"/>
      <c r="L137" s="16" t="s">
        <v>139</v>
      </c>
      <c r="M137" s="17">
        <v>41520</v>
      </c>
      <c r="N137" s="86"/>
      <c r="O137" s="16" t="s">
        <v>1411</v>
      </c>
      <c r="P137" s="86"/>
      <c r="Q137" s="17">
        <v>41520</v>
      </c>
      <c r="R137" s="86"/>
      <c r="S137" s="16" t="s">
        <v>122</v>
      </c>
      <c r="T137" s="16" t="s">
        <v>84</v>
      </c>
      <c r="U137" s="39">
        <v>29712957.600000001</v>
      </c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 t="s">
        <v>388</v>
      </c>
      <c r="BU137" s="86" t="s">
        <v>1362</v>
      </c>
      <c r="BV137" s="26" t="s">
        <v>1260</v>
      </c>
      <c r="BW137" s="86" t="s">
        <v>1412</v>
      </c>
      <c r="BX137" s="86" t="s">
        <v>1359</v>
      </c>
      <c r="BY137" s="86"/>
    </row>
    <row r="138" spans="1:78">
      <c r="A138" s="14">
        <v>46206</v>
      </c>
      <c r="B138" s="14">
        <v>46206</v>
      </c>
      <c r="C138" s="86"/>
      <c r="D138" s="86"/>
      <c r="E138" s="14">
        <v>46206</v>
      </c>
      <c r="F138" s="16" t="s">
        <v>1688</v>
      </c>
      <c r="G138" s="16" t="s">
        <v>101</v>
      </c>
      <c r="H138" s="16" t="s">
        <v>76</v>
      </c>
      <c r="I138" s="86"/>
      <c r="J138" s="16" t="s">
        <v>581</v>
      </c>
      <c r="K138" s="86"/>
      <c r="L138" s="16" t="s">
        <v>171</v>
      </c>
      <c r="M138" s="17">
        <v>36000</v>
      </c>
      <c r="N138" s="86"/>
      <c r="O138" s="16" t="s">
        <v>1447</v>
      </c>
      <c r="P138" s="16" t="s">
        <v>85</v>
      </c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/>
      <c r="BK138" s="86"/>
      <c r="BL138" s="86"/>
      <c r="BM138" s="86"/>
      <c r="BN138" s="86"/>
      <c r="BO138" s="86"/>
      <c r="BP138" s="86"/>
      <c r="BQ138" s="86"/>
      <c r="BR138" s="86"/>
      <c r="BS138" s="86"/>
      <c r="BT138" s="86" t="s">
        <v>388</v>
      </c>
      <c r="BU138" s="86" t="s">
        <v>1357</v>
      </c>
      <c r="BV138" s="26" t="s">
        <v>1272</v>
      </c>
      <c r="BW138" s="86" t="s">
        <v>1706</v>
      </c>
      <c r="BX138" s="86" t="s">
        <v>1705</v>
      </c>
      <c r="BY138" s="86"/>
    </row>
    <row r="139" spans="1:78">
      <c r="A139" s="14">
        <v>46226</v>
      </c>
      <c r="B139" s="14">
        <v>46226</v>
      </c>
      <c r="C139" s="86"/>
      <c r="D139" s="86"/>
      <c r="E139" s="14">
        <v>46226</v>
      </c>
      <c r="F139" s="16" t="s">
        <v>1689</v>
      </c>
      <c r="G139" s="16" t="s">
        <v>75</v>
      </c>
      <c r="H139" s="16" t="s">
        <v>76</v>
      </c>
      <c r="I139" s="86"/>
      <c r="J139" s="16" t="s">
        <v>706</v>
      </c>
      <c r="K139" s="86"/>
      <c r="L139" s="16" t="s">
        <v>151</v>
      </c>
      <c r="M139" s="17">
        <v>4822</v>
      </c>
      <c r="N139" s="86"/>
      <c r="O139" s="16" t="s">
        <v>1692</v>
      </c>
      <c r="P139" s="16" t="s">
        <v>85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  <c r="BR139" s="86"/>
      <c r="BS139" s="86"/>
      <c r="BT139" s="86" t="s">
        <v>388</v>
      </c>
      <c r="BU139" s="86" t="s">
        <v>1152</v>
      </c>
      <c r="BV139" s="26" t="s">
        <v>1260</v>
      </c>
      <c r="BW139" s="86" t="s">
        <v>1708</v>
      </c>
      <c r="BX139" s="86" t="s">
        <v>1707</v>
      </c>
      <c r="BY139" s="86"/>
    </row>
    <row r="140" spans="1:78">
      <c r="A140" s="14">
        <v>46226</v>
      </c>
      <c r="B140" s="14">
        <v>46226</v>
      </c>
      <c r="C140" s="86"/>
      <c r="D140" s="86"/>
      <c r="E140" s="14">
        <v>46226</v>
      </c>
      <c r="F140" s="16" t="s">
        <v>1689</v>
      </c>
      <c r="G140" s="16" t="s">
        <v>75</v>
      </c>
      <c r="H140" s="16" t="s">
        <v>76</v>
      </c>
      <c r="I140" s="86"/>
      <c r="J140" s="16" t="s">
        <v>706</v>
      </c>
      <c r="K140" s="86"/>
      <c r="L140" s="16" t="s">
        <v>151</v>
      </c>
      <c r="M140" s="17">
        <v>98</v>
      </c>
      <c r="N140" s="86"/>
      <c r="O140" s="16" t="s">
        <v>154</v>
      </c>
      <c r="P140" s="16" t="s">
        <v>85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/>
      <c r="BL140" s="86"/>
      <c r="BM140" s="86"/>
      <c r="BN140" s="86"/>
      <c r="BO140" s="86"/>
      <c r="BP140" s="86"/>
      <c r="BQ140" s="86"/>
      <c r="BR140" s="86"/>
      <c r="BS140" s="86"/>
      <c r="BT140" s="86" t="s">
        <v>388</v>
      </c>
      <c r="BU140" s="86" t="s">
        <v>1152</v>
      </c>
      <c r="BV140" s="26" t="s">
        <v>1260</v>
      </c>
      <c r="BW140" s="86" t="s">
        <v>1708</v>
      </c>
      <c r="BX140" s="86" t="s">
        <v>1707</v>
      </c>
      <c r="BY140" s="86"/>
    </row>
    <row r="141" spans="1:78">
      <c r="A141" s="14">
        <v>46226</v>
      </c>
      <c r="B141" s="14">
        <v>46226</v>
      </c>
      <c r="C141" s="86"/>
      <c r="D141" s="86"/>
      <c r="E141" s="14">
        <v>46226</v>
      </c>
      <c r="F141" s="16" t="s">
        <v>1689</v>
      </c>
      <c r="G141" s="16" t="s">
        <v>75</v>
      </c>
      <c r="H141" s="16" t="s">
        <v>76</v>
      </c>
      <c r="I141" s="86"/>
      <c r="J141" s="16" t="s">
        <v>619</v>
      </c>
      <c r="K141" s="86"/>
      <c r="L141" s="16" t="s">
        <v>78</v>
      </c>
      <c r="M141" s="17">
        <v>4677</v>
      </c>
      <c r="N141" s="86"/>
      <c r="O141" s="16" t="s">
        <v>1579</v>
      </c>
      <c r="P141" s="16" t="s">
        <v>85</v>
      </c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/>
      <c r="BK141" s="86"/>
      <c r="BL141" s="86"/>
      <c r="BM141" s="86"/>
      <c r="BN141" s="86"/>
      <c r="BO141" s="86"/>
      <c r="BP141" s="86"/>
      <c r="BQ141" s="86"/>
      <c r="BR141" s="86"/>
      <c r="BS141" s="86"/>
      <c r="BT141" s="86" t="s">
        <v>388</v>
      </c>
      <c r="BU141" s="86" t="s">
        <v>1152</v>
      </c>
      <c r="BV141" s="26" t="s">
        <v>1260</v>
      </c>
      <c r="BW141" s="86" t="s">
        <v>1708</v>
      </c>
      <c r="BX141" s="86" t="s">
        <v>1707</v>
      </c>
      <c r="BY141" s="86"/>
    </row>
    <row r="142" spans="1:78">
      <c r="A142" s="14">
        <v>46226</v>
      </c>
      <c r="B142" s="14">
        <v>46226</v>
      </c>
      <c r="C142" s="86"/>
      <c r="D142" s="86"/>
      <c r="E142" s="14">
        <v>46226</v>
      </c>
      <c r="F142" s="16" t="s">
        <v>1689</v>
      </c>
      <c r="G142" s="16" t="s">
        <v>75</v>
      </c>
      <c r="H142" s="16" t="s">
        <v>76</v>
      </c>
      <c r="I142" s="86"/>
      <c r="J142" s="16" t="s">
        <v>619</v>
      </c>
      <c r="K142" s="86"/>
      <c r="L142" s="16" t="s">
        <v>78</v>
      </c>
      <c r="M142" s="17">
        <v>243</v>
      </c>
      <c r="N142" s="86"/>
      <c r="O142" s="16" t="s">
        <v>80</v>
      </c>
      <c r="P142" s="16" t="s">
        <v>85</v>
      </c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  <c r="BN142" s="86"/>
      <c r="BO142" s="86"/>
      <c r="BP142" s="86"/>
      <c r="BQ142" s="86"/>
      <c r="BR142" s="86"/>
      <c r="BS142" s="86"/>
      <c r="BT142" s="86" t="s">
        <v>388</v>
      </c>
      <c r="BU142" s="86" t="s">
        <v>1152</v>
      </c>
      <c r="BV142" s="26" t="s">
        <v>1260</v>
      </c>
      <c r="BW142" s="86" t="s">
        <v>1708</v>
      </c>
      <c r="BX142" s="86" t="s">
        <v>1707</v>
      </c>
      <c r="BY142" s="86"/>
    </row>
    <row r="143" spans="1:78">
      <c r="A143" s="14">
        <v>46226</v>
      </c>
      <c r="B143" s="14">
        <v>46226</v>
      </c>
      <c r="C143" s="86"/>
      <c r="D143" s="86"/>
      <c r="E143" s="14">
        <v>46226</v>
      </c>
      <c r="F143" s="16" t="s">
        <v>1689</v>
      </c>
      <c r="G143" s="16" t="s">
        <v>75</v>
      </c>
      <c r="H143" s="16" t="s">
        <v>76</v>
      </c>
      <c r="I143" s="86"/>
      <c r="J143" s="16" t="s">
        <v>577</v>
      </c>
      <c r="K143" s="86"/>
      <c r="L143" s="16" t="s">
        <v>139</v>
      </c>
      <c r="M143" s="17">
        <v>28008</v>
      </c>
      <c r="N143" s="86"/>
      <c r="O143" s="16" t="s">
        <v>1693</v>
      </c>
      <c r="P143" s="16" t="s">
        <v>85</v>
      </c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/>
      <c r="BK143" s="86"/>
      <c r="BL143" s="86"/>
      <c r="BM143" s="86"/>
      <c r="BN143" s="86"/>
      <c r="BO143" s="86"/>
      <c r="BP143" s="86"/>
      <c r="BQ143" s="86"/>
      <c r="BR143" s="86"/>
      <c r="BS143" s="86"/>
      <c r="BT143" s="86" t="s">
        <v>388</v>
      </c>
      <c r="BU143" s="86" t="s">
        <v>1152</v>
      </c>
      <c r="BV143" s="26" t="s">
        <v>1260</v>
      </c>
      <c r="BW143" s="86" t="s">
        <v>1708</v>
      </c>
      <c r="BX143" s="86" t="s">
        <v>1707</v>
      </c>
      <c r="BY143" s="86"/>
    </row>
    <row r="144" spans="1:78">
      <c r="A144" s="14">
        <v>46226</v>
      </c>
      <c r="B144" s="14">
        <v>46226</v>
      </c>
      <c r="C144" s="86"/>
      <c r="D144" s="86"/>
      <c r="E144" s="14">
        <v>46226</v>
      </c>
      <c r="F144" s="16" t="s">
        <v>1689</v>
      </c>
      <c r="G144" s="16" t="s">
        <v>75</v>
      </c>
      <c r="H144" s="16" t="s">
        <v>76</v>
      </c>
      <c r="I144" s="86"/>
      <c r="J144" s="16" t="s">
        <v>603</v>
      </c>
      <c r="K144" s="86"/>
      <c r="L144" s="16" t="s">
        <v>144</v>
      </c>
      <c r="M144" s="17">
        <v>4296</v>
      </c>
      <c r="N144" s="86"/>
      <c r="O144" s="16" t="s">
        <v>1694</v>
      </c>
      <c r="P144" s="16" t="s">
        <v>85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/>
      <c r="BK144" s="86"/>
      <c r="BL144" s="86"/>
      <c r="BM144" s="86"/>
      <c r="BN144" s="86"/>
      <c r="BO144" s="86"/>
      <c r="BP144" s="86"/>
      <c r="BQ144" s="86"/>
      <c r="BR144" s="86"/>
      <c r="BS144" s="86"/>
      <c r="BT144" s="86" t="s">
        <v>388</v>
      </c>
      <c r="BU144" s="86" t="s">
        <v>1152</v>
      </c>
      <c r="BV144" s="26" t="s">
        <v>1260</v>
      </c>
      <c r="BW144" s="86" t="s">
        <v>1708</v>
      </c>
      <c r="BX144" s="86" t="s">
        <v>1707</v>
      </c>
      <c r="BY144" s="86"/>
    </row>
    <row r="145" spans="1:77">
      <c r="A145" s="14">
        <v>46206</v>
      </c>
      <c r="B145" s="14">
        <v>46206</v>
      </c>
      <c r="C145" s="86"/>
      <c r="D145" s="86"/>
      <c r="E145" s="14">
        <v>46206</v>
      </c>
      <c r="F145" s="16" t="s">
        <v>1688</v>
      </c>
      <c r="G145" s="16" t="s">
        <v>101</v>
      </c>
      <c r="H145" s="16" t="s">
        <v>76</v>
      </c>
      <c r="I145" s="86"/>
      <c r="J145" s="16" t="s">
        <v>582</v>
      </c>
      <c r="K145" s="86"/>
      <c r="L145" s="16" t="s">
        <v>115</v>
      </c>
      <c r="M145" s="17">
        <v>18000</v>
      </c>
      <c r="N145" s="86"/>
      <c r="O145" s="16" t="s">
        <v>1695</v>
      </c>
      <c r="P145" s="16" t="s">
        <v>85</v>
      </c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/>
      <c r="BK145" s="86"/>
      <c r="BL145" s="86"/>
      <c r="BM145" s="86"/>
      <c r="BN145" s="86"/>
      <c r="BO145" s="86"/>
      <c r="BP145" s="86"/>
      <c r="BQ145" s="86"/>
      <c r="BR145" s="86"/>
      <c r="BS145" s="86"/>
      <c r="BT145" s="86" t="s">
        <v>388</v>
      </c>
      <c r="BU145" s="86" t="s">
        <v>1705</v>
      </c>
      <c r="BV145" s="26" t="s">
        <v>1272</v>
      </c>
      <c r="BW145" s="86" t="s">
        <v>1706</v>
      </c>
      <c r="BX145" s="86" t="s">
        <v>1357</v>
      </c>
      <c r="BY145" s="86"/>
    </row>
    <row r="146" spans="1:77">
      <c r="A146" s="14">
        <v>46206</v>
      </c>
      <c r="B146" s="14">
        <v>46206</v>
      </c>
      <c r="C146" s="86"/>
      <c r="D146" s="86"/>
      <c r="E146" s="14">
        <v>46206</v>
      </c>
      <c r="F146" s="16" t="s">
        <v>1688</v>
      </c>
      <c r="G146" s="16" t="s">
        <v>101</v>
      </c>
      <c r="H146" s="16" t="s">
        <v>76</v>
      </c>
      <c r="I146" s="86"/>
      <c r="J146" s="16" t="s">
        <v>774</v>
      </c>
      <c r="K146" s="86"/>
      <c r="L146" s="16" t="s">
        <v>238</v>
      </c>
      <c r="M146" s="17">
        <v>54000</v>
      </c>
      <c r="N146" s="86"/>
      <c r="O146" s="16" t="s">
        <v>1458</v>
      </c>
      <c r="P146" s="16" t="s">
        <v>85</v>
      </c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/>
      <c r="BK146" s="86"/>
      <c r="BL146" s="86"/>
      <c r="BM146" s="86"/>
      <c r="BN146" s="86"/>
      <c r="BO146" s="86"/>
      <c r="BP146" s="86"/>
      <c r="BQ146" s="86"/>
      <c r="BR146" s="86"/>
      <c r="BS146" s="86"/>
      <c r="BT146" s="86" t="s">
        <v>388</v>
      </c>
      <c r="BU146" s="86" t="s">
        <v>1705</v>
      </c>
      <c r="BV146" s="26" t="s">
        <v>1272</v>
      </c>
      <c r="BW146" s="86" t="s">
        <v>1706</v>
      </c>
      <c r="BX146" s="86" t="s">
        <v>1357</v>
      </c>
      <c r="BY146" s="86"/>
    </row>
    <row r="147" spans="1:77">
      <c r="A147" s="14">
        <v>46231</v>
      </c>
      <c r="B147" s="14">
        <v>46231</v>
      </c>
      <c r="C147" s="86"/>
      <c r="D147" s="86"/>
      <c r="E147" s="14">
        <v>46231</v>
      </c>
      <c r="F147" s="16" t="s">
        <v>1690</v>
      </c>
      <c r="G147" s="16" t="s">
        <v>216</v>
      </c>
      <c r="H147" s="16" t="s">
        <v>76</v>
      </c>
      <c r="I147" s="86"/>
      <c r="J147" s="16" t="s">
        <v>600</v>
      </c>
      <c r="K147" s="86"/>
      <c r="L147" s="16" t="s">
        <v>218</v>
      </c>
      <c r="M147" s="17">
        <v>601</v>
      </c>
      <c r="N147" s="86"/>
      <c r="O147" s="16" t="s">
        <v>1696</v>
      </c>
      <c r="P147" s="16" t="s">
        <v>1690</v>
      </c>
      <c r="BT147" s="86" t="s">
        <v>388</v>
      </c>
      <c r="BU147" s="86" t="s">
        <v>1152</v>
      </c>
      <c r="BV147" s="26" t="s">
        <v>1260</v>
      </c>
      <c r="BW147" s="86" t="s">
        <v>1709</v>
      </c>
      <c r="BX147" s="86" t="s">
        <v>1707</v>
      </c>
      <c r="BY147" s="86"/>
    </row>
    <row r="148" spans="1:77">
      <c r="A148" s="14">
        <v>46231</v>
      </c>
      <c r="B148" s="14">
        <v>46231</v>
      </c>
      <c r="C148" s="86"/>
      <c r="D148" s="86"/>
      <c r="E148" s="14">
        <v>46231</v>
      </c>
      <c r="F148" s="16" t="s">
        <v>1690</v>
      </c>
      <c r="G148" s="16" t="s">
        <v>216</v>
      </c>
      <c r="H148" s="16" t="s">
        <v>76</v>
      </c>
      <c r="I148" s="86"/>
      <c r="J148" s="16" t="s">
        <v>600</v>
      </c>
      <c r="K148" s="86"/>
      <c r="L148" s="16" t="s">
        <v>218</v>
      </c>
      <c r="M148" s="17">
        <v>2951</v>
      </c>
      <c r="N148" s="86"/>
      <c r="O148" s="16" t="s">
        <v>1697</v>
      </c>
      <c r="P148" s="16" t="s">
        <v>1690</v>
      </c>
      <c r="BT148" s="86" t="s">
        <v>388</v>
      </c>
      <c r="BU148" s="86" t="s">
        <v>1152</v>
      </c>
      <c r="BV148" s="26" t="s">
        <v>1260</v>
      </c>
      <c r="BW148" s="86" t="s">
        <v>1709</v>
      </c>
      <c r="BX148" s="86" t="s">
        <v>1707</v>
      </c>
      <c r="BY148" s="86"/>
    </row>
    <row r="149" spans="1:77">
      <c r="A149" s="14">
        <v>46231</v>
      </c>
      <c r="B149" s="14">
        <v>46231</v>
      </c>
      <c r="C149" s="86"/>
      <c r="D149" s="86"/>
      <c r="E149" s="14">
        <v>46231</v>
      </c>
      <c r="F149" s="16" t="s">
        <v>1690</v>
      </c>
      <c r="G149" s="16" t="s">
        <v>216</v>
      </c>
      <c r="H149" s="16" t="s">
        <v>76</v>
      </c>
      <c r="I149" s="86"/>
      <c r="J149" s="16" t="s">
        <v>600</v>
      </c>
      <c r="K149" s="86"/>
      <c r="L149" s="16" t="s">
        <v>218</v>
      </c>
      <c r="M149" s="17">
        <v>1651</v>
      </c>
      <c r="N149" s="86"/>
      <c r="O149" s="16" t="s">
        <v>1698</v>
      </c>
      <c r="P149" s="16" t="s">
        <v>1690</v>
      </c>
      <c r="BT149" s="86" t="s">
        <v>388</v>
      </c>
      <c r="BU149" s="86" t="s">
        <v>1152</v>
      </c>
      <c r="BV149" s="26" t="s">
        <v>1260</v>
      </c>
      <c r="BW149" s="86" t="s">
        <v>1709</v>
      </c>
      <c r="BX149" s="86" t="s">
        <v>1707</v>
      </c>
      <c r="BY149" s="86"/>
    </row>
    <row r="150" spans="1:77">
      <c r="A150" s="14">
        <v>46231</v>
      </c>
      <c r="B150" s="14">
        <v>46231</v>
      </c>
      <c r="C150" s="86"/>
      <c r="D150" s="86"/>
      <c r="E150" s="14">
        <v>46231</v>
      </c>
      <c r="F150" s="16" t="s">
        <v>1690</v>
      </c>
      <c r="G150" s="16" t="s">
        <v>216</v>
      </c>
      <c r="H150" s="16" t="s">
        <v>76</v>
      </c>
      <c r="I150" s="86"/>
      <c r="J150" s="16" t="s">
        <v>600</v>
      </c>
      <c r="K150" s="86"/>
      <c r="L150" s="16" t="s">
        <v>218</v>
      </c>
      <c r="M150" s="17">
        <v>2834</v>
      </c>
      <c r="N150" s="86"/>
      <c r="O150" s="16" t="s">
        <v>1699</v>
      </c>
      <c r="P150" s="16" t="s">
        <v>1690</v>
      </c>
      <c r="BT150" s="86" t="s">
        <v>388</v>
      </c>
      <c r="BU150" s="86" t="s">
        <v>1152</v>
      </c>
      <c r="BV150" s="26" t="s">
        <v>1260</v>
      </c>
      <c r="BW150" s="86" t="s">
        <v>1709</v>
      </c>
      <c r="BX150" s="86" t="s">
        <v>1707</v>
      </c>
      <c r="BY150" s="86"/>
    </row>
    <row r="151" spans="1:77">
      <c r="A151" s="14">
        <v>46231</v>
      </c>
      <c r="B151" s="14">
        <v>46231</v>
      </c>
      <c r="C151" s="86"/>
      <c r="D151" s="86"/>
      <c r="E151" s="14">
        <v>46231</v>
      </c>
      <c r="F151" s="16" t="s">
        <v>1690</v>
      </c>
      <c r="G151" s="16" t="s">
        <v>216</v>
      </c>
      <c r="H151" s="16" t="s">
        <v>76</v>
      </c>
      <c r="I151" s="86"/>
      <c r="J151" s="16" t="s">
        <v>600</v>
      </c>
      <c r="K151" s="86"/>
      <c r="L151" s="16" t="s">
        <v>218</v>
      </c>
      <c r="M151" s="17">
        <v>1313</v>
      </c>
      <c r="N151" s="86"/>
      <c r="O151" s="16" t="s">
        <v>1700</v>
      </c>
      <c r="P151" s="16" t="s">
        <v>1690</v>
      </c>
      <c r="BT151" s="86" t="s">
        <v>388</v>
      </c>
      <c r="BU151" s="86" t="s">
        <v>1152</v>
      </c>
      <c r="BV151" s="26" t="s">
        <v>1260</v>
      </c>
      <c r="BW151" s="86" t="s">
        <v>1709</v>
      </c>
      <c r="BX151" s="86" t="s">
        <v>1707</v>
      </c>
      <c r="BY151" s="86"/>
    </row>
    <row r="152" spans="1:77">
      <c r="A152" s="14">
        <v>46231</v>
      </c>
      <c r="B152" s="14">
        <v>46231</v>
      </c>
      <c r="C152" s="86"/>
      <c r="D152" s="86"/>
      <c r="E152" s="14">
        <v>46231</v>
      </c>
      <c r="F152" s="16" t="s">
        <v>1690</v>
      </c>
      <c r="G152" s="16" t="s">
        <v>216</v>
      </c>
      <c r="H152" s="16" t="s">
        <v>76</v>
      </c>
      <c r="I152" s="86"/>
      <c r="J152" s="16" t="s">
        <v>600</v>
      </c>
      <c r="K152" s="86"/>
      <c r="L152" s="16" t="s">
        <v>218</v>
      </c>
      <c r="M152" s="17">
        <v>2795</v>
      </c>
      <c r="N152" s="86"/>
      <c r="O152" s="16" t="s">
        <v>1701</v>
      </c>
      <c r="P152" s="16" t="s">
        <v>1690</v>
      </c>
      <c r="BT152" s="86" t="s">
        <v>388</v>
      </c>
      <c r="BU152" s="86" t="s">
        <v>1152</v>
      </c>
      <c r="BV152" s="26" t="s">
        <v>1260</v>
      </c>
      <c r="BW152" s="86" t="s">
        <v>1709</v>
      </c>
      <c r="BX152" s="86" t="s">
        <v>1707</v>
      </c>
      <c r="BY152" s="86"/>
    </row>
    <row r="153" spans="1:77">
      <c r="A153" s="14">
        <v>46231</v>
      </c>
      <c r="B153" s="14">
        <v>46231</v>
      </c>
      <c r="C153" s="86"/>
      <c r="D153" s="86"/>
      <c r="E153" s="14">
        <v>46231</v>
      </c>
      <c r="F153" s="16" t="s">
        <v>1690</v>
      </c>
      <c r="G153" s="16" t="s">
        <v>216</v>
      </c>
      <c r="H153" s="16" t="s">
        <v>76</v>
      </c>
      <c r="I153" s="86"/>
      <c r="J153" s="16" t="s">
        <v>600</v>
      </c>
      <c r="K153" s="86"/>
      <c r="L153" s="16" t="s">
        <v>218</v>
      </c>
      <c r="M153" s="17">
        <v>1404</v>
      </c>
      <c r="N153" s="86"/>
      <c r="O153" s="16" t="s">
        <v>1702</v>
      </c>
      <c r="P153" s="16" t="s">
        <v>1690</v>
      </c>
      <c r="BT153" s="86" t="s">
        <v>388</v>
      </c>
      <c r="BU153" s="86" t="s">
        <v>1152</v>
      </c>
      <c r="BV153" s="26" t="s">
        <v>1260</v>
      </c>
      <c r="BW153" s="86" t="s">
        <v>1709</v>
      </c>
      <c r="BX153" s="86" t="s">
        <v>1707</v>
      </c>
      <c r="BY153" s="86"/>
    </row>
    <row r="154" spans="1:77">
      <c r="A154" s="14">
        <v>46231</v>
      </c>
      <c r="B154" s="14">
        <v>46231</v>
      </c>
      <c r="C154" s="86"/>
      <c r="D154" s="86"/>
      <c r="E154" s="14">
        <v>46231</v>
      </c>
      <c r="F154" s="16" t="s">
        <v>1690</v>
      </c>
      <c r="G154" s="16" t="s">
        <v>216</v>
      </c>
      <c r="H154" s="16" t="s">
        <v>76</v>
      </c>
      <c r="I154" s="86"/>
      <c r="J154" s="16" t="s">
        <v>600</v>
      </c>
      <c r="K154" s="86"/>
      <c r="L154" s="16" t="s">
        <v>218</v>
      </c>
      <c r="M154" s="17">
        <v>2808</v>
      </c>
      <c r="N154" s="86"/>
      <c r="O154" s="16" t="s">
        <v>1703</v>
      </c>
      <c r="P154" s="16" t="s">
        <v>1690</v>
      </c>
      <c r="BT154" s="86" t="s">
        <v>388</v>
      </c>
      <c r="BU154" s="86" t="s">
        <v>1152</v>
      </c>
      <c r="BV154" s="26" t="s">
        <v>1260</v>
      </c>
      <c r="BW154" s="86" t="s">
        <v>1709</v>
      </c>
      <c r="BX154" s="86" t="s">
        <v>1707</v>
      </c>
      <c r="BY154" s="86"/>
    </row>
    <row r="155" spans="1:77">
      <c r="A155" s="14">
        <v>46231</v>
      </c>
      <c r="B155" s="14">
        <v>46231</v>
      </c>
      <c r="C155" s="86"/>
      <c r="D155" s="86"/>
      <c r="E155" s="14">
        <v>46231</v>
      </c>
      <c r="F155" s="16" t="s">
        <v>1690</v>
      </c>
      <c r="G155" s="16" t="s">
        <v>216</v>
      </c>
      <c r="H155" s="16" t="s">
        <v>76</v>
      </c>
      <c r="I155" s="86"/>
      <c r="J155" s="16" t="s">
        <v>600</v>
      </c>
      <c r="K155" s="86"/>
      <c r="L155" s="16" t="s">
        <v>218</v>
      </c>
      <c r="M155" s="17">
        <v>1443</v>
      </c>
      <c r="N155" s="86"/>
      <c r="O155" s="16" t="s">
        <v>1704</v>
      </c>
      <c r="P155" s="16" t="s">
        <v>1690</v>
      </c>
      <c r="BT155" s="86" t="s">
        <v>388</v>
      </c>
      <c r="BU155" s="86" t="s">
        <v>1152</v>
      </c>
      <c r="BV155" s="26" t="s">
        <v>1260</v>
      </c>
      <c r="BW155" s="86" t="s">
        <v>1709</v>
      </c>
      <c r="BX155" s="86" t="s">
        <v>1707</v>
      </c>
      <c r="BY155" s="86"/>
    </row>
    <row r="156" spans="1:77">
      <c r="A156" s="14">
        <v>46245</v>
      </c>
      <c r="B156" s="14">
        <v>46245</v>
      </c>
      <c r="C156" s="86"/>
      <c r="D156" s="86"/>
      <c r="E156" s="14">
        <v>46050</v>
      </c>
      <c r="F156" s="16" t="s">
        <v>2443</v>
      </c>
      <c r="G156" s="86">
        <v>12010019</v>
      </c>
      <c r="H156" s="16" t="s">
        <v>76</v>
      </c>
      <c r="I156" s="86"/>
      <c r="J156" s="16" t="s">
        <v>581</v>
      </c>
      <c r="K156" s="86"/>
      <c r="L156" s="16" t="s">
        <v>171</v>
      </c>
      <c r="M156" s="17">
        <v>113000</v>
      </c>
      <c r="N156" s="86"/>
      <c r="O156" s="16" t="s">
        <v>2281</v>
      </c>
      <c r="P156" s="16" t="s">
        <v>2443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/>
      <c r="BK156" s="86"/>
      <c r="BL156" s="86"/>
      <c r="BM156" s="86"/>
      <c r="BN156" s="86"/>
      <c r="BO156" s="86"/>
      <c r="BP156" s="86"/>
      <c r="BQ156" s="86"/>
      <c r="BR156" s="86"/>
      <c r="BS156" s="86"/>
      <c r="BT156" s="86" t="s">
        <v>388</v>
      </c>
      <c r="BU156" s="86" t="s">
        <v>2457</v>
      </c>
      <c r="BV156" s="26" t="s">
        <v>1260</v>
      </c>
      <c r="BW156" s="86" t="s">
        <v>1709</v>
      </c>
      <c r="BX156" s="86" t="s">
        <v>2456</v>
      </c>
      <c r="BY156" s="86"/>
    </row>
    <row r="157" spans="1:77">
      <c r="A157" s="14">
        <v>46245</v>
      </c>
      <c r="B157" s="14">
        <v>46245</v>
      </c>
      <c r="C157" s="86"/>
      <c r="D157" s="86"/>
      <c r="E157" s="14">
        <v>46050</v>
      </c>
      <c r="F157" s="16" t="s">
        <v>2443</v>
      </c>
      <c r="G157" s="86">
        <v>12010019</v>
      </c>
      <c r="H157" s="16" t="s">
        <v>76</v>
      </c>
      <c r="I157" s="86"/>
      <c r="J157" s="16" t="s">
        <v>617</v>
      </c>
      <c r="K157" s="86"/>
      <c r="L157" s="16" t="s">
        <v>110</v>
      </c>
      <c r="M157" s="17">
        <v>121000</v>
      </c>
      <c r="N157" s="86"/>
      <c r="O157" s="16" t="s">
        <v>2281</v>
      </c>
      <c r="P157" s="16" t="s">
        <v>2443</v>
      </c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/>
      <c r="BK157" s="86"/>
      <c r="BL157" s="86"/>
      <c r="BM157" s="86"/>
      <c r="BN157" s="86"/>
      <c r="BO157" s="86"/>
      <c r="BP157" s="86"/>
      <c r="BQ157" s="86"/>
      <c r="BR157" s="86"/>
      <c r="BS157" s="86"/>
      <c r="BT157" s="86" t="s">
        <v>388</v>
      </c>
      <c r="BU157" s="86" t="s">
        <v>2457</v>
      </c>
      <c r="BV157" s="26" t="s">
        <v>1260</v>
      </c>
      <c r="BW157" s="86" t="s">
        <v>1709</v>
      </c>
      <c r="BX157" s="86" t="s">
        <v>2456</v>
      </c>
      <c r="BY157" s="86"/>
    </row>
    <row r="158" spans="1:77">
      <c r="A158" s="14">
        <v>46245</v>
      </c>
      <c r="B158" s="14">
        <v>46245</v>
      </c>
      <c r="C158" s="86"/>
      <c r="D158" s="86"/>
      <c r="E158" s="14">
        <v>46050</v>
      </c>
      <c r="F158" s="16" t="s">
        <v>2443</v>
      </c>
      <c r="G158" s="86">
        <v>12010019</v>
      </c>
      <c r="H158" s="16" t="s">
        <v>76</v>
      </c>
      <c r="I158" s="86"/>
      <c r="J158" s="16" t="s">
        <v>2145</v>
      </c>
      <c r="K158" s="86"/>
      <c r="L158" s="16" t="s">
        <v>666</v>
      </c>
      <c r="M158" s="17">
        <v>8000</v>
      </c>
      <c r="N158" s="86"/>
      <c r="O158" s="16" t="s">
        <v>2146</v>
      </c>
      <c r="P158" s="16" t="s">
        <v>2443</v>
      </c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/>
      <c r="BK158" s="86"/>
      <c r="BL158" s="86"/>
      <c r="BM158" s="86"/>
      <c r="BN158" s="86"/>
      <c r="BO158" s="86"/>
      <c r="BP158" s="86"/>
      <c r="BQ158" s="86"/>
      <c r="BR158" s="86"/>
      <c r="BS158" s="86"/>
      <c r="BT158" s="86" t="s">
        <v>388</v>
      </c>
      <c r="BU158" s="86" t="s">
        <v>2457</v>
      </c>
      <c r="BV158" s="26" t="s">
        <v>1260</v>
      </c>
      <c r="BW158" s="86" t="s">
        <v>1709</v>
      </c>
      <c r="BX158" s="86" t="s">
        <v>2456</v>
      </c>
      <c r="BY158" s="86"/>
    </row>
    <row r="159" spans="1:77">
      <c r="A159" s="14">
        <v>46268</v>
      </c>
      <c r="B159" s="14">
        <v>46268</v>
      </c>
      <c r="C159" s="86"/>
      <c r="D159" s="86"/>
      <c r="E159" s="14">
        <v>46084</v>
      </c>
      <c r="F159" s="16" t="s">
        <v>2444</v>
      </c>
      <c r="G159" s="86">
        <v>12010019</v>
      </c>
      <c r="H159" s="16" t="s">
        <v>76</v>
      </c>
      <c r="I159" s="86"/>
      <c r="J159" s="16" t="s">
        <v>581</v>
      </c>
      <c r="K159" s="86"/>
      <c r="L159" s="16" t="s">
        <v>171</v>
      </c>
      <c r="M159" s="17">
        <v>30000</v>
      </c>
      <c r="N159" s="86"/>
      <c r="O159" s="16" t="s">
        <v>2449</v>
      </c>
      <c r="P159" s="16" t="s">
        <v>2444</v>
      </c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/>
      <c r="BK159" s="86"/>
      <c r="BL159" s="86"/>
      <c r="BM159" s="86"/>
      <c r="BN159" s="86"/>
      <c r="BO159" s="86"/>
      <c r="BP159" s="86"/>
      <c r="BQ159" s="86"/>
      <c r="BR159" s="86"/>
      <c r="BS159" s="86"/>
      <c r="BT159" s="86" t="s">
        <v>388</v>
      </c>
      <c r="BU159" s="166" t="s">
        <v>1284</v>
      </c>
      <c r="BV159" s="26" t="s">
        <v>1260</v>
      </c>
      <c r="BW159" s="166" t="s">
        <v>2459</v>
      </c>
      <c r="BX159" s="86" t="s">
        <v>2458</v>
      </c>
      <c r="BY159" s="86"/>
    </row>
    <row r="160" spans="1:77">
      <c r="A160" s="14">
        <v>46268</v>
      </c>
      <c r="B160" s="14">
        <v>46268</v>
      </c>
      <c r="C160" s="86"/>
      <c r="D160" s="86"/>
      <c r="E160" s="14">
        <v>46084</v>
      </c>
      <c r="F160" s="16" t="s">
        <v>2444</v>
      </c>
      <c r="G160" s="86">
        <v>12010019</v>
      </c>
      <c r="H160" s="16" t="s">
        <v>76</v>
      </c>
      <c r="I160" s="86"/>
      <c r="J160" s="16" t="s">
        <v>2447</v>
      </c>
      <c r="K160" s="86"/>
      <c r="L160" s="16" t="s">
        <v>181</v>
      </c>
      <c r="M160" s="17">
        <v>10000</v>
      </c>
      <c r="N160" s="86"/>
      <c r="O160" s="16" t="s">
        <v>2449</v>
      </c>
      <c r="P160" s="16" t="s">
        <v>2444</v>
      </c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/>
      <c r="BK160" s="86"/>
      <c r="BL160" s="86"/>
      <c r="BM160" s="86"/>
      <c r="BN160" s="86"/>
      <c r="BO160" s="86"/>
      <c r="BP160" s="86"/>
      <c r="BQ160" s="86"/>
      <c r="BR160" s="86"/>
      <c r="BS160" s="86"/>
      <c r="BT160" s="86" t="s">
        <v>388</v>
      </c>
      <c r="BU160" s="166" t="s">
        <v>1284</v>
      </c>
      <c r="BV160" s="26" t="s">
        <v>1260</v>
      </c>
      <c r="BW160" s="166" t="s">
        <v>2459</v>
      </c>
      <c r="BX160" s="86" t="s">
        <v>2458</v>
      </c>
      <c r="BY160" s="86"/>
    </row>
    <row r="161" spans="1:77">
      <c r="A161" s="14">
        <v>46268</v>
      </c>
      <c r="B161" s="14">
        <v>46268</v>
      </c>
      <c r="C161" s="86"/>
      <c r="D161" s="86"/>
      <c r="E161" s="14">
        <v>46084</v>
      </c>
      <c r="F161" s="16" t="s">
        <v>2444</v>
      </c>
      <c r="G161" s="86">
        <v>12010019</v>
      </c>
      <c r="H161" s="16" t="s">
        <v>76</v>
      </c>
      <c r="I161" s="86"/>
      <c r="J161" s="16" t="s">
        <v>774</v>
      </c>
      <c r="K161" s="86"/>
      <c r="L161" s="16" t="s">
        <v>238</v>
      </c>
      <c r="M161" s="17">
        <v>30000</v>
      </c>
      <c r="N161" s="86"/>
      <c r="O161" s="16" t="s">
        <v>2449</v>
      </c>
      <c r="P161" s="16" t="s">
        <v>2444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/>
      <c r="BK161" s="86"/>
      <c r="BL161" s="86"/>
      <c r="BM161" s="86"/>
      <c r="BN161" s="86"/>
      <c r="BO161" s="86"/>
      <c r="BP161" s="86"/>
      <c r="BQ161" s="86"/>
      <c r="BR161" s="86"/>
      <c r="BS161" s="86"/>
      <c r="BT161" s="86" t="s">
        <v>388</v>
      </c>
      <c r="BU161" s="166" t="s">
        <v>1284</v>
      </c>
      <c r="BV161" s="26" t="s">
        <v>1260</v>
      </c>
      <c r="BW161" s="166" t="s">
        <v>2459</v>
      </c>
      <c r="BX161" s="86" t="s">
        <v>2458</v>
      </c>
      <c r="BY161" s="86"/>
    </row>
    <row r="162" spans="1:77">
      <c r="A162" s="14">
        <v>46239</v>
      </c>
      <c r="B162" s="14">
        <v>46239</v>
      </c>
      <c r="C162" s="86"/>
      <c r="D162" s="86"/>
      <c r="E162" s="14">
        <v>46107</v>
      </c>
      <c r="F162" s="16" t="s">
        <v>2445</v>
      </c>
      <c r="G162" s="86">
        <v>12010019</v>
      </c>
      <c r="H162" s="16" t="s">
        <v>76</v>
      </c>
      <c r="I162" s="86"/>
      <c r="J162" s="16" t="s">
        <v>1764</v>
      </c>
      <c r="K162" s="86"/>
      <c r="L162" s="16" t="s">
        <v>103</v>
      </c>
      <c r="M162" s="17">
        <v>15000</v>
      </c>
      <c r="N162" s="86"/>
      <c r="O162" s="16" t="s">
        <v>2076</v>
      </c>
      <c r="P162" s="16" t="s">
        <v>85</v>
      </c>
      <c r="BT162" s="86" t="s">
        <v>388</v>
      </c>
      <c r="BU162" s="86" t="s">
        <v>2461</v>
      </c>
      <c r="BV162" s="26" t="s">
        <v>1260</v>
      </c>
      <c r="BW162" s="166" t="s">
        <v>2459</v>
      </c>
      <c r="BX162" s="86" t="s">
        <v>2460</v>
      </c>
      <c r="BY162" s="86"/>
    </row>
    <row r="163" spans="1:77">
      <c r="A163" s="14">
        <v>46269</v>
      </c>
      <c r="B163" s="14">
        <v>46269</v>
      </c>
      <c r="C163" s="86"/>
      <c r="D163" s="86"/>
      <c r="E163" s="14">
        <v>46107</v>
      </c>
      <c r="F163" s="16" t="s">
        <v>2445</v>
      </c>
      <c r="G163" s="86">
        <v>12010019</v>
      </c>
      <c r="H163" s="16" t="s">
        <v>76</v>
      </c>
      <c r="I163" s="86"/>
      <c r="J163" s="16" t="s">
        <v>2448</v>
      </c>
      <c r="K163" s="86"/>
      <c r="L163" s="16" t="s">
        <v>245</v>
      </c>
      <c r="M163" s="17">
        <v>4</v>
      </c>
      <c r="N163" s="86"/>
      <c r="O163" s="16" t="s">
        <v>2450</v>
      </c>
      <c r="P163" s="16" t="s">
        <v>2453</v>
      </c>
      <c r="BT163" s="86" t="s">
        <v>388</v>
      </c>
      <c r="BU163" s="86" t="s">
        <v>2461</v>
      </c>
      <c r="BV163" s="26" t="s">
        <v>1260</v>
      </c>
      <c r="BW163" s="166" t="s">
        <v>2459</v>
      </c>
      <c r="BX163" s="86" t="s">
        <v>2460</v>
      </c>
      <c r="BY163" s="86"/>
    </row>
    <row r="164" spans="1:77">
      <c r="A164" s="14">
        <v>46269</v>
      </c>
      <c r="B164" s="14">
        <v>46269</v>
      </c>
      <c r="C164" s="86"/>
      <c r="D164" s="86"/>
      <c r="E164" s="14">
        <v>46107</v>
      </c>
      <c r="F164" s="16" t="s">
        <v>2445</v>
      </c>
      <c r="G164" s="86">
        <v>12010019</v>
      </c>
      <c r="H164" s="16" t="s">
        <v>76</v>
      </c>
      <c r="I164" s="86"/>
      <c r="J164" s="16" t="s">
        <v>2448</v>
      </c>
      <c r="K164" s="86"/>
      <c r="L164" s="16" t="s">
        <v>245</v>
      </c>
      <c r="M164" s="17">
        <v>44996</v>
      </c>
      <c r="N164" s="86"/>
      <c r="O164" s="16" t="s">
        <v>2450</v>
      </c>
      <c r="P164" s="16" t="s">
        <v>2454</v>
      </c>
      <c r="BT164" s="86" t="s">
        <v>388</v>
      </c>
      <c r="BU164" s="86" t="s">
        <v>2461</v>
      </c>
      <c r="BV164" s="26" t="s">
        <v>1260</v>
      </c>
      <c r="BW164" s="166" t="s">
        <v>2459</v>
      </c>
      <c r="BX164" s="86" t="s">
        <v>2460</v>
      </c>
      <c r="BY164" s="86"/>
    </row>
    <row r="165" spans="1:77">
      <c r="A165" s="14">
        <v>46269</v>
      </c>
      <c r="B165" s="14">
        <v>46269</v>
      </c>
      <c r="C165" s="86"/>
      <c r="D165" s="86"/>
      <c r="E165" s="14">
        <v>46107</v>
      </c>
      <c r="F165" s="16" t="s">
        <v>2445</v>
      </c>
      <c r="G165" s="86">
        <v>12010019</v>
      </c>
      <c r="H165" s="16" t="s">
        <v>76</v>
      </c>
      <c r="I165" s="86"/>
      <c r="J165" s="16" t="s">
        <v>774</v>
      </c>
      <c r="K165" s="86"/>
      <c r="L165" s="16" t="s">
        <v>238</v>
      </c>
      <c r="M165" s="17">
        <v>45000</v>
      </c>
      <c r="N165" s="86"/>
      <c r="O165" s="16" t="s">
        <v>2451</v>
      </c>
      <c r="P165" s="16" t="s">
        <v>2454</v>
      </c>
      <c r="BT165" s="86" t="s">
        <v>388</v>
      </c>
      <c r="BU165" s="86" t="s">
        <v>2461</v>
      </c>
      <c r="BV165" s="26" t="s">
        <v>1260</v>
      </c>
      <c r="BW165" s="166" t="s">
        <v>2459</v>
      </c>
      <c r="BX165" s="86" t="s">
        <v>2460</v>
      </c>
      <c r="BY165" s="86"/>
    </row>
    <row r="166" spans="1:77">
      <c r="A166" s="14">
        <v>46239</v>
      </c>
      <c r="B166" s="14">
        <v>46239</v>
      </c>
      <c r="C166" s="86"/>
      <c r="D166" s="86"/>
      <c r="E166" s="14">
        <v>46107</v>
      </c>
      <c r="F166" s="16" t="s">
        <v>2445</v>
      </c>
      <c r="G166" s="86">
        <v>12010019</v>
      </c>
      <c r="H166" s="16" t="s">
        <v>76</v>
      </c>
      <c r="I166" s="86"/>
      <c r="J166" s="16" t="s">
        <v>774</v>
      </c>
      <c r="K166" s="86"/>
      <c r="L166" s="16" t="s">
        <v>238</v>
      </c>
      <c r="M166" s="17">
        <v>15000</v>
      </c>
      <c r="N166" s="86"/>
      <c r="O166" s="16" t="s">
        <v>2451</v>
      </c>
      <c r="P166" s="16" t="s">
        <v>85</v>
      </c>
      <c r="BT166" s="86" t="s">
        <v>388</v>
      </c>
      <c r="BU166" s="86" t="s">
        <v>2461</v>
      </c>
      <c r="BV166" s="26" t="s">
        <v>1260</v>
      </c>
      <c r="BW166" s="166" t="s">
        <v>2459</v>
      </c>
      <c r="BX166" s="86" t="s">
        <v>2460</v>
      </c>
      <c r="BY166" s="86"/>
    </row>
    <row r="167" spans="1:77">
      <c r="A167" s="14">
        <v>46274</v>
      </c>
      <c r="B167" s="14">
        <v>46274</v>
      </c>
      <c r="C167" s="86"/>
      <c r="D167" s="86"/>
      <c r="E167" s="14">
        <v>46120</v>
      </c>
      <c r="F167" s="16" t="s">
        <v>2446</v>
      </c>
      <c r="G167" s="86">
        <v>12010029</v>
      </c>
      <c r="H167" s="16" t="s">
        <v>76</v>
      </c>
      <c r="I167" s="86"/>
      <c r="J167" s="16" t="s">
        <v>577</v>
      </c>
      <c r="K167" s="86"/>
      <c r="L167" s="16" t="s">
        <v>139</v>
      </c>
      <c r="M167" s="17">
        <v>98</v>
      </c>
      <c r="N167" s="86"/>
      <c r="O167" s="16" t="s">
        <v>1411</v>
      </c>
      <c r="P167" s="16" t="s">
        <v>2455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/>
      <c r="BK167" s="86"/>
      <c r="BL167" s="86"/>
      <c r="BM167" s="86"/>
      <c r="BN167" s="86"/>
      <c r="BO167" s="86"/>
      <c r="BP167" s="86"/>
      <c r="BQ167" s="86"/>
      <c r="BR167" s="86"/>
      <c r="BS167" s="86"/>
      <c r="BT167" s="86" t="s">
        <v>388</v>
      </c>
      <c r="BU167" s="86" t="s">
        <v>2461</v>
      </c>
      <c r="BV167" s="26" t="s">
        <v>1260</v>
      </c>
      <c r="BW167" s="166" t="s">
        <v>2462</v>
      </c>
      <c r="BX167" s="86" t="s">
        <v>1362</v>
      </c>
      <c r="BY167" s="86"/>
    </row>
    <row r="168" spans="1:77">
      <c r="A168" s="14">
        <v>46274</v>
      </c>
      <c r="B168" s="14">
        <v>46274</v>
      </c>
      <c r="C168" s="86"/>
      <c r="D168" s="86"/>
      <c r="E168" s="14">
        <v>46120</v>
      </c>
      <c r="F168" s="16" t="s">
        <v>2446</v>
      </c>
      <c r="G168" s="86">
        <v>12010029</v>
      </c>
      <c r="H168" s="16" t="s">
        <v>76</v>
      </c>
      <c r="I168" s="86"/>
      <c r="J168" s="16" t="s">
        <v>577</v>
      </c>
      <c r="K168" s="86"/>
      <c r="L168" s="16" t="s">
        <v>139</v>
      </c>
      <c r="M168" s="17">
        <v>175</v>
      </c>
      <c r="N168" s="86"/>
      <c r="O168" s="16" t="s">
        <v>2452</v>
      </c>
      <c r="P168" s="16" t="s">
        <v>2446</v>
      </c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/>
      <c r="BK168" s="86"/>
      <c r="BL168" s="86"/>
      <c r="BM168" s="86"/>
      <c r="BN168" s="86"/>
      <c r="BO168" s="86"/>
      <c r="BP168" s="86"/>
      <c r="BQ168" s="86"/>
      <c r="BR168" s="86"/>
      <c r="BS168" s="86"/>
      <c r="BT168" s="86" t="s">
        <v>388</v>
      </c>
      <c r="BU168" s="86" t="s">
        <v>2461</v>
      </c>
      <c r="BV168" s="26" t="s">
        <v>1260</v>
      </c>
      <c r="BW168" s="166" t="s">
        <v>2462</v>
      </c>
      <c r="BX168" s="86" t="s">
        <v>1362</v>
      </c>
      <c r="BY168" s="86"/>
    </row>
    <row r="169" spans="1:77">
      <c r="A169" s="14">
        <v>46274</v>
      </c>
      <c r="B169" s="14">
        <v>46274</v>
      </c>
      <c r="C169" s="86"/>
      <c r="D169" s="86"/>
      <c r="E169" s="14">
        <v>46120</v>
      </c>
      <c r="F169" s="16" t="s">
        <v>2446</v>
      </c>
      <c r="G169" s="86">
        <v>12010029</v>
      </c>
      <c r="H169" s="16" t="s">
        <v>76</v>
      </c>
      <c r="I169" s="86"/>
      <c r="J169" s="16" t="s">
        <v>577</v>
      </c>
      <c r="K169" s="86"/>
      <c r="L169" s="16" t="s">
        <v>139</v>
      </c>
      <c r="M169" s="17">
        <v>37743</v>
      </c>
      <c r="N169" s="86"/>
      <c r="O169" s="16" t="s">
        <v>2452</v>
      </c>
      <c r="P169" s="16" t="s">
        <v>2446</v>
      </c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/>
      <c r="BK169" s="86"/>
      <c r="BL169" s="86"/>
      <c r="BM169" s="86"/>
      <c r="BN169" s="86"/>
      <c r="BO169" s="86"/>
      <c r="BP169" s="86"/>
      <c r="BQ169" s="86"/>
      <c r="BR169" s="86"/>
      <c r="BS169" s="86"/>
      <c r="BT169" s="86" t="s">
        <v>388</v>
      </c>
      <c r="BU169" s="86" t="s">
        <v>2461</v>
      </c>
      <c r="BV169" s="26" t="s">
        <v>1260</v>
      </c>
      <c r="BW169" s="166" t="s">
        <v>2462</v>
      </c>
      <c r="BX169" s="86" t="s">
        <v>1362</v>
      </c>
      <c r="BY169" s="86"/>
    </row>
    <row r="170" spans="1:77">
      <c r="A170" s="14">
        <v>46274</v>
      </c>
      <c r="B170" s="14">
        <v>46274</v>
      </c>
      <c r="C170" s="86"/>
      <c r="D170" s="86"/>
      <c r="E170" s="14">
        <v>46120</v>
      </c>
      <c r="F170" s="16" t="s">
        <v>2446</v>
      </c>
      <c r="G170" s="86">
        <v>12010029</v>
      </c>
      <c r="H170" s="16" t="s">
        <v>76</v>
      </c>
      <c r="I170" s="86"/>
      <c r="J170" s="16" t="s">
        <v>603</v>
      </c>
      <c r="K170" s="86"/>
      <c r="L170" s="16" t="s">
        <v>144</v>
      </c>
      <c r="M170" s="17">
        <v>4296</v>
      </c>
      <c r="N170" s="86"/>
      <c r="O170" s="16" t="s">
        <v>1694</v>
      </c>
      <c r="P170" s="16" t="s">
        <v>2446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/>
      <c r="BK170" s="86"/>
      <c r="BL170" s="86"/>
      <c r="BM170" s="86"/>
      <c r="BN170" s="86"/>
      <c r="BO170" s="86"/>
      <c r="BP170" s="86"/>
      <c r="BQ170" s="86"/>
      <c r="BR170" s="86"/>
      <c r="BS170" s="86"/>
      <c r="BT170" s="86" t="s">
        <v>388</v>
      </c>
      <c r="BU170" s="86" t="s">
        <v>2461</v>
      </c>
      <c r="BV170" s="26" t="s">
        <v>1260</v>
      </c>
      <c r="BW170" s="166" t="s">
        <v>2462</v>
      </c>
      <c r="BX170" s="86" t="s">
        <v>1362</v>
      </c>
      <c r="BY170" s="86"/>
    </row>
    <row r="1048511" spans="76:76">
      <c r="BX1048511" s="23"/>
    </row>
  </sheetData>
  <autoFilter ref="A1:BX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COMPILED SHEET</vt:lpstr>
      <vt:lpstr>IBLHC Sales</vt:lpstr>
      <vt:lpstr>TSCL Sales</vt:lpstr>
      <vt:lpstr>CC Details</vt:lpstr>
      <vt:lpstr>HC Details</vt:lpstr>
      <vt:lpstr>MC Details</vt:lpstr>
      <vt:lpstr>TSCL Payment Details</vt:lpstr>
      <vt:lpstr>IBLHC Payment Details</vt:lpstr>
      <vt:lpstr>TSCL PO Details</vt:lpstr>
      <vt:lpstr>IBLHC PO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 Hussain (Assistant Manager-MSD)</dc:creator>
  <cp:lastModifiedBy>Waqar Hussain (Assistant Manager-MSD)</cp:lastModifiedBy>
  <dcterms:created xsi:type="dcterms:W3CDTF">2026-05-31T10:48:35Z</dcterms:created>
  <dcterms:modified xsi:type="dcterms:W3CDTF">2026-09-21T08:10:04Z</dcterms:modified>
</cp:coreProperties>
</file>